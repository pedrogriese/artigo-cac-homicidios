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edro\Downloads\Nova pasta (4)\Base e briefing\"/>
    </mc:Choice>
  </mc:AlternateContent>
  <xr:revisionPtr revIDLastSave="0" documentId="13_ncr:1_{66D279B4-1136-4649-8BFA-2B9D5F577FE0}" xr6:coauthVersionLast="47" xr6:coauthVersionMax="47" xr10:uidLastSave="{00000000-0000-0000-0000-000000000000}"/>
  <bookViews>
    <workbookView xWindow="-110" yWindow="-110" windowWidth="19420" windowHeight="10300" tabRatio="500" firstSheet="7" activeTab="8" xr2:uid="{00000000-000D-0000-FFFF-FFFF00000000}"/>
  </bookViews>
  <sheets>
    <sheet name="CRs_por_UF_Ano" sheetId="1" r:id="rId1"/>
    <sheet name="Serie_Nacional" sheetId="2" r:id="rId2"/>
    <sheet name="Notas_Metodologicas" sheetId="3" r:id="rId3"/>
    <sheet name="Estoque_Total_UF" sheetId="4" r:id="rId4"/>
    <sheet name="Estoque_UsoRestrito_UF" sheetId="5" r:id="rId5"/>
    <sheet name="Estoque_UsoPermitido_UF" sheetId="6" r:id="rId6"/>
    <sheet name="Var_Tratamento_DiD" sheetId="7" r:id="rId7"/>
    <sheet name="Homicidios_ArmaFogo_UF" sheetId="8" r:id="rId8"/>
    <sheet name="PIB_UF_IBGE" sheetId="9" r:id="rId9"/>
    <sheet name="Populacao_UF" sheetId="10" r:id="rId10"/>
    <sheet name="PIB_PerCapita_UF" sheetId="11" r:id="rId11"/>
    <sheet name="Desemprego_UF" sheetId="12" r:id="rId12"/>
    <sheet name="Painel_Variaveis_Modelos" sheetId="13" r:id="rId13"/>
    <sheet name="painel" sheetId="14" r:id="rId14"/>
    <sheet name="dados_crs" sheetId="15" r:id="rId15"/>
    <sheet name="CRs_Expandido_2005_2025" sheetId="16" r:id="rId16"/>
    <sheet name="Homicidios_2005_2024" sheetId="17" r:id="rId17"/>
    <sheet name="Populacao_2005_2024" sheetId="18" r:id="rId18"/>
    <sheet name="Desemprego_2005_2024" sheetId="19" r:id="rId19"/>
    <sheet name="painel_expandido" sheetId="20" r:id="rId2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9" l="1"/>
  <c r="AB31" i="9"/>
  <c r="AA31" i="9"/>
  <c r="Z31" i="9"/>
  <c r="Y31" i="9"/>
  <c r="X31" i="9"/>
  <c r="W31" i="9"/>
  <c r="V31" i="9"/>
  <c r="U31" i="9"/>
  <c r="T31" i="9"/>
  <c r="P31" i="9"/>
  <c r="O31" i="9"/>
  <c r="N31" i="9"/>
  <c r="M31" i="9"/>
  <c r="L31" i="9"/>
  <c r="K31" i="9"/>
  <c r="J31" i="9"/>
  <c r="Q31" i="9" s="1"/>
  <c r="I31" i="9"/>
  <c r="H31" i="9"/>
  <c r="Q30" i="9"/>
  <c r="P30" i="9"/>
  <c r="Q29" i="9"/>
  <c r="P29" i="9"/>
  <c r="Q28" i="9"/>
  <c r="P28" i="9"/>
  <c r="Q27" i="9"/>
  <c r="P27" i="9"/>
  <c r="Q26" i="9"/>
  <c r="P26" i="9"/>
  <c r="Q25" i="9"/>
  <c r="P25" i="9"/>
  <c r="Q24" i="9"/>
  <c r="P24" i="9"/>
  <c r="Q23" i="9"/>
  <c r="P23" i="9"/>
  <c r="Q22" i="9"/>
  <c r="P22" i="9"/>
  <c r="Q21" i="9"/>
  <c r="P21" i="9"/>
  <c r="Q20" i="9"/>
  <c r="P20" i="9"/>
  <c r="Q19" i="9"/>
  <c r="P19" i="9"/>
  <c r="Q18" i="9"/>
  <c r="P18" i="9"/>
  <c r="Q17" i="9"/>
  <c r="P17" i="9"/>
  <c r="Q16" i="9"/>
  <c r="P16" i="9"/>
  <c r="Q15" i="9"/>
  <c r="P15" i="9"/>
  <c r="Q14" i="9"/>
  <c r="P14" i="9"/>
  <c r="Q13" i="9"/>
  <c r="P13" i="9"/>
  <c r="Q12" i="9"/>
  <c r="P12" i="9"/>
  <c r="Q11" i="9"/>
  <c r="P11" i="9"/>
  <c r="Q10" i="9"/>
  <c r="P10" i="9"/>
  <c r="Q9" i="9"/>
  <c r="P9" i="9"/>
  <c r="Q8" i="9"/>
  <c r="P8" i="9"/>
  <c r="Q7" i="9"/>
  <c r="P7" i="9"/>
  <c r="Q6" i="9"/>
  <c r="P6" i="9"/>
  <c r="Q5" i="9"/>
  <c r="Q4" i="9"/>
  <c r="P4" i="9"/>
  <c r="K31" i="8"/>
  <c r="J31" i="8"/>
  <c r="M31" i="8" s="1"/>
  <c r="I31" i="8"/>
  <c r="H31" i="8"/>
  <c r="G31" i="8"/>
  <c r="F31" i="8"/>
  <c r="E31" i="8"/>
  <c r="D31" i="8"/>
  <c r="C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4" i="8"/>
  <c r="L4" i="8"/>
  <c r="L31" i="8" s="1"/>
  <c r="E31" i="6"/>
  <c r="D31" i="6"/>
  <c r="C31" i="6"/>
  <c r="G30" i="6"/>
  <c r="F30" i="6"/>
  <c r="F29" i="6"/>
  <c r="G29" i="6" s="1"/>
  <c r="F28" i="6"/>
  <c r="G28" i="6" s="1"/>
  <c r="G27" i="6"/>
  <c r="F27" i="6"/>
  <c r="G26" i="6"/>
  <c r="F26" i="6"/>
  <c r="F25" i="6"/>
  <c r="G25" i="6" s="1"/>
  <c r="F24" i="6"/>
  <c r="G24" i="6" s="1"/>
  <c r="G23" i="6"/>
  <c r="F23" i="6"/>
  <c r="G22" i="6"/>
  <c r="F22" i="6"/>
  <c r="F21" i="6"/>
  <c r="G21" i="6" s="1"/>
  <c r="F20" i="6"/>
  <c r="G20" i="6" s="1"/>
  <c r="G19" i="6"/>
  <c r="F19" i="6"/>
  <c r="G18" i="6"/>
  <c r="F18" i="6"/>
  <c r="F17" i="6"/>
  <c r="G17" i="6" s="1"/>
  <c r="F16" i="6"/>
  <c r="G16" i="6" s="1"/>
  <c r="G15" i="6"/>
  <c r="F15" i="6"/>
  <c r="G14" i="6"/>
  <c r="F14" i="6"/>
  <c r="F13" i="6"/>
  <c r="G13" i="6" s="1"/>
  <c r="F12" i="6"/>
  <c r="G12" i="6" s="1"/>
  <c r="G11" i="6"/>
  <c r="F11" i="6"/>
  <c r="G10" i="6"/>
  <c r="F10" i="6"/>
  <c r="F9" i="6"/>
  <c r="G9" i="6" s="1"/>
  <c r="F8" i="6"/>
  <c r="G8" i="6" s="1"/>
  <c r="G7" i="6"/>
  <c r="F7" i="6"/>
  <c r="G6" i="6"/>
  <c r="F6" i="6"/>
  <c r="F5" i="6"/>
  <c r="G5" i="6" s="1"/>
  <c r="F4" i="6"/>
  <c r="F31" i="6" s="1"/>
  <c r="E31" i="5"/>
  <c r="D31" i="5"/>
  <c r="C31" i="5"/>
  <c r="F30" i="5"/>
  <c r="G30" i="5" s="1"/>
  <c r="F29" i="5"/>
  <c r="G29" i="5" s="1"/>
  <c r="F28" i="5"/>
  <c r="G28" i="5" s="1"/>
  <c r="F27" i="5"/>
  <c r="G27" i="5" s="1"/>
  <c r="F26" i="5"/>
  <c r="G26" i="5" s="1"/>
  <c r="F25" i="5"/>
  <c r="G25" i="5" s="1"/>
  <c r="F24" i="5"/>
  <c r="G24" i="5" s="1"/>
  <c r="F23" i="5"/>
  <c r="G23" i="5" s="1"/>
  <c r="F22" i="5"/>
  <c r="G22" i="5" s="1"/>
  <c r="F21" i="5"/>
  <c r="G21" i="5" s="1"/>
  <c r="F20" i="5"/>
  <c r="G20" i="5" s="1"/>
  <c r="F19" i="5"/>
  <c r="G19" i="5" s="1"/>
  <c r="F18" i="5"/>
  <c r="G18" i="5" s="1"/>
  <c r="F17" i="5"/>
  <c r="G17" i="5" s="1"/>
  <c r="F16" i="5"/>
  <c r="G16" i="5" s="1"/>
  <c r="F15" i="5"/>
  <c r="G15" i="5" s="1"/>
  <c r="F14" i="5"/>
  <c r="G14" i="5" s="1"/>
  <c r="F13" i="5"/>
  <c r="G13" i="5" s="1"/>
  <c r="F12" i="5"/>
  <c r="G12" i="5" s="1"/>
  <c r="F11" i="5"/>
  <c r="G11" i="5" s="1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F4" i="5"/>
  <c r="F31" i="5" s="1"/>
  <c r="G31" i="5" s="1"/>
  <c r="H31" i="4"/>
  <c r="E31" i="4"/>
  <c r="D31" i="4"/>
  <c r="C31" i="4"/>
  <c r="F30" i="4"/>
  <c r="G30" i="4" s="1"/>
  <c r="F29" i="4"/>
  <c r="G29" i="4" s="1"/>
  <c r="F28" i="4"/>
  <c r="G28" i="4" s="1"/>
  <c r="F27" i="4"/>
  <c r="G27" i="4" s="1"/>
  <c r="F26" i="4"/>
  <c r="G26" i="4" s="1"/>
  <c r="F25" i="4"/>
  <c r="G25" i="4" s="1"/>
  <c r="F24" i="4"/>
  <c r="G24" i="4" s="1"/>
  <c r="F23" i="4"/>
  <c r="G23" i="4" s="1"/>
  <c r="F22" i="4"/>
  <c r="G22" i="4" s="1"/>
  <c r="F21" i="4"/>
  <c r="G21" i="4" s="1"/>
  <c r="F20" i="4"/>
  <c r="G20" i="4" s="1"/>
  <c r="F19" i="4"/>
  <c r="G19" i="4" s="1"/>
  <c r="F18" i="4"/>
  <c r="G18" i="4" s="1"/>
  <c r="F17" i="4"/>
  <c r="G17" i="4" s="1"/>
  <c r="F16" i="4"/>
  <c r="G16" i="4" s="1"/>
  <c r="F15" i="4"/>
  <c r="G15" i="4" s="1"/>
  <c r="F14" i="4"/>
  <c r="G14" i="4" s="1"/>
  <c r="F13" i="4"/>
  <c r="G13" i="4" s="1"/>
  <c r="F12" i="4"/>
  <c r="G12" i="4" s="1"/>
  <c r="F11" i="4"/>
  <c r="G11" i="4" s="1"/>
  <c r="F10" i="4"/>
  <c r="G10" i="4" s="1"/>
  <c r="F9" i="4"/>
  <c r="G9" i="4" s="1"/>
  <c r="F8" i="4"/>
  <c r="G8" i="4" s="1"/>
  <c r="F7" i="4"/>
  <c r="G7" i="4" s="1"/>
  <c r="F6" i="4"/>
  <c r="G6" i="4" s="1"/>
  <c r="F5" i="4"/>
  <c r="G5" i="4" s="1"/>
  <c r="F4" i="4"/>
  <c r="F31" i="4" s="1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N31" i="1"/>
  <c r="L31" i="1"/>
  <c r="K31" i="1"/>
  <c r="J31" i="1"/>
  <c r="I31" i="1"/>
  <c r="H31" i="1"/>
  <c r="G31" i="1"/>
  <c r="F31" i="1"/>
  <c r="E31" i="1"/>
  <c r="D31" i="1"/>
  <c r="C31" i="1"/>
  <c r="M31" i="1" s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G31" i="4" l="1"/>
  <c r="G31" i="6"/>
  <c r="G4" i="5"/>
  <c r="G4" i="6"/>
  <c r="G4" i="4"/>
</calcChain>
</file>

<file path=xl/sharedStrings.xml><?xml version="1.0" encoding="utf-8"?>
<sst xmlns="http://schemas.openxmlformats.org/spreadsheetml/2006/main" count="2414" uniqueCount="194">
  <si>
    <t>Certificados de Registro CAC por Unidade Federativa e Ano (2016–2025)</t>
  </si>
  <si>
    <t>Fonte: Exército Brasileiro / Polícia Federal — Dashboard SINARM/CAC (extração: jul/2025)</t>
  </si>
  <si>
    <t>UF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</si>
  <si>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</si>
  <si>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</si>
  <si>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</si>
  <si>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</si>
  <si>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</si>
  <si>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</si>
  <si>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</si>
  <si>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</si>
  <si>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</si>
  <si>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</si>
  <si>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TOTAL</t>
  </si>
  <si>
    <t>Var% 22→23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</si>
  <si>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</si>
  <si>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</si>
  <si>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</si>
  <si>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</si>
  <si>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</si>
  <si>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</si>
  <si>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</si>
  <si>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</si>
  <si>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</si>
  <si>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</si>
  <si>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</si>
  <si>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</si>
  <si>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</si>
  <si>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</si>
  <si>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</si>
  <si>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</si>
  <si>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</si>
  <si>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</si>
  <si>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</si>
  <si>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</si>
  <si>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</si>
  <si>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</si>
  <si>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</si>
  <si>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</si>
  <si>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</si>
  <si>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</si>
  <si>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</si>
  <si>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BRASIL</t>
  </si>
  <si>
    <t>Série Nacional de CRs CAC Emitidos por Ano (2000–2025)</t>
  </si>
  <si>
    <t>Fonte: Exército Brasileiro / Polícia Federal — Dashboard SINARM/CAC</t>
  </si>
  <si>
    <t>Ano</t>
  </si>
  <si>
    <t>Total CRs</t>
  </si>
  <si>
    <t>Var% a/a</t>
  </si>
  <si>
    <t>Uso Desportivo</t>
  </si>
  <si>
    <t>Caçador</t>
  </si>
  <si>
    <t>Colecionador</t>
  </si>
  <si>
    <t>—</t>
  </si>
  <si>
    <t>Notas Metodológicas — Base de Dados CAC</t>
  </si>
  <si>
    <t>Fonte primária</t>
  </si>
  <si>
    <t>Dashboard Certificado de Registro-CAC — Exército Brasileiro / Polícia Federal. Disponível em: app.fabric.microsoft.com. Acesso em: jul/2025.</t>
  </si>
  <si>
    <t>Responsabilidade</t>
  </si>
  <si>
    <t>Dados de 2000 a jun/2025 mantidos pelo Exército Brasileiro. A Polícia Federal passou a ser responsável a partir de julho de 2025.</t>
  </si>
  <si>
    <t>Método de coleta</t>
  </si>
  <si>
    <t>Extração manual via screenshots do dashboard filtrando ano a ano e UF. Valores conferidos com os totais nacionais exibidos no painel.</t>
  </si>
  <si>
    <t>Categoria 'XX'</t>
  </si>
  <si>
    <t>Aparece em 2019 (1 registro), 2022 (2 registros) e 2025 (2 registros). Provável erro de cadastro de UF. Excluído da análise espacial.</t>
  </si>
  <si>
    <t>Anos 2001-2004 / 2006-2009</t>
  </si>
  <si>
    <t>Não individualizados no dashboard — apresentados como valores de referência agregados. Não incluídos no painel UF×Ano.</t>
  </si>
  <si>
    <t>Cobertura do painel</t>
  </si>
  <si>
    <t>Painel UF×Ano cobre 2016–2025 (10 anos × 27 UFs = 270 observações). Série nacional cobre 2000–2025.</t>
  </si>
  <si>
    <t>Evento chave 2023</t>
  </si>
  <si>
    <t>O colapso de 362.224 (2022) para 1.030 (2023) representa queda de -99,7%, reflexo do Decreto n. 11.366 de 1.º/jan/2023 que revogou os decretos de flexibilização sem publicar nova regulamentação. Período de vácuo normativo: jan-jul/2023.</t>
  </si>
  <si>
    <t>Categorias de CR</t>
  </si>
  <si>
    <t>Uso Desportivo (Atirador Desportivo), Caçador e Colecionador. Uso Desportivo responde por &gt;99% dos certificados na maioria dos anos.</t>
  </si>
  <si>
    <t>Uso recomendado</t>
  </si>
  <si>
    <t>Variável de fluxo (novos CRs/ano) para análise de regressão. Variável de estoque (Dashboard 1 — total acumulado por UF) para variável de intensidade de tratamento.</t>
  </si>
  <si>
    <t>Limitação</t>
  </si>
  <si>
    <t>Os dados refletem certificados emitidos, não o universo de atiradores ativos. Cancelamentos e suspensões de CRs não estão disponíveis neste dashboard.</t>
  </si>
  <si>
    <t>Projeção PIB 2024</t>
  </si>
  <si>
    <t>PIB per capita 2024 projetado individualmente por UF aplicando a média das taxas de crescimento nominal dos anos 2019, 2022 e 2023 — excluindo 2020 e 2021 pelo efeito excepcional da pandemia de COVID-19. Fórmula: taxa_i = média(Δ%2019, Δ%2022, Δ%2023); PIB_2024_i = PIB_2023_i × (1 + taxa_i). Fonte base: IBGE Contas Regionais SCR 2023.</t>
  </si>
  <si>
    <t>População 2024</t>
  </si>
  <si>
    <t>Estimativas da população residente por UF com data de referência em 1.º de julho de 2024. Fonte: IBGE/DPE/COPIS — publicado no DOU. Total Brasil: 212.583.750 habitantes.</t>
  </si>
  <si>
    <t>Links de acesso</t>
  </si>
  <si>
    <t>DataSUS/TABNET: datasus.saude.gov.br/informacoes-de-saude-tabnet/ | PF — CRs CAC: gov.br/pf/pt-br/assuntos/armas/dados-abertos/certificados-de-registro-cac/ | PF — Estoque armas: gov.br/pf/pt-br/assuntos/armas/dados-abertos/registros-de-armas-de-fogo-cac/ | IBGE Contas Regionais: ibge.gov.br/estatisticas/economicas/contas-nacionais/9054 (edição 45139)</t>
  </si>
  <si>
    <t>Estoque de Armas CAC por UF — Total Geral (acumulado histórico)</t>
  </si>
  <si>
    <t>Total nacional: 1,644,084 armas — Fonte: Exército Brasileiro / PF — Dashboard SINARM/CAC (jul/2025)</t>
  </si>
  <si>
    <t>Atirador Desportivo</t>
  </si>
  <si>
    <t>TOTAL ARMAS</t>
  </si>
  <si>
    <t>% Atirador</t>
  </si>
  <si>
    <t>% Restrito*</t>
  </si>
  <si>
    <t>* % Restrito = armas de calibre restrito ao civil / total de armas por UF. Calibres restritos: 9x19mm, .40, .45 e outros de uso militar. XX = registros sem UF identificada (excluídos da análise).</t>
  </si>
  <si>
    <t>Estoque de Armas CAC por UF — Uso Restrito (calibres restritos ao civil)</t>
  </si>
  <si>
    <t>Total nacional: 810,705 armas — Fonte: Exército Brasileiro / PF — Dashboard SINARM/CAC (jul/2025) | Calibres restritos: 9x19mm, .40, .45 e outros de uso militar/policial</t>
  </si>
  <si>
    <t>Estoque de Armas CAC por UF — Uso Permitido (calibres permitidos ao civil)</t>
  </si>
  <si>
    <t>Total nacional: 833,379 armas — Fonte: Exército Brasileiro / PF — Dashboard SINARM/CAC (jul/2025) | Calibres permitidos: .22, 12GA, .38, .357 e outros de uso civil</t>
  </si>
  <si>
    <t>Variável de Intensidade de Tratamento — DiD Espacial (pré-2023)</t>
  </si>
  <si>
    <t>Variável de tratamento D_i = CRs emitidos em 2022 / população UF (proxy de intensidade CAC pré-choque). UFs acima da mediana = grupo tratado.</t>
  </si>
  <si>
    <t>CRs 2022</t>
  </si>
  <si>
    <t>CRs 2023</t>
  </si>
  <si>
    <t>Estoque Total</t>
  </si>
  <si>
    <t>% Uso Restrito</t>
  </si>
  <si>
    <t>GRUPO DiD</t>
  </si>
  <si>
    <t>BAIXO</t>
  </si>
  <si>
    <t>ALTO</t>
  </si>
  <si>
    <t>Mediana CRs 2022 = 6,128. ALTO = UF acima da mediana (grupo de alta exposição ao choque jan/2023). BAIXO = UF abaixo da mediana (grupo de baixa exposição). Variável de intensidade contínua recomendada: ln(CRs_2022_i / pop_i).</t>
  </si>
  <si>
    <t>Homicídios por Arma de Fogo por UF e Ano — Óbitos por Ocorrência (CID-10: X93, X94, X95)</t>
  </si>
  <si>
    <t>Fonte: MS/SVSA/CGIAE — Sistema de Informações sobre Mortalidade (SIM). X93=Agressão por arma de fogo de mão; X94=Espingarda/carabina; X95=Outra arma de fogo ou NE. Dados por local de ocorrência do óbito.</t>
  </si>
  <si>
    <t>Hom/100mil 2022*</t>
  </si>
  <si>
    <t>* Taxa por 100 mil habitantes calculada com estimativa IBGE 2022. Verde = taxa &lt; 15/100mil; Laranja = 15–30/100mil; Vermelho = &gt; 30/100mil. Var% 22→23 = variação dos homicídios por arma de fogo entre 2022 e 2023 — período do choque regulatório (Decreto 11.366/jan/2023). Nota: 2024 com possível subnotificação — dados atualizados em 02/12/2025.</t>
  </si>
  <si>
    <t>PIB por Unidade da Federação (R$ milhões correntes) — IBGE Contas Regionais</t>
  </si>
  <si>
    <t>Fontes: IBGE Contas Regionais do Brasil — Tabela 1 (tab01.xls, 2002–2009) para 2002–2009; IBGE SCR 2023 (tab01.xls) para 2010–2023. Valores em R$ bilhões correntes. 2005–2009 conferidos contra o total Brasil da própria Tabela 1 (soma das 27 UFs bate com a linha 'Produto Interno Bruto' do Brasil em todos os anos, diferença = 0). 2024†: projeção por taxa média de crescimento nominal (2019, 2022, 2023) por UF. Colunas 2002–2004 adicionadas ao final da tabela (colunas T–V) para não deslocar as fórmulas existentes das colunas subsequentes.</t>
  </si>
  <si>
    <t>2005</t>
  </si>
  <si>
    <t>2006</t>
  </si>
  <si>
    <t>2007</t>
  </si>
  <si>
    <t>2008</t>
  </si>
  <si>
    <t>2009</t>
  </si>
  <si>
    <t>2024*</t>
  </si>
  <si>
    <t>2024†</t>
  </si>
  <si>
    <t>2002</t>
  </si>
  <si>
    <t>2003</t>
  </si>
  <si>
    <t>2004</t>
  </si>
  <si>
    <t>2010</t>
  </si>
  <si>
    <t>2011</t>
  </si>
  <si>
    <t>2012</t>
  </si>
  <si>
    <t>2013</t>
  </si>
  <si>
    <t>2014</t>
  </si>
  <si>
    <t>2015</t>
  </si>
  <si>
    <t>Valores em R$ bilhões correntes (original em R$ milhões ÷ 1.000). * 2024 = projeção aplicando crescimento de 3,47% sobre 2023 (crescimento nominal do PIB Brasil 2024, IBGE SCN). Usar com cautela — não substitui dado oficial. Para análise robusta, truncar painel em 2023 onde PIB é confirmado.</t>
  </si>
  <si>
    <t>População Residente por UF (2016–2024) — IBGE</t>
  </si>
  <si>
    <t>Fontes: IBGE Estimativas tab.6579 (2016–2021, 2024); Censo Demográfico 2022 para 2022 e 2023 (=Censo 2022, TCU/DOU).</t>
  </si>
  <si>
    <t>2023 = mesmo valor do Censo 2022 (IBGE publicou o Censo 2022 no DOU em 2023 para fins do FPM/TCU).</t>
  </si>
  <si>
    <t>PIB per Capita por UF — R$ correntes (2005–2024) — IBGE Contas Regionais</t>
  </si>
  <si>
    <t>PIB per capita = PIB R$ correntes (IBGE Contas Regionais) ÷ população (IBGE tab.6579/Censo 2022). Colunas 2016–2024† originais; colunas 2005–2015 adicionadas ao final (a partir de L) para não deslocar as colunas existentes, extraídas do painel_expandido (já consistente com PIB_UF_IBGE 2005–2015).</t>
  </si>
  <si>
    <t>PIB per capita em R$ correntes — não deflacionado. Para análise comparativa inter-temporal, deflacionar pelo IPCA.</t>
  </si>
  <si>
    <t>Taxa de Desocupação por UF — % anual (2016–2024) — PNAD Contínua</t>
  </si>
  <si>
    <t>Fonte: IBGE PNAD Contínua, Tabela 4099. Média anual dos 4 trimestres. Pessoas de 14 anos ou mais.</t>
  </si>
  <si>
    <t>Laranja=pico pandemia 2020-2021. Verde=2022 pico CAC. Vermelho=2023 choque regulatório. Dummy pandemia recomendada nos modelos.</t>
  </si>
  <si>
    <t>Painel de Variáveis para Estimação — 27 UFs × 20 Anos (2005–2024) = 540 obs.</t>
  </si>
  <si>
    <t>SIM/DataSUS (X93-X95) | PF/Exército (CRs CAC) | IBGE Contas Regionais | PNAD Contínua/anual | IBGE Estimativas Pop. | Versão legível — espelha a aba painel_expandido (fonte de verdade para o notebook). estoque_crs e Populacao adicionados nas colunas N e O.</t>
  </si>
  <si>
    <t>Hom_100mil</t>
  </si>
  <si>
    <t>CRs_100mil</t>
  </si>
  <si>
    <t>ln_Hom</t>
  </si>
  <si>
    <t>ln_CRs</t>
  </si>
  <si>
    <t>PIBpc_R$</t>
  </si>
  <si>
    <t>ln_PIBpc</t>
  </si>
  <si>
    <t>Desemprego_%</t>
  </si>
  <si>
    <t>POST_2023</t>
  </si>
  <si>
    <t>D_pandemia</t>
  </si>
  <si>
    <t>INT_i</t>
  </si>
  <si>
    <t>Estoque_CRs</t>
  </si>
  <si>
    <t>Populacao</t>
  </si>
  <si>
    <t>INT_i = CRs emitidos em 2022 / pop_2022 × 100.000 (intensidade de tratamento — fixo por UF, pré-determinado). POST_2023 = 1 se ano ≥ 2023. D_pandemia = 1 para 2020–2021. ln_* = logaritmo natural (ln_CRs ausente quando CRs=0). Estoque_CRs = CRs acumulados desde 2005 até o ano t por UF. Variáveis prontas para estimação OLS/FE com R/Python/Stata.</t>
  </si>
  <si>
    <t>painel — Variáveis para Estimação (flat, Python-ready) | 27 UFs × 8 Anos (2016–2023)</t>
  </si>
  <si>
    <t>Importar com: pd.read_excel(..., sheet_name='painel', header=2) → df.set_index(['uf','ano'])</t>
  </si>
  <si>
    <t>uf</t>
  </si>
  <si>
    <t>ano</t>
  </si>
  <si>
    <t>hom100</t>
  </si>
  <si>
    <t>crs100</t>
  </si>
  <si>
    <t>ln_hom</t>
  </si>
  <si>
    <t>ln_crs</t>
  </si>
  <si>
    <t>pibpc</t>
  </si>
  <si>
    <t>ln_pibpc</t>
  </si>
  <si>
    <t>desemp</t>
  </si>
  <si>
    <t>post</t>
  </si>
  <si>
    <t>d_pan</t>
  </si>
  <si>
    <t>int_i</t>
  </si>
  <si>
    <t>pop</t>
  </si>
  <si>
    <t>UF (2 letras)</t>
  </si>
  <si>
    <t>Ano (2016–2023)</t>
  </si>
  <si>
    <t>Hom. arma/100mil hab.</t>
  </si>
  <si>
    <t>CRs CAC/100mil hab.</t>
  </si>
  <si>
    <t>ln(homicídios abs.)</t>
  </si>
  <si>
    <t>ln(CRs abs.) — 0 se missing</t>
  </si>
  <si>
    <t>PIB per capita R$ corr.</t>
  </si>
  <si>
    <t>ln(PIBpc)</t>
  </si>
  <si>
    <t>Tx desocupação anual %</t>
  </si>
  <si>
    <t>1 se ano ≥ 2023</t>
  </si>
  <si>
    <t>1 se ano ∈ {2020,2021}</t>
  </si>
  <si>
    <t>CRs_2022/pop_2022×100mil</t>
  </si>
  <si>
    <t>População residente (hab.)</t>
  </si>
  <si>
    <t>COMO IMPORTAR: df = pd.read_excel('Base_CAC_UF_Ano_2016_2025.xlsx', sheet_name='painel', header=2).dropna(subset=['uf']).set_index(['uf','ano'])  |  216 obs. (27 UFs × 8 anos). ln_crs = None quando CRs = 0 (PI 2023). int_i = CRs_2022/pop_2022×100mil, fixo por UF (variável de intensidade DiD). | 2024†: PIBpc projetado pela média das taxas nominais de crescimento de 2019, 2022 e 2023 por UF (excluindo 2020–2021 pela pandemia). Pop 2024: estimativa oficial IBGE DOU jul/2024.</t>
  </si>
  <si>
    <t>dados_crs — Certificados CAC emitidos por UF e Ano (formato long, 2016–2025)</t>
  </si>
  <si>
    <t>Importar: pd.read_excel(..., sheet_name='dados_crs', header=2)  |  Fonte: Exército Brasileiro / PF — Dashboard SINARM/CAC (jul/2025)</t>
  </si>
  <si>
    <t>crs</t>
  </si>
  <si>
    <t>CRs emitidos (absoluto)</t>
  </si>
  <si>
    <t>COMO IMPORTAR: df = pd.read_excel('Base_CAC_UF_Ano_2016_2025.xlsx', sheet_name='dados_crs', header=2)  |  270 obs. (27 UFs × 10 anos). Verde = 2022 (pico). Vermelho = 2023 (colapso -99,7%). Para painel 2016–2023: df = df[df['ano'] &lt;= 2023]</t>
  </si>
  <si>
    <t>CRs Emitidos por UF e Ano (2005–2025) — Série Expandida</t>
  </si>
  <si>
    <t>Fonte: Dashboard PF/Exército — SINARM/CAC (extração manual screenshots, jul/2025). CSV em desenvolvimento pela PF.</t>
  </si>
  <si>
    <t>Homicídios por Arma de Fogo (X93+X94+X95) por UF e Ano (2005–2024)</t>
  </si>
  <si>
    <t>Fonte: SIM/DataSUS — MS/SVSA/CGIAE. CID-10: X93+X94+X95. Óbitos por local de ocorrência. Arquivos: sim_cnv_ext10uf220614189 (2005-2015) e sim_cnv_ext10uf185942189 (2016-2024).</t>
  </si>
  <si>
    <t>População Residente por UF (2005–2024) — Série Expandida</t>
  </si>
  <si>
    <t>Fontes: IBGE tab.6579 (2005,2006,2008,2009,2011-2021,2024); TCU/DOU 2007 (Contagem Populacional); Censo 2010; Censo 2022 (2022 e 2023=Opção A); IBGE DOU jul/2024.</t>
  </si>
  <si>
    <t>Taxa de Desocupação por UF % (2005–2024) — PNAD anual + PNAD Contínua</t>
  </si>
  <si>
    <t>2005-2014: IBGE/PNAD anual, elaboração Disoc/Ipea (Dese_Pnad, série inativa), pessoas 10+ anos. 2010: interpolação linear 2009↔2011 (PNAD suspensa no Censo). 2015-2024: IBGE PNAD Contínua tabela 4099, pessoas 14+ anos, média 4 trimestres.</t>
  </si>
  <si>
    <t>2010 *</t>
  </si>
  <si>
    <t>painel_expandido — 27 UFs × 20 Anos (2005–2024) = 540 obs.</t>
  </si>
  <si>
    <t>Importar: pd.read_excel(..., sheet_name='painel_expandido', header=1).dropna(subset=['uf']).set_index(['uf','ano'])  |  estoque_crs = acumulado de CRs emitidos até o ano t por UF i. int_i = CRs_2022/pop_2022×100mil (fixo por UF).</t>
  </si>
  <si>
    <t>estoque_crs</t>
  </si>
  <si>
    <t>estoque_crs = acumulado de CRs emitidos 2005→t por UF | int_i = CRs_2022/pop_2022×100mil (fixo) | 2010: desemp interpolado (PNAD suspensa no Censo) | desemp 2005-2014: PNAD anual Ipea (10+ anos) | desemp 2015-2024: PNAD Contínua (14+ anos) | PIB 2024: projeção por taxa média nominal 2019/2022/2023 por UF | Células azul-claro = dados históricos 2005-2015.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</si>
</sst>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#,##0.0"/>
    <numFmt numFmtId="167" formatCode="0.0000"/>
  </numFmts>
  <fonts count="24" x14ac:knownFonts="1">
    <font>
      <sz val="11"/>
      <color theme="1"/>
      <name val="Calibri"/>
      <family val="2"/>
      <charset val="1"/>
    </font>
    <font>
      <b/>
      <sz val="12"/>
      <color rgb="FFFFFFFF"/>
      <name val="Times New Roman"/>
      <charset val="1"/>
    </font>
    <font>
      <i/>
      <sz val="9"/>
      <color rgb="FF7F6000"/>
      <name val="Times New Roman"/>
      <charset val="1"/>
    </font>
    <font>
      <b/>
      <sz val="10"/>
      <color rgb="FFFFFFFF"/>
      <name val="Times New Roman"/>
      <charset val="1"/>
    </font>
    <font>
      <b/>
      <sz val="9"/>
      <color rgb="FFFFFFFF"/>
      <name val="Times New Roman"/>
      <charset val="1"/>
    </font>
    <font>
      <b/>
      <sz val="10"/>
      <color rgb="FF1F4E79"/>
      <name val="Times New Roman"/>
      <charset val="1"/>
    </font>
    <font>
      <sz val="10"/>
      <color rgb="FF000000"/>
      <name val="Times New Roman"/>
      <charset val="1"/>
    </font>
    <font>
      <sz val="10"/>
      <color rgb="FF595959"/>
      <name val="Times New Roman"/>
      <charset val="1"/>
    </font>
    <font>
      <b/>
      <sz val="10"/>
      <color rgb="FF000000"/>
      <name val="Times New Roman"/>
      <charset val="1"/>
    </font>
    <font>
      <sz val="10"/>
      <name val="Times New Roman"/>
      <charset val="1"/>
    </font>
    <font>
      <sz val="10"/>
      <color rgb="FFC00000"/>
      <name val="Times New Roman"/>
      <charset val="1"/>
    </font>
    <font>
      <i/>
      <sz val="8"/>
      <color rgb="FF7F6000"/>
      <name val="Times New Roman"/>
      <charset val="1"/>
    </font>
    <font>
      <sz val="10"/>
      <color rgb="FFFFFFFF"/>
      <name val="Times New Roman"/>
      <charset val="1"/>
    </font>
    <font>
      <i/>
      <sz val="10"/>
      <color rgb="FF808080"/>
      <name val="Times New Roman"/>
      <charset val="1"/>
    </font>
    <font>
      <i/>
      <sz val="10"/>
      <color rgb="FFE26B0A"/>
      <name val="Times New Roman"/>
      <charset val="1"/>
    </font>
    <font>
      <b/>
      <sz val="11"/>
      <color rgb="FFFFFFFF"/>
      <name val="Times New Roman"/>
      <charset val="1"/>
    </font>
    <font>
      <sz val="9"/>
      <color rgb="FF000000"/>
      <name val="Times New Roman"/>
      <charset val="1"/>
    </font>
    <font>
      <b/>
      <sz val="9"/>
      <color rgb="FF1F4E79"/>
      <name val="Times New Roman"/>
      <charset val="1"/>
    </font>
    <font>
      <i/>
      <sz val="8"/>
      <color rgb="FF595959"/>
      <name val="Times New Roman"/>
      <charset val="1"/>
    </font>
    <font>
      <b/>
      <i/>
      <sz val="9"/>
      <color rgb="FF1F4E79"/>
      <name val="Times New Roman"/>
      <charset val="1"/>
    </font>
    <font>
      <i/>
      <sz val="9"/>
      <color rgb="FF000000"/>
      <name val="Times New Roman"/>
      <charset val="1"/>
    </font>
    <font>
      <i/>
      <sz val="9"/>
      <color rgb="FFE26B0A"/>
      <name val="Times New Roman"/>
      <charset val="1"/>
    </font>
    <font>
      <b/>
      <sz val="8"/>
      <color rgb="FF1F4E79"/>
      <name val="Times New Roman"/>
      <charset val="1"/>
    </font>
    <font>
      <sz val="8"/>
      <color rgb="FF000000"/>
      <name val="Times New Roman"/>
      <charset val="1"/>
    </font>
  </fonts>
  <fills count="3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3E0"/>
      </patternFill>
    </fill>
    <fill>
      <patternFill patternType="solid">
        <fgColor rgb="FF2E75B6"/>
        <bgColor rgb="FF1F7391"/>
      </patternFill>
    </fill>
    <fill>
      <patternFill patternType="solid">
        <fgColor rgb="FFC00000"/>
        <bgColor rgb="FF800000"/>
      </patternFill>
    </fill>
    <fill>
      <patternFill patternType="solid">
        <fgColor rgb="FFD6E4F0"/>
        <bgColor rgb="FFD6EAF8"/>
      </patternFill>
    </fill>
    <fill>
      <patternFill patternType="solid">
        <fgColor rgb="FFFFFFFF"/>
        <bgColor rgb="FFF8FFF8"/>
      </patternFill>
    </fill>
    <fill>
      <patternFill patternType="solid">
        <fgColor rgb="FFEEF4FB"/>
        <bgColor rgb="FFF0F5FF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F0F7EE"/>
      </patternFill>
    </fill>
    <fill>
      <patternFill patternType="solid">
        <fgColor rgb="FFFCE4D6"/>
        <bgColor rgb="FFFFF2CC"/>
      </patternFill>
    </fill>
    <fill>
      <patternFill patternType="solid">
        <fgColor rgb="FF1F7391"/>
        <bgColor rgb="FF2E75B6"/>
      </patternFill>
    </fill>
    <fill>
      <patternFill patternType="solid">
        <fgColor rgb="FF7030A0"/>
        <bgColor rgb="FF993366"/>
      </patternFill>
    </fill>
    <fill>
      <patternFill patternType="solid">
        <fgColor rgb="FFFEF0EF"/>
        <bgColor rgb="FFFEF5F3"/>
      </patternFill>
    </fill>
    <fill>
      <patternFill patternType="solid">
        <fgColor rgb="FFE26B0A"/>
        <bgColor rgb="FF7F6000"/>
      </patternFill>
    </fill>
    <fill>
      <patternFill patternType="solid">
        <fgColor rgb="FFF0F7EE"/>
        <bgColor rgb="FFF2F2F2"/>
      </patternFill>
    </fill>
    <fill>
      <patternFill patternType="solid">
        <fgColor rgb="FFFEF5F3"/>
        <bgColor rgb="FFFFF5F5"/>
      </patternFill>
    </fill>
    <fill>
      <patternFill patternType="solid">
        <fgColor rgb="FF808080"/>
        <bgColor rgb="FF595959"/>
      </patternFill>
    </fill>
    <fill>
      <patternFill patternType="solid">
        <fgColor rgb="FFF2F2F2"/>
        <bgColor rgb="FFEEF4FB"/>
      </patternFill>
    </fill>
    <fill>
      <patternFill patternType="solid">
        <fgColor rgb="FFFFE0B2"/>
        <bgColor rgb="FFFCE4D6"/>
      </patternFill>
    </fill>
    <fill>
      <patternFill patternType="solid">
        <fgColor rgb="FFFFF3E0"/>
        <bgColor rgb="FFFEF0EF"/>
      </patternFill>
    </fill>
    <fill>
      <patternFill patternType="solid">
        <fgColor rgb="FFF0FFF0"/>
        <bgColor rgb="FFF5FFF5"/>
      </patternFill>
    </fill>
    <fill>
      <patternFill patternType="solid">
        <fgColor rgb="FFFFF5F5"/>
        <bgColor rgb="FFFEF5F3"/>
      </patternFill>
    </fill>
    <fill>
      <patternFill patternType="solid">
        <fgColor rgb="FFD6EAF8"/>
        <bgColor rgb="FFD6E4F0"/>
      </patternFill>
    </fill>
    <fill>
      <patternFill patternType="solid">
        <fgColor rgb="FFF8FFF8"/>
        <bgColor rgb="FFF5FFF5"/>
      </patternFill>
    </fill>
    <fill>
      <patternFill patternType="solid">
        <fgColor rgb="FFEAF5FB"/>
        <bgColor rgb="FFEEF4FB"/>
      </patternFill>
    </fill>
    <fill>
      <patternFill patternType="solid">
        <fgColor rgb="FFEDE7F6"/>
        <bgColor rgb="FFF2F2F2"/>
      </patternFill>
    </fill>
    <fill>
      <patternFill patternType="solid">
        <fgColor rgb="FFF0F5FF"/>
        <bgColor rgb="FFEEF4FB"/>
      </patternFill>
    </fill>
    <fill>
      <patternFill patternType="solid">
        <fgColor rgb="FFF5FFF5"/>
        <bgColor rgb="FFF8FFF8"/>
      </patternFill>
    </fill>
    <fill>
      <patternFill patternType="solid">
        <fgColor rgb="FFF5FDFF"/>
        <bgColor rgb="FFF8FFF8"/>
      </patternFill>
    </fill>
    <fill>
      <patternFill patternType="solid">
        <fgColor rgb="FF7F3F00"/>
        <bgColor rgb="FF7F600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F4E79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3" fontId="5" fillId="6" borderId="1" xfId="0" applyNumberFormat="1" applyFont="1" applyFill="1" applyBorder="1" applyAlignment="1">
      <alignment horizontal="righ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right" vertical="center" wrapText="1"/>
    </xf>
    <xf numFmtId="3" fontId="5" fillId="8" borderId="1" xfId="0" applyNumberFormat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right" vertical="center" wrapText="1"/>
    </xf>
    <xf numFmtId="164" fontId="3" fillId="5" borderId="2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right" vertical="center" wrapText="1"/>
    </xf>
    <xf numFmtId="164" fontId="6" fillId="7" borderId="1" xfId="0" applyNumberFormat="1" applyFont="1" applyFill="1" applyBorder="1" applyAlignment="1">
      <alignment horizontal="right" vertical="center" wrapText="1"/>
    </xf>
    <xf numFmtId="164" fontId="6" fillId="6" borderId="1" xfId="0" applyNumberFormat="1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164" fontId="3" fillId="9" borderId="1" xfId="0" applyNumberFormat="1" applyFont="1" applyFill="1" applyBorder="1" applyAlignment="1">
      <alignment horizontal="right" vertical="center" wrapText="1"/>
    </xf>
    <xf numFmtId="3" fontId="6" fillId="3" borderId="1" xfId="0" applyNumberFormat="1" applyFont="1" applyFill="1" applyBorder="1" applyAlignment="1">
      <alignment horizontal="right" vertical="center" wrapText="1"/>
    </xf>
    <xf numFmtId="164" fontId="6" fillId="3" borderId="1" xfId="0" applyNumberFormat="1" applyFont="1" applyFill="1" applyBorder="1" applyAlignment="1">
      <alignment horizontal="right" vertical="center" wrapText="1"/>
    </xf>
    <xf numFmtId="0" fontId="8" fillId="10" borderId="1" xfId="0" applyFont="1" applyFill="1" applyBorder="1" applyAlignment="1">
      <alignment horizontal="center" vertical="center" wrapText="1"/>
    </xf>
    <xf numFmtId="3" fontId="5" fillId="10" borderId="1" xfId="0" applyNumberFormat="1" applyFont="1" applyFill="1" applyBorder="1" applyAlignment="1">
      <alignment horizontal="right" vertical="center" wrapText="1"/>
    </xf>
    <xf numFmtId="164" fontId="6" fillId="10" borderId="1" xfId="0" applyNumberFormat="1" applyFont="1" applyFill="1" applyBorder="1" applyAlignment="1">
      <alignment horizontal="right" vertical="center" wrapText="1"/>
    </xf>
    <xf numFmtId="3" fontId="6" fillId="10" borderId="1" xfId="0" applyNumberFormat="1" applyFont="1" applyFill="1" applyBorder="1" applyAlignment="1">
      <alignment horizontal="right" vertical="center" wrapText="1"/>
    </xf>
    <xf numFmtId="0" fontId="8" fillId="11" borderId="1" xfId="0" applyFont="1" applyFill="1" applyBorder="1" applyAlignment="1">
      <alignment horizontal="center" vertical="center" wrapText="1"/>
    </xf>
    <xf numFmtId="3" fontId="5" fillId="11" borderId="1" xfId="0" applyNumberFormat="1" applyFont="1" applyFill="1" applyBorder="1" applyAlignment="1">
      <alignment horizontal="right" vertical="center" wrapText="1"/>
    </xf>
    <xf numFmtId="3" fontId="6" fillId="11" borderId="1" xfId="0" applyNumberFormat="1" applyFont="1" applyFill="1" applyBorder="1" applyAlignment="1">
      <alignment horizontal="righ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10" fillId="11" borderId="1" xfId="0" applyNumberFormat="1" applyFont="1" applyFill="1" applyBorder="1" applyAlignment="1">
      <alignment horizontal="right" vertical="center" wrapText="1"/>
    </xf>
    <xf numFmtId="164" fontId="10" fillId="14" borderId="1" xfId="0" applyNumberFormat="1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>
      <alignment horizontal="right" vertical="center" wrapText="1"/>
    </xf>
    <xf numFmtId="0" fontId="11" fillId="3" borderId="0" xfId="0" applyFont="1" applyFill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3" fontId="8" fillId="11" borderId="1" xfId="0" applyNumberFormat="1" applyFont="1" applyFill="1" applyBorder="1" applyAlignment="1">
      <alignment horizontal="right" vertical="center" wrapText="1"/>
    </xf>
    <xf numFmtId="164" fontId="12" fillId="5" borderId="1" xfId="0" applyNumberFormat="1" applyFont="1" applyFill="1" applyBorder="1" applyAlignment="1">
      <alignment horizontal="right" vertical="center" wrapText="1"/>
    </xf>
    <xf numFmtId="164" fontId="8" fillId="11" borderId="1" xfId="0" applyNumberFormat="1" applyFont="1" applyFill="1" applyBorder="1" applyAlignment="1">
      <alignment horizontal="right" vertical="center" wrapText="1"/>
    </xf>
    <xf numFmtId="0" fontId="5" fillId="10" borderId="1" xfId="0" applyFont="1" applyFill="1" applyBorder="1" applyAlignment="1">
      <alignment horizontal="center" vertical="center" wrapText="1"/>
    </xf>
    <xf numFmtId="3" fontId="8" fillId="10" borderId="1" xfId="0" applyNumberFormat="1" applyFont="1" applyFill="1" applyBorder="1" applyAlignment="1">
      <alignment horizontal="right" vertical="center" wrapText="1"/>
    </xf>
    <xf numFmtId="164" fontId="8" fillId="10" borderId="1" xfId="0" applyNumberFormat="1" applyFont="1" applyFill="1" applyBorder="1" applyAlignment="1">
      <alignment horizontal="righ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65" fontId="3" fillId="15" borderId="1" xfId="0" applyNumberFormat="1" applyFont="1" applyFill="1" applyBorder="1" applyAlignment="1">
      <alignment horizontal="right" vertical="center" wrapText="1"/>
    </xf>
    <xf numFmtId="3" fontId="6" fillId="16" borderId="1" xfId="0" applyNumberFormat="1" applyFont="1" applyFill="1" applyBorder="1" applyAlignment="1">
      <alignment horizontal="right" vertical="center" wrapText="1"/>
    </xf>
    <xf numFmtId="3" fontId="6" fillId="17" borderId="1" xfId="0" applyNumberFormat="1" applyFont="1" applyFill="1" applyBorder="1" applyAlignment="1">
      <alignment horizontal="right" vertical="center" wrapText="1"/>
    </xf>
    <xf numFmtId="165" fontId="3" fillId="5" borderId="1" xfId="0" applyNumberFormat="1" applyFont="1" applyFill="1" applyBorder="1" applyAlignment="1">
      <alignment horizontal="right" vertical="center" wrapText="1"/>
    </xf>
    <xf numFmtId="165" fontId="3" fillId="12" borderId="1" xfId="0" applyNumberFormat="1" applyFont="1" applyFill="1" applyBorder="1" applyAlignment="1">
      <alignment horizontal="right" vertical="center" wrapText="1"/>
    </xf>
    <xf numFmtId="165" fontId="3" fillId="2" borderId="2" xfId="0" applyNumberFormat="1" applyFont="1" applyFill="1" applyBorder="1" applyAlignment="1">
      <alignment horizontal="right" vertical="center" wrapText="1"/>
    </xf>
    <xf numFmtId="0" fontId="3" fillId="12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right" vertical="center" wrapText="1"/>
    </xf>
    <xf numFmtId="166" fontId="6" fillId="10" borderId="1" xfId="0" applyNumberFormat="1" applyFont="1" applyFill="1" applyBorder="1" applyAlignment="1">
      <alignment horizontal="right" vertical="center" wrapText="1"/>
    </xf>
    <xf numFmtId="166" fontId="6" fillId="11" borderId="1" xfId="0" applyNumberFormat="1" applyFont="1" applyFill="1" applyBorder="1" applyAlignment="1">
      <alignment horizontal="right" vertical="center" wrapText="1"/>
    </xf>
    <xf numFmtId="166" fontId="13" fillId="19" borderId="1" xfId="0" applyNumberFormat="1" applyFont="1" applyFill="1" applyBorder="1" applyAlignment="1">
      <alignment horizontal="right" vertical="center" wrapText="1"/>
    </xf>
    <xf numFmtId="164" fontId="3" fillId="4" borderId="1" xfId="0" applyNumberFormat="1" applyFont="1" applyFill="1" applyBorder="1" applyAlignment="1">
      <alignment horizontal="right" vertical="center" wrapText="1"/>
    </xf>
    <xf numFmtId="166" fontId="14" fillId="20" borderId="1" xfId="0" applyNumberFormat="1" applyFont="1" applyFill="1" applyBorder="1" applyAlignment="1">
      <alignment horizontal="right" vertical="center"/>
    </xf>
    <xf numFmtId="166" fontId="6" fillId="7" borderId="1" xfId="0" applyNumberFormat="1" applyFont="1" applyFill="1" applyBorder="1" applyAlignment="1">
      <alignment horizontal="right" vertical="center" wrapText="1"/>
    </xf>
    <xf numFmtId="166" fontId="6" fillId="16" borderId="1" xfId="0" applyNumberFormat="1" applyFont="1" applyFill="1" applyBorder="1" applyAlignment="1">
      <alignment horizontal="right" vertical="center" wrapText="1"/>
    </xf>
    <xf numFmtId="166" fontId="6" fillId="17" borderId="1" xfId="0" applyNumberFormat="1" applyFont="1" applyFill="1" applyBorder="1" applyAlignment="1">
      <alignment horizontal="right" vertical="center" wrapText="1"/>
    </xf>
    <xf numFmtId="166" fontId="14" fillId="21" borderId="1" xfId="0" applyNumberFormat="1" applyFont="1" applyFill="1" applyBorder="1" applyAlignment="1">
      <alignment horizontal="right" vertical="center"/>
    </xf>
    <xf numFmtId="166" fontId="3" fillId="2" borderId="2" xfId="0" applyNumberFormat="1" applyFont="1" applyFill="1" applyBorder="1" applyAlignment="1">
      <alignment horizontal="right" vertical="center" wrapText="1"/>
    </xf>
    <xf numFmtId="3" fontId="16" fillId="6" borderId="1" xfId="0" applyNumberFormat="1" applyFont="1" applyFill="1" applyBorder="1" applyAlignment="1">
      <alignment horizontal="right" vertical="center"/>
    </xf>
    <xf numFmtId="3" fontId="16" fillId="10" borderId="1" xfId="0" applyNumberFormat="1" applyFont="1" applyFill="1" applyBorder="1" applyAlignment="1">
      <alignment horizontal="right" vertical="center"/>
    </xf>
    <xf numFmtId="3" fontId="16" fillId="11" borderId="1" xfId="0" applyNumberFormat="1" applyFont="1" applyFill="1" applyBorder="1" applyAlignment="1">
      <alignment horizontal="right" vertical="center"/>
    </xf>
    <xf numFmtId="3" fontId="16" fillId="7" borderId="1" xfId="0" applyNumberFormat="1" applyFont="1" applyFill="1" applyBorder="1" applyAlignment="1">
      <alignment horizontal="right" vertical="center"/>
    </xf>
    <xf numFmtId="3" fontId="16" fillId="22" borderId="1" xfId="0" applyNumberFormat="1" applyFont="1" applyFill="1" applyBorder="1" applyAlignment="1">
      <alignment horizontal="right" vertical="center"/>
    </xf>
    <xf numFmtId="3" fontId="16" fillId="23" borderId="1" xfId="0" applyNumberFormat="1" applyFont="1" applyFill="1" applyBorder="1" applyAlignment="1">
      <alignment horizontal="right" vertical="center"/>
    </xf>
    <xf numFmtId="3" fontId="14" fillId="20" borderId="1" xfId="0" applyNumberFormat="1" applyFont="1" applyFill="1" applyBorder="1" applyAlignment="1">
      <alignment horizontal="right" vertical="center"/>
    </xf>
    <xf numFmtId="3" fontId="14" fillId="21" borderId="1" xfId="0" applyNumberFormat="1" applyFont="1" applyFill="1" applyBorder="1" applyAlignment="1">
      <alignment horizontal="right" vertical="center"/>
    </xf>
    <xf numFmtId="0" fontId="3" fillId="15" borderId="1" xfId="0" applyFont="1" applyFill="1" applyBorder="1" applyAlignment="1">
      <alignment horizontal="center" vertical="center" wrapText="1"/>
    </xf>
    <xf numFmtId="165" fontId="16" fillId="6" borderId="1" xfId="0" applyNumberFormat="1" applyFont="1" applyFill="1" applyBorder="1" applyAlignment="1">
      <alignment horizontal="right" vertical="center"/>
    </xf>
    <xf numFmtId="165" fontId="16" fillId="3" borderId="1" xfId="0" applyNumberFormat="1" applyFont="1" applyFill="1" applyBorder="1" applyAlignment="1">
      <alignment horizontal="right" vertical="center"/>
    </xf>
    <xf numFmtId="165" fontId="16" fillId="10" borderId="1" xfId="0" applyNumberFormat="1" applyFont="1" applyFill="1" applyBorder="1" applyAlignment="1">
      <alignment horizontal="right" vertical="center"/>
    </xf>
    <xf numFmtId="165" fontId="16" fillId="11" borderId="1" xfId="0" applyNumberFormat="1" applyFont="1" applyFill="1" applyBorder="1" applyAlignment="1">
      <alignment horizontal="right" vertical="center"/>
    </xf>
    <xf numFmtId="165" fontId="16" fillId="7" borderId="1" xfId="0" applyNumberFormat="1" applyFont="1" applyFill="1" applyBorder="1" applyAlignment="1">
      <alignment horizontal="right" vertical="center"/>
    </xf>
    <xf numFmtId="165" fontId="16" fillId="22" borderId="1" xfId="0" applyNumberFormat="1" applyFont="1" applyFill="1" applyBorder="1" applyAlignment="1">
      <alignment horizontal="right" vertical="center"/>
    </xf>
    <xf numFmtId="165" fontId="16" fillId="23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/>
    </xf>
    <xf numFmtId="2" fontId="16" fillId="11" borderId="1" xfId="0" applyNumberFormat="1" applyFont="1" applyFill="1" applyBorder="1" applyAlignment="1">
      <alignment horizontal="right" vertical="center"/>
    </xf>
    <xf numFmtId="2" fontId="16" fillId="6" borderId="1" xfId="0" applyNumberFormat="1" applyFont="1" applyFill="1" applyBorder="1" applyAlignment="1">
      <alignment horizontal="right" vertical="center"/>
    </xf>
    <xf numFmtId="167" fontId="16" fillId="11" borderId="1" xfId="0" applyNumberFormat="1" applyFont="1" applyFill="1" applyBorder="1" applyAlignment="1">
      <alignment horizontal="right" vertical="center"/>
    </xf>
    <xf numFmtId="167" fontId="16" fillId="6" borderId="1" xfId="0" applyNumberFormat="1" applyFont="1" applyFill="1" applyBorder="1" applyAlignment="1">
      <alignment horizontal="right" vertical="center"/>
    </xf>
    <xf numFmtId="167" fontId="16" fillId="10" borderId="1" xfId="0" applyNumberFormat="1" applyFont="1" applyFill="1" applyBorder="1" applyAlignment="1">
      <alignment horizontal="right" vertical="center"/>
    </xf>
    <xf numFmtId="0" fontId="16" fillId="6" borderId="1" xfId="0" applyFont="1" applyFill="1" applyBorder="1" applyAlignment="1">
      <alignment horizontal="right" vertical="center"/>
    </xf>
    <xf numFmtId="167" fontId="16" fillId="24" borderId="1" xfId="0" applyNumberFormat="1" applyFont="1" applyFill="1" applyBorder="1" applyAlignment="1">
      <alignment horizontal="right" vertical="center"/>
    </xf>
    <xf numFmtId="0" fontId="17" fillId="7" borderId="1" xfId="0" applyFont="1" applyFill="1" applyBorder="1" applyAlignment="1">
      <alignment horizontal="center" vertical="center"/>
    </xf>
    <xf numFmtId="2" fontId="16" fillId="23" borderId="1" xfId="0" applyNumberFormat="1" applyFont="1" applyFill="1" applyBorder="1" applyAlignment="1">
      <alignment horizontal="right" vertical="center"/>
    </xf>
    <xf numFmtId="2" fontId="16" fillId="7" borderId="1" xfId="0" applyNumberFormat="1" applyFont="1" applyFill="1" applyBorder="1" applyAlignment="1">
      <alignment horizontal="right" vertical="center"/>
    </xf>
    <xf numFmtId="167" fontId="16" fillId="23" borderId="1" xfId="0" applyNumberFormat="1" applyFont="1" applyFill="1" applyBorder="1" applyAlignment="1">
      <alignment horizontal="right" vertical="center"/>
    </xf>
    <xf numFmtId="167" fontId="16" fillId="7" borderId="1" xfId="0" applyNumberFormat="1" applyFont="1" applyFill="1" applyBorder="1" applyAlignment="1">
      <alignment horizontal="right" vertical="center"/>
    </xf>
    <xf numFmtId="3" fontId="16" fillId="25" borderId="1" xfId="0" applyNumberFormat="1" applyFont="1" applyFill="1" applyBorder="1" applyAlignment="1">
      <alignment horizontal="right" vertical="center"/>
    </xf>
    <xf numFmtId="167" fontId="16" fillId="25" borderId="1" xfId="0" applyNumberFormat="1" applyFont="1" applyFill="1" applyBorder="1" applyAlignment="1">
      <alignment horizontal="right" vertical="center"/>
    </xf>
    <xf numFmtId="0" fontId="16" fillId="7" borderId="1" xfId="0" applyFont="1" applyFill="1" applyBorder="1" applyAlignment="1">
      <alignment horizontal="right" vertical="center"/>
    </xf>
    <xf numFmtId="167" fontId="16" fillId="26" borderId="1" xfId="0" applyNumberFormat="1" applyFont="1" applyFill="1" applyBorder="1" applyAlignment="1">
      <alignment horizontal="right" vertical="center"/>
    </xf>
    <xf numFmtId="0" fontId="16" fillId="20" borderId="1" xfId="0" applyFont="1" applyFill="1" applyBorder="1" applyAlignment="1">
      <alignment horizontal="right" vertical="center"/>
    </xf>
    <xf numFmtId="0" fontId="16" fillId="27" borderId="1" xfId="0" applyFont="1" applyFill="1" applyBorder="1" applyAlignment="1">
      <alignment horizontal="right" vertical="center"/>
    </xf>
    <xf numFmtId="0" fontId="18" fillId="19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3" fontId="16" fillId="24" borderId="1" xfId="0" applyNumberFormat="1" applyFont="1" applyFill="1" applyBorder="1" applyAlignment="1">
      <alignment horizontal="right" vertical="center"/>
    </xf>
    <xf numFmtId="0" fontId="16" fillId="7" borderId="1" xfId="0" applyFont="1" applyFill="1" applyBorder="1" applyAlignment="1">
      <alignment horizontal="center" vertical="center"/>
    </xf>
    <xf numFmtId="2" fontId="16" fillId="28" borderId="1" xfId="0" applyNumberFormat="1" applyFont="1" applyFill="1" applyBorder="1" applyAlignment="1">
      <alignment horizontal="right" vertical="center"/>
    </xf>
    <xf numFmtId="167" fontId="16" fillId="28" borderId="1" xfId="0" applyNumberFormat="1" applyFont="1" applyFill="1" applyBorder="1" applyAlignment="1">
      <alignment horizontal="right" vertical="center"/>
    </xf>
    <xf numFmtId="3" fontId="16" fillId="29" borderId="1" xfId="0" applyNumberFormat="1" applyFont="1" applyFill="1" applyBorder="1" applyAlignment="1">
      <alignment horizontal="right" vertical="center"/>
    </xf>
    <xf numFmtId="167" fontId="16" fillId="29" borderId="1" xfId="0" applyNumberFormat="1" applyFont="1" applyFill="1" applyBorder="1" applyAlignment="1">
      <alignment horizontal="right" vertical="center"/>
    </xf>
    <xf numFmtId="3" fontId="16" fillId="26" borderId="1" xfId="0" applyNumberFormat="1" applyFont="1" applyFill="1" applyBorder="1" applyAlignment="1">
      <alignment horizontal="right" vertical="center"/>
    </xf>
    <xf numFmtId="0" fontId="16" fillId="20" borderId="1" xfId="0" applyFont="1" applyFill="1" applyBorder="1" applyAlignment="1">
      <alignment horizontal="center" vertical="center"/>
    </xf>
    <xf numFmtId="0" fontId="16" fillId="27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3" fontId="20" fillId="20" borderId="1" xfId="0" applyNumberFormat="1" applyFont="1" applyFill="1" applyBorder="1" applyAlignment="1">
      <alignment horizontal="right" vertical="center"/>
    </xf>
    <xf numFmtId="0" fontId="19" fillId="21" borderId="1" xfId="0" applyFont="1" applyFill="1" applyBorder="1" applyAlignment="1">
      <alignment horizontal="center" vertical="center"/>
    </xf>
    <xf numFmtId="0" fontId="20" fillId="21" borderId="1" xfId="0" applyFont="1" applyFill="1" applyBorder="1" applyAlignment="1">
      <alignment horizontal="center" vertical="center"/>
    </xf>
    <xf numFmtId="2" fontId="20" fillId="21" borderId="1" xfId="0" applyNumberFormat="1" applyFont="1" applyFill="1" applyBorder="1" applyAlignment="1">
      <alignment horizontal="right" vertical="center"/>
    </xf>
    <xf numFmtId="167" fontId="20" fillId="21" borderId="1" xfId="0" applyNumberFormat="1" applyFont="1" applyFill="1" applyBorder="1" applyAlignment="1">
      <alignment horizontal="right" vertical="center"/>
    </xf>
    <xf numFmtId="3" fontId="21" fillId="21" borderId="1" xfId="0" applyNumberFormat="1" applyFont="1" applyFill="1" applyBorder="1" applyAlignment="1">
      <alignment horizontal="right" vertical="center"/>
    </xf>
    <xf numFmtId="167" fontId="21" fillId="21" borderId="1" xfId="0" applyNumberFormat="1" applyFont="1" applyFill="1" applyBorder="1" applyAlignment="1">
      <alignment horizontal="right" vertical="center"/>
    </xf>
    <xf numFmtId="165" fontId="20" fillId="21" borderId="1" xfId="0" applyNumberFormat="1" applyFont="1" applyFill="1" applyBorder="1" applyAlignment="1">
      <alignment horizontal="right" vertical="center"/>
    </xf>
    <xf numFmtId="0" fontId="20" fillId="21" borderId="1" xfId="0" applyFont="1" applyFill="1" applyBorder="1" applyAlignment="1">
      <alignment horizontal="right" vertical="center"/>
    </xf>
    <xf numFmtId="3" fontId="20" fillId="21" borderId="1" xfId="0" applyNumberFormat="1" applyFont="1" applyFill="1" applyBorder="1" applyAlignment="1">
      <alignment horizontal="right" vertical="center"/>
    </xf>
    <xf numFmtId="0" fontId="20" fillId="20" borderId="1" xfId="0" applyFont="1" applyFill="1" applyBorder="1" applyAlignment="1">
      <alignment horizontal="center" vertical="center"/>
    </xf>
    <xf numFmtId="2" fontId="20" fillId="20" borderId="1" xfId="0" applyNumberFormat="1" applyFont="1" applyFill="1" applyBorder="1" applyAlignment="1">
      <alignment horizontal="right" vertical="center"/>
    </xf>
    <xf numFmtId="167" fontId="20" fillId="20" borderId="1" xfId="0" applyNumberFormat="1" applyFont="1" applyFill="1" applyBorder="1" applyAlignment="1">
      <alignment horizontal="right" vertical="center"/>
    </xf>
    <xf numFmtId="3" fontId="21" fillId="20" borderId="1" xfId="0" applyNumberFormat="1" applyFont="1" applyFill="1" applyBorder="1" applyAlignment="1">
      <alignment horizontal="right" vertical="center"/>
    </xf>
    <xf numFmtId="167" fontId="21" fillId="20" borderId="1" xfId="0" applyNumberFormat="1" applyFont="1" applyFill="1" applyBorder="1" applyAlignment="1">
      <alignment horizontal="right" vertical="center"/>
    </xf>
    <xf numFmtId="165" fontId="20" fillId="20" borderId="1" xfId="0" applyNumberFormat="1" applyFont="1" applyFill="1" applyBorder="1" applyAlignment="1">
      <alignment horizontal="right" vertical="center"/>
    </xf>
    <xf numFmtId="0" fontId="20" fillId="20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16" fillId="30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165" fontId="16" fillId="26" borderId="1" xfId="0" applyNumberFormat="1" applyFont="1" applyFill="1" applyBorder="1" applyAlignment="1">
      <alignment horizontal="right" vertical="center"/>
    </xf>
    <xf numFmtId="165" fontId="16" fillId="30" borderId="1" xfId="0" applyNumberFormat="1" applyFont="1" applyFill="1" applyBorder="1" applyAlignment="1">
      <alignment horizontal="right" vertical="center"/>
    </xf>
    <xf numFmtId="0" fontId="22" fillId="26" borderId="1" xfId="0" applyFont="1" applyFill="1" applyBorder="1" applyAlignment="1">
      <alignment horizontal="center" vertical="center"/>
    </xf>
    <xf numFmtId="0" fontId="23" fillId="26" borderId="1" xfId="0" applyFont="1" applyFill="1" applyBorder="1" applyAlignment="1">
      <alignment horizontal="center" vertical="center"/>
    </xf>
    <xf numFmtId="2" fontId="23" fillId="26" borderId="1" xfId="0" applyNumberFormat="1" applyFont="1" applyFill="1" applyBorder="1" applyAlignment="1">
      <alignment horizontal="right" vertical="center"/>
    </xf>
    <xf numFmtId="3" fontId="23" fillId="26" borderId="1" xfId="0" applyNumberFormat="1" applyFont="1" applyFill="1" applyBorder="1" applyAlignment="1">
      <alignment horizontal="right" vertical="center"/>
    </xf>
    <xf numFmtId="167" fontId="23" fillId="26" borderId="1" xfId="0" applyNumberFormat="1" applyFont="1" applyFill="1" applyBorder="1" applyAlignment="1">
      <alignment horizontal="right" vertical="center"/>
    </xf>
    <xf numFmtId="165" fontId="23" fillId="26" borderId="1" xfId="0" applyNumberFormat="1" applyFont="1" applyFill="1" applyBorder="1" applyAlignment="1">
      <alignment horizontal="right" vertical="center"/>
    </xf>
    <xf numFmtId="0" fontId="23" fillId="26" borderId="1" xfId="0" applyFont="1" applyFill="1" applyBorder="1" applyAlignment="1">
      <alignment horizontal="right" vertical="center"/>
    </xf>
    <xf numFmtId="0" fontId="22" fillId="30" borderId="1" xfId="0" applyFont="1" applyFill="1" applyBorder="1" applyAlignment="1">
      <alignment horizontal="center" vertical="center"/>
    </xf>
    <xf numFmtId="0" fontId="23" fillId="30" borderId="1" xfId="0" applyFont="1" applyFill="1" applyBorder="1" applyAlignment="1">
      <alignment horizontal="center" vertical="center"/>
    </xf>
    <xf numFmtId="2" fontId="23" fillId="30" borderId="1" xfId="0" applyNumberFormat="1" applyFont="1" applyFill="1" applyBorder="1" applyAlignment="1">
      <alignment horizontal="right" vertical="center"/>
    </xf>
    <xf numFmtId="3" fontId="23" fillId="30" borderId="1" xfId="0" applyNumberFormat="1" applyFont="1" applyFill="1" applyBorder="1" applyAlignment="1">
      <alignment horizontal="right" vertical="center"/>
    </xf>
    <xf numFmtId="167" fontId="23" fillId="30" borderId="1" xfId="0" applyNumberFormat="1" applyFont="1" applyFill="1" applyBorder="1" applyAlignment="1">
      <alignment horizontal="right" vertical="center"/>
    </xf>
    <xf numFmtId="165" fontId="23" fillId="30" borderId="1" xfId="0" applyNumberFormat="1" applyFont="1" applyFill="1" applyBorder="1" applyAlignment="1">
      <alignment horizontal="right" vertical="center"/>
    </xf>
    <xf numFmtId="0" fontId="23" fillId="30" borderId="1" xfId="0" applyFont="1" applyFill="1" applyBorder="1" applyAlignment="1">
      <alignment horizontal="right" vertical="center"/>
    </xf>
    <xf numFmtId="0" fontId="22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2" fontId="23" fillId="7" borderId="1" xfId="0" applyNumberFormat="1" applyFont="1" applyFill="1" applyBorder="1" applyAlignment="1">
      <alignment horizontal="right" vertical="center"/>
    </xf>
    <xf numFmtId="3" fontId="23" fillId="7" borderId="1" xfId="0" applyNumberFormat="1" applyFont="1" applyFill="1" applyBorder="1" applyAlignment="1">
      <alignment horizontal="right" vertical="center"/>
    </xf>
    <xf numFmtId="167" fontId="23" fillId="7" borderId="1" xfId="0" applyNumberFormat="1" applyFont="1" applyFill="1" applyBorder="1" applyAlignment="1">
      <alignment horizontal="right" vertical="center"/>
    </xf>
    <xf numFmtId="165" fontId="23" fillId="7" borderId="1" xfId="0" applyNumberFormat="1" applyFont="1" applyFill="1" applyBorder="1" applyAlignment="1">
      <alignment horizontal="right" vertical="center"/>
    </xf>
    <xf numFmtId="0" fontId="23" fillId="7" borderId="1" xfId="0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2" fontId="23" fillId="6" borderId="1" xfId="0" applyNumberFormat="1" applyFont="1" applyFill="1" applyBorder="1" applyAlignment="1">
      <alignment horizontal="right" vertical="center"/>
    </xf>
    <xf numFmtId="3" fontId="23" fillId="6" borderId="1" xfId="0" applyNumberFormat="1" applyFont="1" applyFill="1" applyBorder="1" applyAlignment="1">
      <alignment horizontal="right" vertical="center"/>
    </xf>
    <xf numFmtId="167" fontId="23" fillId="6" borderId="1" xfId="0" applyNumberFormat="1" applyFont="1" applyFill="1" applyBorder="1" applyAlignment="1">
      <alignment horizontal="right" vertical="center"/>
    </xf>
    <xf numFmtId="165" fontId="23" fillId="6" borderId="1" xfId="0" applyNumberFormat="1" applyFont="1" applyFill="1" applyBorder="1" applyAlignment="1">
      <alignment horizontal="right" vertical="center"/>
    </xf>
    <xf numFmtId="0" fontId="23" fillId="6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 wrapText="1"/>
    </xf>
    <xf numFmtId="0" fontId="19" fillId="20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5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wrapText="1"/>
    </xf>
    <xf numFmtId="0" fontId="11" fillId="3" borderId="0" xfId="0" applyFont="1" applyFill="1" applyAlignment="1">
      <alignment horizontal="left"/>
    </xf>
    <xf numFmtId="0" fontId="15" fillId="5" borderId="0" xfId="0" applyFont="1" applyFill="1" applyAlignment="1">
      <alignment horizontal="center" vertical="center"/>
    </xf>
    <xf numFmtId="0" fontId="15" fillId="1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0F7EE"/>
      <rgbColor rgb="FFFF00FF"/>
      <rgbColor rgb="FFF8FFF8"/>
      <rgbColor rgb="FF800000"/>
      <rgbColor rgb="FF008000"/>
      <rgbColor rgb="FF000080"/>
      <rgbColor rgb="FF7F6000"/>
      <rgbColor rgb="FF800080"/>
      <rgbColor rgb="FF1F7391"/>
      <rgbColor rgb="FFCCCCCC"/>
      <rgbColor rgb="FF808080"/>
      <rgbColor rgb="FFEEF4FB"/>
      <rgbColor rgb="FF7030A0"/>
      <rgbColor rgb="FFFFF2CC"/>
      <rgbColor rgb="FFD6EAF8"/>
      <rgbColor rgb="FF660066"/>
      <rgbColor rgb="FFFEF5F3"/>
      <rgbColor rgb="FF0066CC"/>
      <rgbColor rgb="FFD6E4F0"/>
      <rgbColor rgb="FF000080"/>
      <rgbColor rgb="FFFF00FF"/>
      <rgbColor rgb="FFF0FFF0"/>
      <rgbColor rgb="FF00FFFF"/>
      <rgbColor rgb="FF800080"/>
      <rgbColor rgb="FF800000"/>
      <rgbColor rgb="FF008080"/>
      <rgbColor rgb="FF0000FF"/>
      <rgbColor rgb="FF00CCFF"/>
      <rgbColor rgb="FFEAF5FB"/>
      <rgbColor rgb="FFE2EFDA"/>
      <rgbColor rgb="FFFFF3E0"/>
      <rgbColor rgb="FFEDE7F6"/>
      <rgbColor rgb="FFFCE4D6"/>
      <rgbColor rgb="FFF2F2F2"/>
      <rgbColor rgb="FFFFE0B2"/>
      <rgbColor rgb="FF2E75B6"/>
      <rgbColor rgb="FFF5FDFF"/>
      <rgbColor rgb="FFF5FFF5"/>
      <rgbColor rgb="FFFEF0EF"/>
      <rgbColor rgb="FFFFF5F5"/>
      <rgbColor rgb="FFE26B0A"/>
      <rgbColor rgb="FF595959"/>
      <rgbColor rgb="FFF0F5FF"/>
      <rgbColor rgb="FF003366"/>
      <rgbColor rgb="FF339966"/>
      <rgbColor rgb="FF003300"/>
      <rgbColor rgb="FF333300"/>
      <rgbColor rgb="FF7F3F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1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" sqref="B2:N2"/>
    </sheetView>
  </sheetViews>
  <sheetFormatPr defaultColWidth="8.6328125" defaultRowHeight="14.5" x14ac:dyDescent="0.35"/>
  <cols>
    <col min="1" max="1" width="3" customWidth="1"/>
    <col min="2" max="2" width="8" customWidth="1"/>
    <col min="3" max="12" width="10" customWidth="1"/>
    <col min="13" max="13" width="12" customWidth="1"/>
    <col min="14" max="14" width="14" customWidth="1"/>
  </cols>
  <sheetData>
    <row r="1" spans="2:14" ht="21.75" customHeight="1" x14ac:dyDescent="0.35">
      <c r="B1" s="185" t="s">
        <v>0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</row>
    <row r="2" spans="2:14" ht="12.75" customHeight="1" x14ac:dyDescent="0.35">
      <c r="B2" s="187" t="s">
        <v>1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2:14" ht="21.75" customHeight="1" x14ac:dyDescent="0.35"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1" t="s">
        <v>13</v>
      </c>
      <c r="N3" s="3" t="s">
        <v>14</v>
      </c>
    </row>
    <row r="4" spans="2:14" ht="15.75" customHeight="1" x14ac:dyDescent="0.35">
      <c r="B4" s="4" t="s">
        <v>15</v>
      </c>
      <c r="C4" s="5">
        <v>10</v>
      </c>
      <c r="D4" s="5">
        <v>23</v>
      </c>
      <c r="E4" s="5">
        <v>66</v>
      </c>
      <c r="F4" s="5">
        <v>159</v>
      </c>
      <c r="G4" s="5">
        <v>337</v>
      </c>
      <c r="H4" s="5">
        <v>544</v>
      </c>
      <c r="I4" s="5">
        <v>605</v>
      </c>
      <c r="J4" s="5">
        <v>1</v>
      </c>
      <c r="K4" s="5">
        <v>39</v>
      </c>
      <c r="L4" s="5">
        <v>99</v>
      </c>
      <c r="M4" s="6">
        <f t="shared" ref="M4:M30" si="0">SUM(C4:L4)</f>
        <v>1883</v>
      </c>
      <c r="N4" s="7">
        <f t="shared" ref="N4:N31" si="1">(J4-I4)/I4</f>
        <v>-0.99834710743801658</v>
      </c>
    </row>
    <row r="5" spans="2:14" ht="15.75" customHeight="1" x14ac:dyDescent="0.35">
      <c r="B5" s="8" t="s">
        <v>16</v>
      </c>
      <c r="C5" s="9">
        <v>27</v>
      </c>
      <c r="D5" s="9">
        <v>77</v>
      </c>
      <c r="E5" s="9">
        <v>121</v>
      </c>
      <c r="F5" s="9">
        <v>722</v>
      </c>
      <c r="G5" s="9">
        <v>1261</v>
      </c>
      <c r="H5" s="9">
        <v>2587</v>
      </c>
      <c r="I5" s="9">
        <v>3488</v>
      </c>
      <c r="J5" s="9">
        <v>4</v>
      </c>
      <c r="K5" s="9">
        <v>532</v>
      </c>
      <c r="L5" s="9">
        <v>756</v>
      </c>
      <c r="M5" s="10">
        <f t="shared" si="0"/>
        <v>9575</v>
      </c>
      <c r="N5" s="7">
        <f t="shared" si="1"/>
        <v>-0.99885321100917435</v>
      </c>
    </row>
    <row r="6" spans="2:14" ht="15.75" customHeight="1" x14ac:dyDescent="0.35">
      <c r="B6" s="4" t="s">
        <v>17</v>
      </c>
      <c r="C6" s="5">
        <v>20</v>
      </c>
      <c r="D6" s="5">
        <v>88</v>
      </c>
      <c r="E6" s="5">
        <v>192</v>
      </c>
      <c r="F6" s="5">
        <v>397</v>
      </c>
      <c r="G6" s="5">
        <v>1067</v>
      </c>
      <c r="H6" s="5">
        <v>2142</v>
      </c>
      <c r="I6" s="5">
        <v>4005</v>
      </c>
      <c r="J6" s="5">
        <v>16</v>
      </c>
      <c r="K6" s="5">
        <v>122</v>
      </c>
      <c r="L6" s="5">
        <v>232</v>
      </c>
      <c r="M6" s="6">
        <f t="shared" si="0"/>
        <v>8281</v>
      </c>
      <c r="N6" s="7">
        <f t="shared" si="1"/>
        <v>-0.99600499375780271</v>
      </c>
    </row>
    <row r="7" spans="2:14" ht="15.75" customHeight="1" x14ac:dyDescent="0.35">
      <c r="B7" s="8" t="s">
        <v>18</v>
      </c>
      <c r="C7" s="9">
        <v>0</v>
      </c>
      <c r="D7" s="9">
        <v>22</v>
      </c>
      <c r="E7" s="9">
        <v>21</v>
      </c>
      <c r="F7" s="9">
        <v>111</v>
      </c>
      <c r="G7" s="9">
        <v>226</v>
      </c>
      <c r="H7" s="9">
        <v>355</v>
      </c>
      <c r="I7" s="9">
        <v>551</v>
      </c>
      <c r="J7" s="9">
        <v>41</v>
      </c>
      <c r="K7" s="9">
        <v>66</v>
      </c>
      <c r="L7" s="9">
        <v>170</v>
      </c>
      <c r="M7" s="10">
        <f t="shared" si="0"/>
        <v>1563</v>
      </c>
      <c r="N7" s="7">
        <f t="shared" si="1"/>
        <v>-0.925589836660617</v>
      </c>
    </row>
    <row r="8" spans="2:14" ht="15.75" customHeight="1" x14ac:dyDescent="0.35">
      <c r="B8" s="4" t="s">
        <v>19</v>
      </c>
      <c r="C8" s="5">
        <v>245</v>
      </c>
      <c r="D8" s="5">
        <v>455</v>
      </c>
      <c r="E8" s="5">
        <v>790</v>
      </c>
      <c r="F8" s="5">
        <v>2920</v>
      </c>
      <c r="G8" s="5">
        <v>6161</v>
      </c>
      <c r="H8" s="5">
        <v>8501</v>
      </c>
      <c r="I8" s="5">
        <v>11821</v>
      </c>
      <c r="J8" s="5">
        <v>72</v>
      </c>
      <c r="K8" s="5">
        <v>1541</v>
      </c>
      <c r="L8" s="5">
        <v>4306</v>
      </c>
      <c r="M8" s="6">
        <f t="shared" si="0"/>
        <v>36812</v>
      </c>
      <c r="N8" s="7">
        <f t="shared" si="1"/>
        <v>-0.99390914474240755</v>
      </c>
    </row>
    <row r="9" spans="2:14" ht="15.75" customHeight="1" x14ac:dyDescent="0.35">
      <c r="B9" s="8" t="s">
        <v>20</v>
      </c>
      <c r="C9" s="9">
        <v>388</v>
      </c>
      <c r="D9" s="9">
        <v>692</v>
      </c>
      <c r="E9" s="9">
        <v>993</v>
      </c>
      <c r="F9" s="9">
        <v>2102</v>
      </c>
      <c r="G9" s="9">
        <v>3117</v>
      </c>
      <c r="H9" s="9">
        <v>6179</v>
      </c>
      <c r="I9" s="9">
        <v>6438</v>
      </c>
      <c r="J9" s="9">
        <v>18</v>
      </c>
      <c r="K9" s="9">
        <v>1324</v>
      </c>
      <c r="L9" s="9">
        <v>1409</v>
      </c>
      <c r="M9" s="10">
        <f t="shared" si="0"/>
        <v>22660</v>
      </c>
      <c r="N9" s="7">
        <f t="shared" si="1"/>
        <v>-0.99720410065237652</v>
      </c>
    </row>
    <row r="10" spans="2:14" ht="15.75" customHeight="1" x14ac:dyDescent="0.35">
      <c r="B10" s="4" t="s">
        <v>21</v>
      </c>
      <c r="C10" s="5">
        <v>189</v>
      </c>
      <c r="D10" s="5">
        <v>319</v>
      </c>
      <c r="E10" s="5">
        <v>500</v>
      </c>
      <c r="F10" s="5">
        <v>2483</v>
      </c>
      <c r="G10" s="5">
        <v>5045</v>
      </c>
      <c r="H10" s="5">
        <v>8289</v>
      </c>
      <c r="I10" s="5">
        <v>10861</v>
      </c>
      <c r="J10" s="5">
        <v>18</v>
      </c>
      <c r="K10" s="5">
        <v>1148</v>
      </c>
      <c r="L10" s="5">
        <v>1512</v>
      </c>
      <c r="M10" s="6">
        <f t="shared" si="0"/>
        <v>30364</v>
      </c>
      <c r="N10" s="7">
        <f t="shared" si="1"/>
        <v>-0.99834269404290576</v>
      </c>
    </row>
    <row r="11" spans="2:14" ht="15.75" customHeight="1" x14ac:dyDescent="0.35">
      <c r="B11" s="8" t="s">
        <v>22</v>
      </c>
      <c r="C11" s="9">
        <v>40</v>
      </c>
      <c r="D11" s="9">
        <v>135</v>
      </c>
      <c r="E11" s="9">
        <v>321</v>
      </c>
      <c r="F11" s="9">
        <v>658</v>
      </c>
      <c r="G11" s="9">
        <v>750</v>
      </c>
      <c r="H11" s="9">
        <v>2320</v>
      </c>
      <c r="I11" s="9">
        <v>3015</v>
      </c>
      <c r="J11" s="9">
        <v>39</v>
      </c>
      <c r="K11" s="9">
        <v>515</v>
      </c>
      <c r="L11" s="9">
        <v>1496</v>
      </c>
      <c r="M11" s="10">
        <f t="shared" si="0"/>
        <v>9289</v>
      </c>
      <c r="N11" s="7">
        <f t="shared" si="1"/>
        <v>-0.98706467661691544</v>
      </c>
    </row>
    <row r="12" spans="2:14" ht="15.75" customHeight="1" x14ac:dyDescent="0.35">
      <c r="B12" s="4" t="s">
        <v>23</v>
      </c>
      <c r="C12" s="5">
        <v>115</v>
      </c>
      <c r="D12" s="5">
        <v>301</v>
      </c>
      <c r="E12" s="5">
        <v>594</v>
      </c>
      <c r="F12" s="5">
        <v>3046</v>
      </c>
      <c r="G12" s="5">
        <v>8498</v>
      </c>
      <c r="H12" s="5">
        <v>22040</v>
      </c>
      <c r="I12" s="5">
        <v>29119</v>
      </c>
      <c r="J12" s="5">
        <v>52</v>
      </c>
      <c r="K12" s="5">
        <v>5050</v>
      </c>
      <c r="L12" s="5">
        <v>5594</v>
      </c>
      <c r="M12" s="6">
        <f t="shared" si="0"/>
        <v>74409</v>
      </c>
      <c r="N12" s="7">
        <f t="shared" si="1"/>
        <v>-0.99821422438957386</v>
      </c>
    </row>
    <row r="13" spans="2:14" ht="15.75" customHeight="1" x14ac:dyDescent="0.35">
      <c r="B13" s="8" t="s">
        <v>24</v>
      </c>
      <c r="C13" s="9">
        <v>32</v>
      </c>
      <c r="D13" s="9">
        <v>90</v>
      </c>
      <c r="E13" s="9">
        <v>118</v>
      </c>
      <c r="F13" s="9">
        <v>636</v>
      </c>
      <c r="G13" s="9">
        <v>1500</v>
      </c>
      <c r="H13" s="9">
        <v>2852</v>
      </c>
      <c r="I13" s="9">
        <v>4983</v>
      </c>
      <c r="J13" s="9">
        <v>2</v>
      </c>
      <c r="K13" s="9">
        <v>513</v>
      </c>
      <c r="L13" s="9">
        <v>2285</v>
      </c>
      <c r="M13" s="10">
        <f t="shared" si="0"/>
        <v>13011</v>
      </c>
      <c r="N13" s="7">
        <f t="shared" si="1"/>
        <v>-0.99959863536022475</v>
      </c>
    </row>
    <row r="14" spans="2:14" ht="15.75" customHeight="1" x14ac:dyDescent="0.35">
      <c r="B14" s="4" t="s">
        <v>25</v>
      </c>
      <c r="C14" s="5">
        <v>272</v>
      </c>
      <c r="D14" s="5">
        <v>489</v>
      </c>
      <c r="E14" s="5">
        <v>1089</v>
      </c>
      <c r="F14" s="5">
        <v>6591</v>
      </c>
      <c r="G14" s="5">
        <v>10111</v>
      </c>
      <c r="H14" s="5">
        <v>23876</v>
      </c>
      <c r="I14" s="5">
        <v>36600</v>
      </c>
      <c r="J14" s="5">
        <v>101</v>
      </c>
      <c r="K14" s="5">
        <v>7766</v>
      </c>
      <c r="L14" s="5">
        <v>8984</v>
      </c>
      <c r="M14" s="6">
        <f t="shared" si="0"/>
        <v>95879</v>
      </c>
      <c r="N14" s="7">
        <f t="shared" si="1"/>
        <v>-0.99724043715846999</v>
      </c>
    </row>
    <row r="15" spans="2:14" ht="15.75" customHeight="1" x14ac:dyDescent="0.35">
      <c r="B15" s="8" t="s">
        <v>26</v>
      </c>
      <c r="C15" s="9">
        <v>117</v>
      </c>
      <c r="D15" s="9">
        <v>190</v>
      </c>
      <c r="E15" s="9">
        <v>187</v>
      </c>
      <c r="F15" s="9">
        <v>1053</v>
      </c>
      <c r="G15" s="9">
        <v>2364</v>
      </c>
      <c r="H15" s="9">
        <v>4750</v>
      </c>
      <c r="I15" s="9">
        <v>8979</v>
      </c>
      <c r="J15" s="9">
        <v>18</v>
      </c>
      <c r="K15" s="9">
        <v>1180</v>
      </c>
      <c r="L15" s="9">
        <v>1513</v>
      </c>
      <c r="M15" s="10">
        <f t="shared" si="0"/>
        <v>20351</v>
      </c>
      <c r="N15" s="7">
        <f t="shared" si="1"/>
        <v>-0.99799532241897759</v>
      </c>
    </row>
    <row r="16" spans="2:14" ht="15.75" customHeight="1" x14ac:dyDescent="0.35">
      <c r="B16" s="4" t="s">
        <v>27</v>
      </c>
      <c r="C16" s="5">
        <v>143</v>
      </c>
      <c r="D16" s="5">
        <v>226</v>
      </c>
      <c r="E16" s="5">
        <v>325</v>
      </c>
      <c r="F16" s="5">
        <v>1654</v>
      </c>
      <c r="G16" s="5">
        <v>2269</v>
      </c>
      <c r="H16" s="5">
        <v>6044</v>
      </c>
      <c r="I16" s="5">
        <v>13272</v>
      </c>
      <c r="J16" s="5">
        <v>37</v>
      </c>
      <c r="K16" s="5">
        <v>2254</v>
      </c>
      <c r="L16" s="5">
        <v>3388</v>
      </c>
      <c r="M16" s="6">
        <f t="shared" si="0"/>
        <v>29612</v>
      </c>
      <c r="N16" s="7">
        <f t="shared" si="1"/>
        <v>-0.9972121760096444</v>
      </c>
    </row>
    <row r="17" spans="2:14" ht="15.75" customHeight="1" x14ac:dyDescent="0.35">
      <c r="B17" s="8" t="s">
        <v>28</v>
      </c>
      <c r="C17" s="9">
        <v>51</v>
      </c>
      <c r="D17" s="9">
        <v>68</v>
      </c>
      <c r="E17" s="9">
        <v>84</v>
      </c>
      <c r="F17" s="9">
        <v>490</v>
      </c>
      <c r="G17" s="9">
        <v>1937</v>
      </c>
      <c r="H17" s="9">
        <v>4052</v>
      </c>
      <c r="I17" s="9">
        <v>6128</v>
      </c>
      <c r="J17" s="9">
        <v>18</v>
      </c>
      <c r="K17" s="9">
        <v>966</v>
      </c>
      <c r="L17" s="9">
        <v>1668</v>
      </c>
      <c r="M17" s="10">
        <f t="shared" si="0"/>
        <v>15462</v>
      </c>
      <c r="N17" s="7">
        <f t="shared" si="1"/>
        <v>-0.99706266318537862</v>
      </c>
    </row>
    <row r="18" spans="2:14" ht="15.75" customHeight="1" x14ac:dyDescent="0.35">
      <c r="B18" s="4" t="s">
        <v>29</v>
      </c>
      <c r="C18" s="5">
        <v>60</v>
      </c>
      <c r="D18" s="5">
        <v>104</v>
      </c>
      <c r="E18" s="5">
        <v>639</v>
      </c>
      <c r="F18" s="5">
        <v>1179</v>
      </c>
      <c r="G18" s="5">
        <v>1636</v>
      </c>
      <c r="H18" s="5">
        <v>2913</v>
      </c>
      <c r="I18" s="5">
        <v>3712</v>
      </c>
      <c r="J18" s="5">
        <v>4</v>
      </c>
      <c r="K18" s="5">
        <v>541</v>
      </c>
      <c r="L18" s="5">
        <v>901</v>
      </c>
      <c r="M18" s="6">
        <f t="shared" si="0"/>
        <v>11689</v>
      </c>
      <c r="N18" s="7">
        <f t="shared" si="1"/>
        <v>-0.99892241379310343</v>
      </c>
    </row>
    <row r="19" spans="2:14" ht="15.75" customHeight="1" x14ac:dyDescent="0.35">
      <c r="B19" s="8" t="s">
        <v>30</v>
      </c>
      <c r="C19" s="9">
        <v>125</v>
      </c>
      <c r="D19" s="9">
        <v>286</v>
      </c>
      <c r="E19" s="9">
        <v>384</v>
      </c>
      <c r="F19" s="9">
        <v>1968</v>
      </c>
      <c r="G19" s="9">
        <v>3765</v>
      </c>
      <c r="H19" s="9">
        <v>6335</v>
      </c>
      <c r="I19" s="9">
        <v>8307</v>
      </c>
      <c r="J19" s="9">
        <v>10</v>
      </c>
      <c r="K19" s="9">
        <v>955</v>
      </c>
      <c r="L19" s="9">
        <v>1515</v>
      </c>
      <c r="M19" s="10">
        <f t="shared" si="0"/>
        <v>23650</v>
      </c>
      <c r="N19" s="7">
        <f t="shared" si="1"/>
        <v>-0.99879619597929459</v>
      </c>
    </row>
    <row r="20" spans="2:14" ht="15.75" customHeight="1" x14ac:dyDescent="0.35">
      <c r="B20" s="4" t="s">
        <v>31</v>
      </c>
      <c r="C20" s="5">
        <v>37</v>
      </c>
      <c r="D20" s="5">
        <v>112</v>
      </c>
      <c r="E20" s="5">
        <v>129</v>
      </c>
      <c r="F20" s="5">
        <v>288</v>
      </c>
      <c r="G20" s="5">
        <v>462</v>
      </c>
      <c r="H20" s="5">
        <v>1209</v>
      </c>
      <c r="I20" s="5">
        <v>1426</v>
      </c>
      <c r="J20" s="5">
        <v>0</v>
      </c>
      <c r="K20" s="5">
        <v>272</v>
      </c>
      <c r="L20" s="5">
        <v>284</v>
      </c>
      <c r="M20" s="6">
        <f t="shared" si="0"/>
        <v>4219</v>
      </c>
      <c r="N20" s="7">
        <f t="shared" si="1"/>
        <v>-1</v>
      </c>
    </row>
    <row r="21" spans="2:14" ht="15.75" customHeight="1" x14ac:dyDescent="0.35">
      <c r="B21" s="8" t="s">
        <v>32</v>
      </c>
      <c r="C21" s="9">
        <v>386</v>
      </c>
      <c r="D21" s="9">
        <v>518</v>
      </c>
      <c r="E21" s="9">
        <v>1238</v>
      </c>
      <c r="F21" s="9">
        <v>7341</v>
      </c>
      <c r="G21" s="9">
        <v>17292</v>
      </c>
      <c r="H21" s="9">
        <v>15235</v>
      </c>
      <c r="I21" s="9">
        <v>38850</v>
      </c>
      <c r="J21" s="9">
        <v>87</v>
      </c>
      <c r="K21" s="9">
        <v>5326</v>
      </c>
      <c r="L21" s="9">
        <v>7310</v>
      </c>
      <c r="M21" s="10">
        <f t="shared" si="0"/>
        <v>93583</v>
      </c>
      <c r="N21" s="7">
        <f t="shared" si="1"/>
        <v>-0.99776061776061775</v>
      </c>
    </row>
    <row r="22" spans="2:14" ht="15.75" customHeight="1" x14ac:dyDescent="0.35">
      <c r="B22" s="4" t="s">
        <v>33</v>
      </c>
      <c r="C22" s="5">
        <v>399</v>
      </c>
      <c r="D22" s="5">
        <v>672</v>
      </c>
      <c r="E22" s="5">
        <v>1481</v>
      </c>
      <c r="F22" s="5">
        <v>1502</v>
      </c>
      <c r="G22" s="5">
        <v>3221</v>
      </c>
      <c r="H22" s="5">
        <v>7957</v>
      </c>
      <c r="I22" s="5">
        <v>14706</v>
      </c>
      <c r="J22" s="5">
        <v>49</v>
      </c>
      <c r="K22" s="5">
        <v>2736</v>
      </c>
      <c r="L22" s="5">
        <v>5065</v>
      </c>
      <c r="M22" s="6">
        <f t="shared" si="0"/>
        <v>37788</v>
      </c>
      <c r="N22" s="7">
        <f t="shared" si="1"/>
        <v>-0.9966680266557868</v>
      </c>
    </row>
    <row r="23" spans="2:14" ht="15.75" customHeight="1" x14ac:dyDescent="0.35">
      <c r="B23" s="8" t="s">
        <v>34</v>
      </c>
      <c r="C23" s="9">
        <v>76</v>
      </c>
      <c r="D23" s="9">
        <v>78</v>
      </c>
      <c r="E23" s="9">
        <v>107</v>
      </c>
      <c r="F23" s="9">
        <v>939</v>
      </c>
      <c r="G23" s="9">
        <v>1181</v>
      </c>
      <c r="H23" s="9">
        <v>1932</v>
      </c>
      <c r="I23" s="9">
        <v>2477</v>
      </c>
      <c r="J23" s="9">
        <v>3</v>
      </c>
      <c r="K23" s="9">
        <v>652</v>
      </c>
      <c r="L23" s="9">
        <v>564</v>
      </c>
      <c r="M23" s="10">
        <f t="shared" si="0"/>
        <v>8009</v>
      </c>
      <c r="N23" s="7">
        <f t="shared" si="1"/>
        <v>-0.9987888574888979</v>
      </c>
    </row>
    <row r="24" spans="2:14" ht="15.75" customHeight="1" x14ac:dyDescent="0.35">
      <c r="B24" s="4" t="s">
        <v>35</v>
      </c>
      <c r="C24" s="5">
        <v>84</v>
      </c>
      <c r="D24" s="5">
        <v>88</v>
      </c>
      <c r="E24" s="5">
        <v>207</v>
      </c>
      <c r="F24" s="5">
        <v>956</v>
      </c>
      <c r="G24" s="5">
        <v>1899</v>
      </c>
      <c r="H24" s="5">
        <v>3543</v>
      </c>
      <c r="I24" s="5">
        <v>5550</v>
      </c>
      <c r="J24" s="5">
        <v>8</v>
      </c>
      <c r="K24" s="5">
        <v>378</v>
      </c>
      <c r="L24" s="5">
        <v>650</v>
      </c>
      <c r="M24" s="6">
        <f t="shared" si="0"/>
        <v>13363</v>
      </c>
      <c r="N24" s="7">
        <f t="shared" si="1"/>
        <v>-0.99855855855855857</v>
      </c>
    </row>
    <row r="25" spans="2:14" ht="15.75" customHeight="1" x14ac:dyDescent="0.35">
      <c r="B25" s="8" t="s">
        <v>36</v>
      </c>
      <c r="C25" s="9">
        <v>0</v>
      </c>
      <c r="D25" s="9">
        <v>7</v>
      </c>
      <c r="E25" s="9">
        <v>16</v>
      </c>
      <c r="F25" s="9">
        <v>63</v>
      </c>
      <c r="G25" s="9">
        <v>104</v>
      </c>
      <c r="H25" s="9">
        <v>241</v>
      </c>
      <c r="I25" s="9">
        <v>515</v>
      </c>
      <c r="J25" s="9">
        <v>6</v>
      </c>
      <c r="K25" s="9">
        <v>56</v>
      </c>
      <c r="L25" s="9">
        <v>47</v>
      </c>
      <c r="M25" s="10">
        <f t="shared" si="0"/>
        <v>1055</v>
      </c>
      <c r="N25" s="7">
        <f t="shared" si="1"/>
        <v>-0.98834951456310682</v>
      </c>
    </row>
    <row r="26" spans="2:14" ht="15.75" customHeight="1" x14ac:dyDescent="0.35">
      <c r="B26" s="4" t="s">
        <v>37</v>
      </c>
      <c r="C26" s="5">
        <v>863</v>
      </c>
      <c r="D26" s="5">
        <v>1460</v>
      </c>
      <c r="E26" s="5">
        <v>2059</v>
      </c>
      <c r="F26" s="5">
        <v>10957</v>
      </c>
      <c r="G26" s="5">
        <v>15875</v>
      </c>
      <c r="H26" s="5">
        <v>24668</v>
      </c>
      <c r="I26" s="5">
        <v>29744</v>
      </c>
      <c r="J26" s="5">
        <v>150</v>
      </c>
      <c r="K26" s="5">
        <v>5362</v>
      </c>
      <c r="L26" s="5">
        <v>4808</v>
      </c>
      <c r="M26" s="6">
        <f t="shared" si="0"/>
        <v>95946</v>
      </c>
      <c r="N26" s="7">
        <f t="shared" si="1"/>
        <v>-0.9949569661108123</v>
      </c>
    </row>
    <row r="27" spans="2:14" ht="15.75" customHeight="1" x14ac:dyDescent="0.35">
      <c r="B27" s="8" t="s">
        <v>38</v>
      </c>
      <c r="C27" s="9">
        <v>435</v>
      </c>
      <c r="D27" s="9">
        <v>500</v>
      </c>
      <c r="E27" s="9">
        <v>1043</v>
      </c>
      <c r="F27" s="9">
        <v>7220</v>
      </c>
      <c r="G27" s="9">
        <v>13006</v>
      </c>
      <c r="H27" s="9">
        <v>11286</v>
      </c>
      <c r="I27" s="9">
        <v>28247</v>
      </c>
      <c r="J27" s="9">
        <v>74</v>
      </c>
      <c r="K27" s="9">
        <v>5865</v>
      </c>
      <c r="L27" s="9">
        <v>5749</v>
      </c>
      <c r="M27" s="10">
        <f t="shared" si="0"/>
        <v>73425</v>
      </c>
      <c r="N27" s="7">
        <f t="shared" si="1"/>
        <v>-0.9973802527702057</v>
      </c>
    </row>
    <row r="28" spans="2:14" ht="15.75" customHeight="1" x14ac:dyDescent="0.35">
      <c r="B28" s="4" t="s">
        <v>39</v>
      </c>
      <c r="C28" s="5">
        <v>55</v>
      </c>
      <c r="D28" s="5">
        <v>86</v>
      </c>
      <c r="E28" s="5">
        <v>94</v>
      </c>
      <c r="F28" s="5">
        <v>364</v>
      </c>
      <c r="G28" s="5">
        <v>619</v>
      </c>
      <c r="H28" s="5">
        <v>1003</v>
      </c>
      <c r="I28" s="5">
        <v>1048</v>
      </c>
      <c r="J28" s="5">
        <v>1</v>
      </c>
      <c r="K28" s="5">
        <v>24</v>
      </c>
      <c r="L28" s="5">
        <v>467</v>
      </c>
      <c r="M28" s="6">
        <f t="shared" si="0"/>
        <v>3761</v>
      </c>
      <c r="N28" s="7">
        <f t="shared" si="1"/>
        <v>-0.99904580152671751</v>
      </c>
    </row>
    <row r="29" spans="2:14" ht="15.75" customHeight="1" x14ac:dyDescent="0.35">
      <c r="B29" s="8" t="s">
        <v>40</v>
      </c>
      <c r="C29" s="9">
        <v>1994</v>
      </c>
      <c r="D29" s="9">
        <v>3248</v>
      </c>
      <c r="E29" s="9">
        <v>4559</v>
      </c>
      <c r="F29" s="9">
        <v>24737</v>
      </c>
      <c r="G29" s="9">
        <v>23416</v>
      </c>
      <c r="H29" s="9">
        <v>60194</v>
      </c>
      <c r="I29" s="9">
        <v>84719</v>
      </c>
      <c r="J29" s="9">
        <v>196</v>
      </c>
      <c r="K29" s="9">
        <v>27463</v>
      </c>
      <c r="L29" s="9">
        <v>22670</v>
      </c>
      <c r="M29" s="10">
        <f t="shared" si="0"/>
        <v>253196</v>
      </c>
      <c r="N29" s="7">
        <f t="shared" si="1"/>
        <v>-0.99768646938703243</v>
      </c>
    </row>
    <row r="30" spans="2:14" ht="15.75" customHeight="1" x14ac:dyDescent="0.35">
      <c r="B30" s="4" t="s">
        <v>41</v>
      </c>
      <c r="C30" s="5">
        <v>59</v>
      </c>
      <c r="D30" s="5">
        <v>58</v>
      </c>
      <c r="E30" s="5">
        <v>103</v>
      </c>
      <c r="F30" s="5">
        <v>432</v>
      </c>
      <c r="G30" s="5">
        <v>753</v>
      </c>
      <c r="H30" s="5">
        <v>1622</v>
      </c>
      <c r="I30" s="5">
        <v>3056</v>
      </c>
      <c r="J30" s="5">
        <v>5</v>
      </c>
      <c r="K30" s="5">
        <v>652</v>
      </c>
      <c r="L30" s="5">
        <v>819</v>
      </c>
      <c r="M30" s="6">
        <f t="shared" si="0"/>
        <v>7559</v>
      </c>
      <c r="N30" s="7">
        <f t="shared" si="1"/>
        <v>-0.99836387434554974</v>
      </c>
    </row>
    <row r="31" spans="2:14" ht="18" customHeight="1" x14ac:dyDescent="0.35">
      <c r="B31" s="11" t="s">
        <v>42</v>
      </c>
      <c r="C31" s="12">
        <f t="shared" ref="C31:L31" si="2">SUM(C4:C30)</f>
        <v>6222</v>
      </c>
      <c r="D31" s="12">
        <f t="shared" si="2"/>
        <v>10392</v>
      </c>
      <c r="E31" s="12">
        <f t="shared" si="2"/>
        <v>17460</v>
      </c>
      <c r="F31" s="12">
        <f t="shared" si="2"/>
        <v>80968</v>
      </c>
      <c r="G31" s="12">
        <f t="shared" si="2"/>
        <v>127872</v>
      </c>
      <c r="H31" s="12">
        <f t="shared" si="2"/>
        <v>232669</v>
      </c>
      <c r="I31" s="12">
        <f t="shared" si="2"/>
        <v>362222</v>
      </c>
      <c r="J31" s="12">
        <f t="shared" si="2"/>
        <v>1030</v>
      </c>
      <c r="K31" s="12">
        <f t="shared" si="2"/>
        <v>73298</v>
      </c>
      <c r="L31" s="12">
        <f t="shared" si="2"/>
        <v>84261</v>
      </c>
      <c r="M31" s="12">
        <f>SUM(B31:L31)</f>
        <v>996394</v>
      </c>
      <c r="N31" s="13">
        <f t="shared" si="1"/>
        <v>-0.99715643997327608</v>
      </c>
    </row>
  </sheetData>
  <mergeCells count="2">
    <mergeCell ref="B1:N1"/>
    <mergeCell ref="B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1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8" customWidth="1"/>
    <col min="3" max="3" width="16" customWidth="1"/>
    <col min="4" max="7" width="14" customWidth="1"/>
  </cols>
  <sheetData>
    <row r="1" spans="2:7" ht="21.75" customHeight="1" x14ac:dyDescent="0.35">
      <c r="B1" s="189" t="s">
        <v>43</v>
      </c>
      <c r="C1" s="186"/>
      <c r="D1" s="186"/>
      <c r="E1" s="186"/>
      <c r="F1" s="186"/>
      <c r="G1" s="186"/>
    </row>
    <row r="2" spans="2:7" ht="12.75" customHeight="1" x14ac:dyDescent="0.35">
      <c r="B2" s="188" t="s">
        <v>44</v>
      </c>
      <c r="C2" s="186"/>
      <c r="D2" s="186"/>
      <c r="E2" s="186"/>
      <c r="F2" s="186"/>
      <c r="G2" s="186"/>
    </row>
    <row r="3" spans="2:7" ht="19.5" customHeight="1" x14ac:dyDescent="0.35">
      <c r="B3" s="1" t="s">
        <v>45</v>
      </c>
      <c r="C3" s="1" t="s">
        <v>46</v>
      </c>
      <c r="D3" s="1" t="s">
        <v>47</v>
      </c>
      <c r="E3" s="1" t="s">
        <v>48</v>
      </c>
      <c r="F3" s="1" t="s">
        <v>49</v>
      </c>
      <c r="G3" s="1" t="s">
        <v>50</v>
      </c>
    </row>
    <row r="4" spans="2:7" ht="15.75" customHeight="1" x14ac:dyDescent="0.35">
      <c r="B4" s="14">
        <v>2000</v>
      </c>
      <c r="C4" s="6">
        <v>44</v>
      </c>
      <c r="D4" s="15" t="s">
        <v>51</v>
      </c>
      <c r="E4" s="5">
        <v>44</v>
      </c>
      <c r="F4" s="5">
        <v>0</v>
      </c>
      <c r="G4" s="5">
        <v>0</v>
      </c>
    </row>
    <row r="5" spans="2:7" ht="15.75" customHeight="1" x14ac:dyDescent="0.35">
      <c r="B5" s="16">
        <v>2001</v>
      </c>
      <c r="C5" s="17">
        <v>68</v>
      </c>
      <c r="D5" s="18">
        <f t="shared" ref="D5:D21" si="0">(C5-C4)/C4</f>
        <v>0.54545454545454541</v>
      </c>
      <c r="E5" s="9">
        <v>68</v>
      </c>
      <c r="F5" s="9">
        <v>0</v>
      </c>
      <c r="G5" s="9">
        <v>0</v>
      </c>
    </row>
    <row r="6" spans="2:7" ht="15.75" customHeight="1" x14ac:dyDescent="0.35">
      <c r="B6" s="14">
        <v>2005</v>
      </c>
      <c r="C6" s="6">
        <v>501</v>
      </c>
      <c r="D6" s="19">
        <f t="shared" si="0"/>
        <v>6.367647058823529</v>
      </c>
      <c r="E6" s="5">
        <v>501</v>
      </c>
      <c r="F6" s="5">
        <v>0</v>
      </c>
      <c r="G6" s="5">
        <v>0</v>
      </c>
    </row>
    <row r="7" spans="2:7" ht="15.75" customHeight="1" x14ac:dyDescent="0.35">
      <c r="B7" s="16">
        <v>2010</v>
      </c>
      <c r="C7" s="17">
        <v>2500</v>
      </c>
      <c r="D7" s="18">
        <f t="shared" si="0"/>
        <v>3.9900199600798403</v>
      </c>
      <c r="E7" s="9">
        <v>2500</v>
      </c>
      <c r="F7" s="9">
        <v>0</v>
      </c>
      <c r="G7" s="9">
        <v>0</v>
      </c>
    </row>
    <row r="8" spans="2:7" ht="15.75" customHeight="1" x14ac:dyDescent="0.35">
      <c r="B8" s="14">
        <v>2012</v>
      </c>
      <c r="C8" s="6">
        <v>4268</v>
      </c>
      <c r="D8" s="19">
        <f t="shared" si="0"/>
        <v>0.70720000000000005</v>
      </c>
      <c r="E8" s="5">
        <v>4268</v>
      </c>
      <c r="F8" s="5">
        <v>0</v>
      </c>
      <c r="G8" s="5">
        <v>0</v>
      </c>
    </row>
    <row r="9" spans="2:7" ht="15.75" customHeight="1" x14ac:dyDescent="0.35">
      <c r="B9" s="16">
        <v>2013</v>
      </c>
      <c r="C9" s="17">
        <v>4311</v>
      </c>
      <c r="D9" s="18">
        <f t="shared" si="0"/>
        <v>1.007497656982193E-2</v>
      </c>
      <c r="E9" s="9">
        <v>4311</v>
      </c>
      <c r="F9" s="9">
        <v>0</v>
      </c>
      <c r="G9" s="9">
        <v>0</v>
      </c>
    </row>
    <row r="10" spans="2:7" ht="15.75" customHeight="1" x14ac:dyDescent="0.35">
      <c r="B10" s="14">
        <v>2014</v>
      </c>
      <c r="C10" s="6">
        <v>5497</v>
      </c>
      <c r="D10" s="19">
        <f t="shared" si="0"/>
        <v>0.2751101832521457</v>
      </c>
      <c r="E10" s="5">
        <v>5497</v>
      </c>
      <c r="F10" s="5">
        <v>0</v>
      </c>
      <c r="G10" s="5">
        <v>0</v>
      </c>
    </row>
    <row r="11" spans="2:7" ht="15.75" customHeight="1" x14ac:dyDescent="0.35">
      <c r="B11" s="16">
        <v>2015</v>
      </c>
      <c r="C11" s="17">
        <v>2875</v>
      </c>
      <c r="D11" s="18">
        <f t="shared" si="0"/>
        <v>-0.47698744769874479</v>
      </c>
      <c r="E11" s="9">
        <v>2875</v>
      </c>
      <c r="F11" s="9">
        <v>0</v>
      </c>
      <c r="G11" s="9">
        <v>0</v>
      </c>
    </row>
    <row r="12" spans="2:7" ht="15.75" customHeight="1" x14ac:dyDescent="0.35">
      <c r="B12" s="14">
        <v>2016</v>
      </c>
      <c r="C12" s="6">
        <v>6222</v>
      </c>
      <c r="D12" s="19">
        <f t="shared" si="0"/>
        <v>1.1641739130434783</v>
      </c>
      <c r="E12" s="5">
        <v>6023</v>
      </c>
      <c r="F12" s="5">
        <v>2375</v>
      </c>
      <c r="G12" s="5">
        <v>2170</v>
      </c>
    </row>
    <row r="13" spans="2:7" ht="15.75" customHeight="1" x14ac:dyDescent="0.35">
      <c r="B13" s="16">
        <v>2017</v>
      </c>
      <c r="C13" s="17">
        <v>10392</v>
      </c>
      <c r="D13" s="18">
        <f t="shared" si="0"/>
        <v>0.67020250723240116</v>
      </c>
      <c r="E13" s="9">
        <v>10223</v>
      </c>
      <c r="F13" s="9">
        <v>1432</v>
      </c>
      <c r="G13" s="9">
        <v>1371</v>
      </c>
    </row>
    <row r="14" spans="2:7" ht="15.75" customHeight="1" x14ac:dyDescent="0.35">
      <c r="B14" s="14">
        <v>2018</v>
      </c>
      <c r="C14" s="6">
        <v>17460</v>
      </c>
      <c r="D14" s="19">
        <f t="shared" si="0"/>
        <v>0.68013856812933027</v>
      </c>
      <c r="E14" s="5">
        <v>17397</v>
      </c>
      <c r="F14" s="5">
        <v>444</v>
      </c>
      <c r="G14" s="5">
        <v>3</v>
      </c>
    </row>
    <row r="15" spans="2:7" ht="15.75" customHeight="1" x14ac:dyDescent="0.35">
      <c r="B15" s="20">
        <v>2019</v>
      </c>
      <c r="C15" s="21">
        <v>80969</v>
      </c>
      <c r="D15" s="22">
        <f t="shared" si="0"/>
        <v>3.6373997709049255</v>
      </c>
      <c r="E15" s="23">
        <v>80824</v>
      </c>
      <c r="F15" s="23">
        <v>4123</v>
      </c>
      <c r="G15" s="23">
        <v>8</v>
      </c>
    </row>
    <row r="16" spans="2:7" ht="15.75" customHeight="1" x14ac:dyDescent="0.35">
      <c r="B16" s="14">
        <v>2020</v>
      </c>
      <c r="C16" s="6">
        <v>127872</v>
      </c>
      <c r="D16" s="19">
        <f t="shared" si="0"/>
        <v>0.5792710790549469</v>
      </c>
      <c r="E16" s="5">
        <v>127751</v>
      </c>
      <c r="F16" s="5">
        <v>2325</v>
      </c>
      <c r="G16" s="5">
        <v>5</v>
      </c>
    </row>
    <row r="17" spans="2:7" ht="15.75" customHeight="1" x14ac:dyDescent="0.35">
      <c r="B17" s="20">
        <v>2021</v>
      </c>
      <c r="C17" s="21">
        <v>232669</v>
      </c>
      <c r="D17" s="24">
        <f t="shared" si="0"/>
        <v>0.81954610860860866</v>
      </c>
      <c r="E17" s="23">
        <v>232505</v>
      </c>
      <c r="F17" s="23">
        <v>3110</v>
      </c>
      <c r="G17" s="23">
        <v>54</v>
      </c>
    </row>
    <row r="18" spans="2:7" ht="15.75" customHeight="1" x14ac:dyDescent="0.35">
      <c r="B18" s="25">
        <v>2022</v>
      </c>
      <c r="C18" s="26">
        <v>362224</v>
      </c>
      <c r="D18" s="27">
        <f t="shared" si="0"/>
        <v>0.55682106339907766</v>
      </c>
      <c r="E18" s="28">
        <v>362072</v>
      </c>
      <c r="F18" s="28">
        <v>3574</v>
      </c>
      <c r="G18" s="28">
        <v>578</v>
      </c>
    </row>
    <row r="19" spans="2:7" ht="15.75" customHeight="1" x14ac:dyDescent="0.35">
      <c r="B19" s="29">
        <v>2023</v>
      </c>
      <c r="C19" s="30">
        <v>1030</v>
      </c>
      <c r="D19" s="7">
        <f t="shared" si="0"/>
        <v>-0.99715645567383715</v>
      </c>
      <c r="E19" s="31">
        <v>1024</v>
      </c>
      <c r="F19" s="31">
        <v>61</v>
      </c>
      <c r="G19" s="31">
        <v>43</v>
      </c>
    </row>
    <row r="20" spans="2:7" ht="15.75" customHeight="1" x14ac:dyDescent="0.35">
      <c r="B20" s="32">
        <v>2024</v>
      </c>
      <c r="C20" s="6">
        <v>73298</v>
      </c>
      <c r="D20" s="19">
        <f t="shared" si="0"/>
        <v>70.163106796116509</v>
      </c>
      <c r="E20" s="5">
        <v>73243</v>
      </c>
      <c r="F20" s="5">
        <v>3</v>
      </c>
      <c r="G20" s="5">
        <v>929</v>
      </c>
    </row>
    <row r="21" spans="2:7" ht="15.75" customHeight="1" x14ac:dyDescent="0.35">
      <c r="B21" s="16">
        <v>2025</v>
      </c>
      <c r="C21" s="17">
        <v>84263</v>
      </c>
      <c r="D21" s="18">
        <f t="shared" si="0"/>
        <v>0.14959480476957079</v>
      </c>
      <c r="E21" s="9">
        <v>84205</v>
      </c>
      <c r="F21" s="9">
        <v>0</v>
      </c>
      <c r="G21" s="9">
        <v>703</v>
      </c>
    </row>
  </sheetData>
  <mergeCells count="2">
    <mergeCell ref="B2:G2"/>
    <mergeCell ref="B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4"/>
  <sheetViews>
    <sheetView showGridLines="0" topLeftCell="A8" zoomScaleNormal="100" workbookViewId="0">
      <selection activeCell="C13" sqref="C13"/>
    </sheetView>
  </sheetViews>
  <sheetFormatPr defaultColWidth="8.6328125" defaultRowHeight="14.5" x14ac:dyDescent="0.35"/>
  <cols>
    <col min="1" max="1" width="3" customWidth="1"/>
    <col min="2" max="2" width="25" customWidth="1"/>
    <col min="3" max="3" width="70" customWidth="1"/>
  </cols>
  <sheetData>
    <row r="1" spans="2:3" ht="21.75" customHeight="1" x14ac:dyDescent="0.35">
      <c r="B1" s="189" t="s">
        <v>52</v>
      </c>
      <c r="C1" s="186"/>
    </row>
    <row r="2" spans="2:3" ht="36" customHeight="1" x14ac:dyDescent="0.35">
      <c r="B2" s="33" t="s">
        <v>53</v>
      </c>
      <c r="C2" s="34" t="s">
        <v>54</v>
      </c>
    </row>
    <row r="3" spans="2:3" ht="36" customHeight="1" x14ac:dyDescent="0.35">
      <c r="B3" s="35" t="s">
        <v>55</v>
      </c>
      <c r="C3" s="36" t="s">
        <v>56</v>
      </c>
    </row>
    <row r="4" spans="2:3" ht="36" customHeight="1" x14ac:dyDescent="0.35">
      <c r="B4" s="33" t="s">
        <v>57</v>
      </c>
      <c r="C4" s="34" t="s">
        <v>58</v>
      </c>
    </row>
    <row r="5" spans="2:3" ht="36" customHeight="1" x14ac:dyDescent="0.35">
      <c r="B5" s="35" t="s">
        <v>59</v>
      </c>
      <c r="C5" s="36" t="s">
        <v>60</v>
      </c>
    </row>
    <row r="6" spans="2:3" ht="36" customHeight="1" x14ac:dyDescent="0.35">
      <c r="B6" s="33" t="s">
        <v>61</v>
      </c>
      <c r="C6" s="34" t="s">
        <v>62</v>
      </c>
    </row>
    <row r="7" spans="2:3" ht="36" customHeight="1" x14ac:dyDescent="0.35">
      <c r="B7" s="35" t="s">
        <v>63</v>
      </c>
      <c r="C7" s="36" t="s">
        <v>64</v>
      </c>
    </row>
    <row r="8" spans="2:3" ht="36" customHeight="1" x14ac:dyDescent="0.35">
      <c r="B8" s="33" t="s">
        <v>65</v>
      </c>
      <c r="C8" s="34" t="s">
        <v>66</v>
      </c>
    </row>
    <row r="9" spans="2:3" ht="36" customHeight="1" x14ac:dyDescent="0.35">
      <c r="B9" s="35" t="s">
        <v>67</v>
      </c>
      <c r="C9" s="36" t="s">
        <v>68</v>
      </c>
    </row>
    <row r="10" spans="2:3" ht="36" customHeight="1" x14ac:dyDescent="0.35">
      <c r="B10" s="33" t="s">
        <v>69</v>
      </c>
      <c r="C10" s="34" t="s">
        <v>70</v>
      </c>
    </row>
    <row r="11" spans="2:3" ht="36" customHeight="1" x14ac:dyDescent="0.35">
      <c r="B11" s="35" t="s">
        <v>71</v>
      </c>
      <c r="C11" s="36" t="s">
        <v>72</v>
      </c>
    </row>
    <row r="12" spans="2:3" ht="39.75" customHeight="1" x14ac:dyDescent="0.35">
      <c r="B12" s="33" t="s">
        <v>73</v>
      </c>
      <c r="C12" s="37" t="s">
        <v>74</v>
      </c>
    </row>
    <row r="13" spans="2:3" ht="39.75" customHeight="1" x14ac:dyDescent="0.35">
      <c r="B13" s="35" t="s">
        <v>75</v>
      </c>
      <c r="C13" s="38" t="s">
        <v>76</v>
      </c>
    </row>
    <row r="14" spans="2:3" ht="39.75" customHeight="1" x14ac:dyDescent="0.35">
      <c r="B14" s="33" t="s">
        <v>77</v>
      </c>
      <c r="C14" s="37" t="s">
        <v>78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3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8" customWidth="1"/>
    <col min="3" max="3" width="18" customWidth="1"/>
    <col min="4" max="5" width="14" customWidth="1"/>
    <col min="6" max="6" width="16" customWidth="1"/>
    <col min="7" max="7" width="14" customWidth="1"/>
    <col min="8" max="8" width="16" customWidth="1"/>
  </cols>
  <sheetData>
    <row r="1" spans="2:8" ht="21.75" customHeight="1" x14ac:dyDescent="0.35">
      <c r="B1" s="189" t="s">
        <v>79</v>
      </c>
      <c r="C1" s="186"/>
      <c r="D1" s="186"/>
      <c r="E1" s="186"/>
      <c r="F1" s="186"/>
      <c r="G1" s="186"/>
      <c r="H1" s="186"/>
    </row>
    <row r="2" spans="2:8" ht="12.75" customHeight="1" x14ac:dyDescent="0.35">
      <c r="B2" s="188" t="s">
        <v>80</v>
      </c>
      <c r="C2" s="186"/>
      <c r="D2" s="186"/>
      <c r="E2" s="186"/>
      <c r="F2" s="186"/>
      <c r="G2" s="186"/>
      <c r="H2" s="186"/>
    </row>
    <row r="3" spans="2:8" ht="27.75" customHeight="1" x14ac:dyDescent="0.35">
      <c r="B3" s="1" t="s">
        <v>2</v>
      </c>
      <c r="C3" s="2" t="s">
        <v>81</v>
      </c>
      <c r="D3" s="39" t="s">
        <v>49</v>
      </c>
      <c r="E3" s="40" t="s">
        <v>50</v>
      </c>
      <c r="F3" s="1" t="s">
        <v>82</v>
      </c>
      <c r="G3" s="2" t="s">
        <v>83</v>
      </c>
      <c r="H3" s="41" t="s">
        <v>84</v>
      </c>
    </row>
    <row r="4" spans="2:8" ht="15.75" customHeight="1" x14ac:dyDescent="0.35">
      <c r="B4" s="4" t="s">
        <v>15</v>
      </c>
      <c r="C4" s="5">
        <v>2645</v>
      </c>
      <c r="D4" s="5">
        <v>7</v>
      </c>
      <c r="E4" s="5">
        <v>27</v>
      </c>
      <c r="F4" s="6">
        <f t="shared" ref="F4:F30" si="0">C4+D4+E4</f>
        <v>2679</v>
      </c>
      <c r="G4" s="19">
        <f t="shared" ref="G4:G31" si="1">C4/F4</f>
        <v>0.98730869727510262</v>
      </c>
      <c r="H4" s="42">
        <v>0.536394176931691</v>
      </c>
    </row>
    <row r="5" spans="2:8" ht="15.75" customHeight="1" x14ac:dyDescent="0.35">
      <c r="B5" s="8" t="s">
        <v>16</v>
      </c>
      <c r="C5" s="9">
        <v>11937</v>
      </c>
      <c r="D5" s="9">
        <v>122</v>
      </c>
      <c r="E5" s="9">
        <v>183</v>
      </c>
      <c r="F5" s="10">
        <f t="shared" si="0"/>
        <v>12242</v>
      </c>
      <c r="G5" s="18">
        <f t="shared" si="1"/>
        <v>0.97508577029897081</v>
      </c>
      <c r="H5" s="43">
        <v>0.66476066002287204</v>
      </c>
    </row>
    <row r="6" spans="2:8" ht="15.75" customHeight="1" x14ac:dyDescent="0.35">
      <c r="B6" s="4" t="s">
        <v>17</v>
      </c>
      <c r="C6" s="5">
        <v>12079</v>
      </c>
      <c r="D6" s="5">
        <v>102</v>
      </c>
      <c r="E6" s="5">
        <v>395</v>
      </c>
      <c r="F6" s="6">
        <f t="shared" si="0"/>
        <v>12576</v>
      </c>
      <c r="G6" s="19">
        <f t="shared" si="1"/>
        <v>0.96048027989821882</v>
      </c>
      <c r="H6" s="42">
        <v>0.63533715012722702</v>
      </c>
    </row>
    <row r="7" spans="2:8" ht="15.75" customHeight="1" x14ac:dyDescent="0.35">
      <c r="B7" s="8" t="s">
        <v>18</v>
      </c>
      <c r="C7" s="9">
        <v>2084</v>
      </c>
      <c r="D7" s="9">
        <v>71</v>
      </c>
      <c r="E7" s="9">
        <v>104</v>
      </c>
      <c r="F7" s="10">
        <f t="shared" si="0"/>
        <v>2259</v>
      </c>
      <c r="G7" s="18">
        <f t="shared" si="1"/>
        <v>0.92253209384683488</v>
      </c>
      <c r="H7" s="43">
        <v>0.53519256308100904</v>
      </c>
    </row>
    <row r="8" spans="2:8" ht="15.75" customHeight="1" x14ac:dyDescent="0.35">
      <c r="B8" s="4" t="s">
        <v>19</v>
      </c>
      <c r="C8" s="5">
        <v>41817</v>
      </c>
      <c r="D8" s="5">
        <v>392</v>
      </c>
      <c r="E8" s="5">
        <v>1240</v>
      </c>
      <c r="F8" s="6">
        <f t="shared" si="0"/>
        <v>43449</v>
      </c>
      <c r="G8" s="19">
        <f t="shared" si="1"/>
        <v>0.96243872125940755</v>
      </c>
      <c r="H8" s="42">
        <v>0.56894289857073799</v>
      </c>
    </row>
    <row r="9" spans="2:8" ht="15.75" customHeight="1" x14ac:dyDescent="0.35">
      <c r="B9" s="8" t="s">
        <v>20</v>
      </c>
      <c r="C9" s="9">
        <v>29720</v>
      </c>
      <c r="D9" s="9">
        <v>175</v>
      </c>
      <c r="E9" s="9">
        <v>1011</v>
      </c>
      <c r="F9" s="10">
        <f t="shared" si="0"/>
        <v>30906</v>
      </c>
      <c r="G9" s="18">
        <f t="shared" si="1"/>
        <v>0.96162557432213813</v>
      </c>
      <c r="H9" s="43">
        <v>0.47657412800103499</v>
      </c>
    </row>
    <row r="10" spans="2:8" ht="15.75" customHeight="1" x14ac:dyDescent="0.35">
      <c r="B10" s="4" t="s">
        <v>21</v>
      </c>
      <c r="C10" s="5">
        <v>37541</v>
      </c>
      <c r="D10" s="5">
        <v>5153</v>
      </c>
      <c r="E10" s="5">
        <v>4828</v>
      </c>
      <c r="F10" s="6">
        <f t="shared" si="0"/>
        <v>47522</v>
      </c>
      <c r="G10" s="19">
        <f t="shared" si="1"/>
        <v>0.78997096081814744</v>
      </c>
      <c r="H10" s="42">
        <v>0.55279659946971904</v>
      </c>
    </row>
    <row r="11" spans="2:8" ht="15.75" customHeight="1" x14ac:dyDescent="0.35">
      <c r="B11" s="8" t="s">
        <v>22</v>
      </c>
      <c r="C11" s="9">
        <v>11662</v>
      </c>
      <c r="D11" s="9">
        <v>331</v>
      </c>
      <c r="E11" s="9">
        <v>601</v>
      </c>
      <c r="F11" s="10">
        <f t="shared" si="0"/>
        <v>12594</v>
      </c>
      <c r="G11" s="18">
        <f t="shared" si="1"/>
        <v>0.92599650627282837</v>
      </c>
      <c r="H11" s="43">
        <v>0.44338573924090802</v>
      </c>
    </row>
    <row r="12" spans="2:8" ht="15.75" customHeight="1" x14ac:dyDescent="0.35">
      <c r="B12" s="4" t="s">
        <v>23</v>
      </c>
      <c r="C12" s="5">
        <v>80529</v>
      </c>
      <c r="D12" s="5">
        <v>36518</v>
      </c>
      <c r="E12" s="5">
        <v>2137</v>
      </c>
      <c r="F12" s="6">
        <f t="shared" si="0"/>
        <v>119184</v>
      </c>
      <c r="G12" s="19">
        <f t="shared" si="1"/>
        <v>0.67566955296012887</v>
      </c>
      <c r="H12" s="42">
        <v>0.49132433883742799</v>
      </c>
    </row>
    <row r="13" spans="2:8" ht="15.75" customHeight="1" x14ac:dyDescent="0.35">
      <c r="B13" s="8" t="s">
        <v>24</v>
      </c>
      <c r="C13" s="9">
        <v>16677</v>
      </c>
      <c r="D13" s="9">
        <v>58</v>
      </c>
      <c r="E13" s="9">
        <v>236</v>
      </c>
      <c r="F13" s="10">
        <f t="shared" si="0"/>
        <v>16971</v>
      </c>
      <c r="G13" s="18">
        <f t="shared" si="1"/>
        <v>0.98267633021035883</v>
      </c>
      <c r="H13" s="43">
        <v>0.52978610570974005</v>
      </c>
    </row>
    <row r="14" spans="2:8" ht="15.75" customHeight="1" x14ac:dyDescent="0.35">
      <c r="B14" s="4" t="s">
        <v>25</v>
      </c>
      <c r="C14" s="5">
        <v>110024</v>
      </c>
      <c r="D14" s="5">
        <v>17798</v>
      </c>
      <c r="E14" s="5">
        <v>4143</v>
      </c>
      <c r="F14" s="6">
        <f t="shared" si="0"/>
        <v>131965</v>
      </c>
      <c r="G14" s="19">
        <f t="shared" si="1"/>
        <v>0.83373621793657404</v>
      </c>
      <c r="H14" s="42">
        <v>0.49183495623839701</v>
      </c>
    </row>
    <row r="15" spans="2:8" ht="15.75" customHeight="1" x14ac:dyDescent="0.35">
      <c r="B15" s="8" t="s">
        <v>26</v>
      </c>
      <c r="C15" s="9">
        <v>17109</v>
      </c>
      <c r="D15" s="9">
        <v>25760</v>
      </c>
      <c r="E15" s="9">
        <v>1014</v>
      </c>
      <c r="F15" s="10">
        <f t="shared" si="0"/>
        <v>43883</v>
      </c>
      <c r="G15" s="18">
        <f t="shared" si="1"/>
        <v>0.38987762915024043</v>
      </c>
      <c r="H15" s="43">
        <v>0.49850739466308103</v>
      </c>
    </row>
    <row r="16" spans="2:8" ht="15.75" customHeight="1" x14ac:dyDescent="0.35">
      <c r="B16" s="4" t="s">
        <v>27</v>
      </c>
      <c r="C16" s="5">
        <v>43213</v>
      </c>
      <c r="D16" s="5">
        <v>9465</v>
      </c>
      <c r="E16" s="5">
        <v>472</v>
      </c>
      <c r="F16" s="6">
        <f t="shared" si="0"/>
        <v>53150</v>
      </c>
      <c r="G16" s="19">
        <f t="shared" si="1"/>
        <v>0.81303857008466607</v>
      </c>
      <c r="H16" s="42">
        <v>0.44357478833490099</v>
      </c>
    </row>
    <row r="17" spans="2:8" ht="15.75" customHeight="1" x14ac:dyDescent="0.35">
      <c r="B17" s="8" t="s">
        <v>28</v>
      </c>
      <c r="C17" s="9">
        <v>24060</v>
      </c>
      <c r="D17" s="9">
        <v>1003</v>
      </c>
      <c r="E17" s="9">
        <v>712</v>
      </c>
      <c r="F17" s="10">
        <f t="shared" si="0"/>
        <v>25775</v>
      </c>
      <c r="G17" s="18">
        <f t="shared" si="1"/>
        <v>0.93346265761396707</v>
      </c>
      <c r="H17" s="43">
        <v>0.54048496605237595</v>
      </c>
    </row>
    <row r="18" spans="2:8" ht="15.75" customHeight="1" x14ac:dyDescent="0.35">
      <c r="B18" s="4" t="s">
        <v>29</v>
      </c>
      <c r="C18" s="5">
        <v>13239</v>
      </c>
      <c r="D18" s="5">
        <v>79</v>
      </c>
      <c r="E18" s="5">
        <v>87</v>
      </c>
      <c r="F18" s="6">
        <f t="shared" si="0"/>
        <v>13405</v>
      </c>
      <c r="G18" s="19">
        <f t="shared" si="1"/>
        <v>0.98761656098470718</v>
      </c>
      <c r="H18" s="42">
        <v>0.67131667288325303</v>
      </c>
    </row>
    <row r="19" spans="2:8" ht="15.75" customHeight="1" x14ac:dyDescent="0.35">
      <c r="B19" s="8" t="s">
        <v>30</v>
      </c>
      <c r="C19" s="9">
        <v>25776</v>
      </c>
      <c r="D19" s="9">
        <v>215</v>
      </c>
      <c r="E19" s="9">
        <v>2577</v>
      </c>
      <c r="F19" s="10">
        <f t="shared" si="0"/>
        <v>28568</v>
      </c>
      <c r="G19" s="18">
        <f t="shared" si="1"/>
        <v>0.90226827219266315</v>
      </c>
      <c r="H19" s="43">
        <v>0.65797395687482496</v>
      </c>
    </row>
    <row r="20" spans="2:8" ht="15.75" customHeight="1" x14ac:dyDescent="0.35">
      <c r="B20" s="4" t="s">
        <v>31</v>
      </c>
      <c r="C20" s="5">
        <v>5040</v>
      </c>
      <c r="D20" s="5">
        <v>16</v>
      </c>
      <c r="E20" s="5">
        <v>72</v>
      </c>
      <c r="F20" s="6">
        <f t="shared" si="0"/>
        <v>5128</v>
      </c>
      <c r="G20" s="19">
        <f t="shared" si="1"/>
        <v>0.98283931357254295</v>
      </c>
      <c r="H20" s="42">
        <v>0.53334633385335395</v>
      </c>
    </row>
    <row r="21" spans="2:8" ht="15.75" customHeight="1" x14ac:dyDescent="0.35">
      <c r="B21" s="8" t="s">
        <v>32</v>
      </c>
      <c r="C21" s="9">
        <v>133795</v>
      </c>
      <c r="D21" s="9">
        <v>21244</v>
      </c>
      <c r="E21" s="9">
        <v>3578</v>
      </c>
      <c r="F21" s="10">
        <f t="shared" si="0"/>
        <v>158617</v>
      </c>
      <c r="G21" s="18">
        <f t="shared" si="1"/>
        <v>0.8435098381636269</v>
      </c>
      <c r="H21" s="43">
        <v>0.48352320369191198</v>
      </c>
    </row>
    <row r="22" spans="2:8" ht="15.75" customHeight="1" x14ac:dyDescent="0.35">
      <c r="B22" s="4" t="s">
        <v>33</v>
      </c>
      <c r="C22" s="5">
        <v>53764</v>
      </c>
      <c r="D22" s="5">
        <v>1579</v>
      </c>
      <c r="E22" s="5">
        <v>9030</v>
      </c>
      <c r="F22" s="6">
        <f t="shared" si="0"/>
        <v>64373</v>
      </c>
      <c r="G22" s="19">
        <f t="shared" si="1"/>
        <v>0.83519487984092711</v>
      </c>
      <c r="H22" s="42">
        <v>0.52885526540630401</v>
      </c>
    </row>
    <row r="23" spans="2:8" ht="15.75" customHeight="1" x14ac:dyDescent="0.35">
      <c r="B23" s="8" t="s">
        <v>34</v>
      </c>
      <c r="C23" s="9">
        <v>11027</v>
      </c>
      <c r="D23" s="9">
        <v>63</v>
      </c>
      <c r="E23" s="9">
        <v>273</v>
      </c>
      <c r="F23" s="10">
        <f t="shared" si="0"/>
        <v>11363</v>
      </c>
      <c r="G23" s="18">
        <f t="shared" si="1"/>
        <v>0.97043034409926954</v>
      </c>
      <c r="H23" s="43">
        <v>0.63037930124087005</v>
      </c>
    </row>
    <row r="24" spans="2:8" ht="15.75" customHeight="1" x14ac:dyDescent="0.35">
      <c r="B24" s="4" t="s">
        <v>35</v>
      </c>
      <c r="C24" s="5">
        <v>21523</v>
      </c>
      <c r="D24" s="5">
        <v>248</v>
      </c>
      <c r="E24" s="5">
        <v>22</v>
      </c>
      <c r="F24" s="6">
        <f t="shared" si="0"/>
        <v>21793</v>
      </c>
      <c r="G24" s="19">
        <f t="shared" si="1"/>
        <v>0.98761070068370582</v>
      </c>
      <c r="H24" s="42">
        <v>0.49506722342036402</v>
      </c>
    </row>
    <row r="25" spans="2:8" ht="15.75" customHeight="1" x14ac:dyDescent="0.35">
      <c r="B25" s="8" t="s">
        <v>36</v>
      </c>
      <c r="C25" s="9">
        <v>1826</v>
      </c>
      <c r="D25" s="9">
        <v>87</v>
      </c>
      <c r="E25" s="9">
        <v>7</v>
      </c>
      <c r="F25" s="10">
        <f t="shared" si="0"/>
        <v>1920</v>
      </c>
      <c r="G25" s="18">
        <f t="shared" si="1"/>
        <v>0.95104166666666667</v>
      </c>
      <c r="H25" s="43">
        <v>0.53385416666666696</v>
      </c>
    </row>
    <row r="26" spans="2:8" ht="15.75" customHeight="1" x14ac:dyDescent="0.35">
      <c r="B26" s="4" t="s">
        <v>37</v>
      </c>
      <c r="C26" s="5">
        <v>121404</v>
      </c>
      <c r="D26" s="5">
        <v>78014</v>
      </c>
      <c r="E26" s="5">
        <v>6829</v>
      </c>
      <c r="F26" s="6">
        <f t="shared" si="0"/>
        <v>206247</v>
      </c>
      <c r="G26" s="19">
        <f t="shared" si="1"/>
        <v>0.58863401649478542</v>
      </c>
      <c r="H26" s="42">
        <v>0.38549409203527801</v>
      </c>
    </row>
    <row r="27" spans="2:8" ht="15.75" customHeight="1" x14ac:dyDescent="0.35">
      <c r="B27" s="8" t="s">
        <v>38</v>
      </c>
      <c r="C27" s="9">
        <v>103995</v>
      </c>
      <c r="D27" s="9">
        <v>26462</v>
      </c>
      <c r="E27" s="9">
        <v>1557</v>
      </c>
      <c r="F27" s="10">
        <f t="shared" si="0"/>
        <v>132014</v>
      </c>
      <c r="G27" s="18">
        <f t="shared" si="1"/>
        <v>0.78775735906797761</v>
      </c>
      <c r="H27" s="43">
        <v>0.45685306103898099</v>
      </c>
    </row>
    <row r="28" spans="2:8" ht="15.75" customHeight="1" x14ac:dyDescent="0.35">
      <c r="B28" s="4" t="s">
        <v>39</v>
      </c>
      <c r="C28" s="5">
        <v>3224</v>
      </c>
      <c r="D28" s="5">
        <v>15</v>
      </c>
      <c r="E28" s="5">
        <v>62</v>
      </c>
      <c r="F28" s="6">
        <f t="shared" si="0"/>
        <v>3301</v>
      </c>
      <c r="G28" s="19">
        <f t="shared" si="1"/>
        <v>0.97667373523174794</v>
      </c>
      <c r="H28" s="42">
        <v>0.65798242956679798</v>
      </c>
    </row>
    <row r="29" spans="2:8" ht="15.75" customHeight="1" x14ac:dyDescent="0.35">
      <c r="B29" s="8" t="s">
        <v>40</v>
      </c>
      <c r="C29" s="9">
        <v>352432</v>
      </c>
      <c r="D29" s="9">
        <v>41290</v>
      </c>
      <c r="E29" s="9">
        <v>34665</v>
      </c>
      <c r="F29" s="10">
        <f t="shared" si="0"/>
        <v>428387</v>
      </c>
      <c r="G29" s="18">
        <f t="shared" si="1"/>
        <v>0.82269536657274844</v>
      </c>
      <c r="H29" s="43">
        <v>0.51431999570481801</v>
      </c>
    </row>
    <row r="30" spans="2:8" ht="15.75" customHeight="1" x14ac:dyDescent="0.35">
      <c r="B30" s="4" t="s">
        <v>41</v>
      </c>
      <c r="C30" s="5">
        <v>12472</v>
      </c>
      <c r="D30" s="5">
        <v>994</v>
      </c>
      <c r="E30" s="5">
        <v>331</v>
      </c>
      <c r="F30" s="6">
        <f t="shared" si="0"/>
        <v>13797</v>
      </c>
      <c r="G30" s="19">
        <f t="shared" si="1"/>
        <v>0.9039646299920272</v>
      </c>
      <c r="H30" s="42">
        <v>0.45067768355439602</v>
      </c>
    </row>
    <row r="31" spans="2:8" ht="18" customHeight="1" x14ac:dyDescent="0.35">
      <c r="B31" s="11" t="s">
        <v>42</v>
      </c>
      <c r="C31" s="12">
        <f>SUM(C4:C30)</f>
        <v>1300614</v>
      </c>
      <c r="D31" s="12">
        <f>SUM(D4:D30)</f>
        <v>267261</v>
      </c>
      <c r="E31" s="12">
        <f>SUM(E4:E30)</f>
        <v>76193</v>
      </c>
      <c r="F31" s="12">
        <f>SUM(F4:F30)</f>
        <v>1644068</v>
      </c>
      <c r="G31" s="44">
        <f t="shared" si="1"/>
        <v>0.79109501553463724</v>
      </c>
      <c r="H31" s="13">
        <f>SUM(H4:H30)/27</f>
        <v>0.53364962411922001</v>
      </c>
    </row>
    <row r="32" spans="2:8" ht="27.75" customHeight="1" x14ac:dyDescent="0.35">
      <c r="B32" s="190" t="s">
        <v>85</v>
      </c>
      <c r="C32" s="186"/>
      <c r="D32" s="186"/>
      <c r="E32" s="186"/>
      <c r="F32" s="186"/>
      <c r="G32" s="186"/>
      <c r="H32" s="186"/>
    </row>
  </sheetData>
  <mergeCells count="3">
    <mergeCell ref="B1:H1"/>
    <mergeCell ref="B2:H2"/>
    <mergeCell ref="B32:H3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3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8" customWidth="1"/>
    <col min="3" max="3" width="18" customWidth="1"/>
    <col min="4" max="5" width="14" customWidth="1"/>
    <col min="6" max="6" width="16" customWidth="1"/>
    <col min="7" max="7" width="14" customWidth="1"/>
    <col min="8" max="8" width="16" customWidth="1"/>
  </cols>
  <sheetData>
    <row r="1" spans="2:8" ht="21.75" customHeight="1" x14ac:dyDescent="0.35">
      <c r="B1" s="189" t="s">
        <v>86</v>
      </c>
      <c r="C1" s="186"/>
      <c r="D1" s="186"/>
      <c r="E1" s="186"/>
      <c r="F1" s="186"/>
      <c r="G1" s="186"/>
      <c r="H1" s="186"/>
    </row>
    <row r="2" spans="2:8" ht="12.75" customHeight="1" x14ac:dyDescent="0.35">
      <c r="B2" s="188" t="s">
        <v>87</v>
      </c>
      <c r="C2" s="186"/>
      <c r="D2" s="186"/>
      <c r="E2" s="186"/>
      <c r="F2" s="186"/>
      <c r="G2" s="186"/>
      <c r="H2" s="186"/>
    </row>
    <row r="3" spans="2:8" ht="27.75" customHeight="1" x14ac:dyDescent="0.35">
      <c r="B3" s="1" t="s">
        <v>2</v>
      </c>
      <c r="C3" s="2" t="s">
        <v>81</v>
      </c>
      <c r="D3" s="39" t="s">
        <v>49</v>
      </c>
      <c r="E3" s="40" t="s">
        <v>50</v>
      </c>
      <c r="F3" s="1" t="s">
        <v>82</v>
      </c>
      <c r="G3" s="2" t="s">
        <v>83</v>
      </c>
      <c r="H3" s="41" t="s">
        <v>84</v>
      </c>
    </row>
    <row r="4" spans="2:8" ht="15.75" customHeight="1" x14ac:dyDescent="0.35">
      <c r="B4" s="4" t="s">
        <v>15</v>
      </c>
      <c r="C4" s="5">
        <v>1417</v>
      </c>
      <c r="D4" s="5">
        <v>3</v>
      </c>
      <c r="E4" s="5">
        <v>17</v>
      </c>
      <c r="F4" s="6">
        <f t="shared" ref="F4:F30" si="0">C4+D4+E4</f>
        <v>1437</v>
      </c>
      <c r="G4" s="19">
        <f t="shared" ref="G4:G31" si="1">C4/F4</f>
        <v>0.98608211551844116</v>
      </c>
      <c r="H4" s="15" t="s">
        <v>51</v>
      </c>
    </row>
    <row r="5" spans="2:8" ht="15.75" customHeight="1" x14ac:dyDescent="0.35">
      <c r="B5" s="8" t="s">
        <v>16</v>
      </c>
      <c r="C5" s="9">
        <v>7966</v>
      </c>
      <c r="D5" s="9">
        <v>80</v>
      </c>
      <c r="E5" s="9">
        <v>92</v>
      </c>
      <c r="F5" s="10">
        <f t="shared" si="0"/>
        <v>8138</v>
      </c>
      <c r="G5" s="18">
        <f t="shared" si="1"/>
        <v>0.97886458589333991</v>
      </c>
      <c r="H5" s="46" t="s">
        <v>51</v>
      </c>
    </row>
    <row r="6" spans="2:8" ht="15.75" customHeight="1" x14ac:dyDescent="0.35">
      <c r="B6" s="4" t="s">
        <v>17</v>
      </c>
      <c r="C6" s="5">
        <v>7784</v>
      </c>
      <c r="D6" s="5">
        <v>40</v>
      </c>
      <c r="E6" s="5">
        <v>166</v>
      </c>
      <c r="F6" s="6">
        <f t="shared" si="0"/>
        <v>7990</v>
      </c>
      <c r="G6" s="19">
        <f t="shared" si="1"/>
        <v>0.97421777221526906</v>
      </c>
      <c r="H6" s="15" t="s">
        <v>51</v>
      </c>
    </row>
    <row r="7" spans="2:8" ht="15.75" customHeight="1" x14ac:dyDescent="0.35">
      <c r="B7" s="8" t="s">
        <v>18</v>
      </c>
      <c r="C7" s="9">
        <v>1109</v>
      </c>
      <c r="D7" s="9">
        <v>42</v>
      </c>
      <c r="E7" s="9">
        <v>58</v>
      </c>
      <c r="F7" s="10">
        <f t="shared" si="0"/>
        <v>1209</v>
      </c>
      <c r="G7" s="18">
        <f t="shared" si="1"/>
        <v>0.91728701406120761</v>
      </c>
      <c r="H7" s="46" t="s">
        <v>51</v>
      </c>
    </row>
    <row r="8" spans="2:8" ht="15.75" customHeight="1" x14ac:dyDescent="0.35">
      <c r="B8" s="4" t="s">
        <v>19</v>
      </c>
      <c r="C8" s="5">
        <v>24085</v>
      </c>
      <c r="D8" s="5">
        <v>179</v>
      </c>
      <c r="E8" s="5">
        <v>456</v>
      </c>
      <c r="F8" s="6">
        <f t="shared" si="0"/>
        <v>24720</v>
      </c>
      <c r="G8" s="19">
        <f t="shared" si="1"/>
        <v>0.9743122977346278</v>
      </c>
      <c r="H8" s="15" t="s">
        <v>51</v>
      </c>
    </row>
    <row r="9" spans="2:8" ht="15.75" customHeight="1" x14ac:dyDescent="0.35">
      <c r="B9" s="8" t="s">
        <v>20</v>
      </c>
      <c r="C9" s="9">
        <v>14146</v>
      </c>
      <c r="D9" s="9">
        <v>93</v>
      </c>
      <c r="E9" s="9">
        <v>490</v>
      </c>
      <c r="F9" s="10">
        <f t="shared" si="0"/>
        <v>14729</v>
      </c>
      <c r="G9" s="18">
        <f t="shared" si="1"/>
        <v>0.96041822255414488</v>
      </c>
      <c r="H9" s="46" t="s">
        <v>51</v>
      </c>
    </row>
    <row r="10" spans="2:8" ht="15.75" customHeight="1" x14ac:dyDescent="0.35">
      <c r="B10" s="4" t="s">
        <v>21</v>
      </c>
      <c r="C10" s="5">
        <v>21400</v>
      </c>
      <c r="D10" s="5">
        <v>2260</v>
      </c>
      <c r="E10" s="5">
        <v>2610</v>
      </c>
      <c r="F10" s="6">
        <f t="shared" si="0"/>
        <v>26270</v>
      </c>
      <c r="G10" s="19">
        <f t="shared" si="1"/>
        <v>0.81461743433574418</v>
      </c>
      <c r="H10" s="15" t="s">
        <v>51</v>
      </c>
    </row>
    <row r="11" spans="2:8" ht="15.75" customHeight="1" x14ac:dyDescent="0.35">
      <c r="B11" s="8" t="s">
        <v>22</v>
      </c>
      <c r="C11" s="9">
        <v>5226</v>
      </c>
      <c r="D11" s="9">
        <v>172</v>
      </c>
      <c r="E11" s="9">
        <v>186</v>
      </c>
      <c r="F11" s="10">
        <f t="shared" si="0"/>
        <v>5584</v>
      </c>
      <c r="G11" s="18">
        <f t="shared" si="1"/>
        <v>0.93588825214899718</v>
      </c>
      <c r="H11" s="46" t="s">
        <v>51</v>
      </c>
    </row>
    <row r="12" spans="2:8" ht="15.75" customHeight="1" x14ac:dyDescent="0.35">
      <c r="B12" s="4" t="s">
        <v>23</v>
      </c>
      <c r="C12" s="5">
        <v>41909</v>
      </c>
      <c r="D12" s="5">
        <v>15759</v>
      </c>
      <c r="E12" s="5">
        <v>890</v>
      </c>
      <c r="F12" s="6">
        <f t="shared" si="0"/>
        <v>58558</v>
      </c>
      <c r="G12" s="19">
        <f t="shared" si="1"/>
        <v>0.71568359575122098</v>
      </c>
      <c r="H12" s="15" t="s">
        <v>51</v>
      </c>
    </row>
    <row r="13" spans="2:8" ht="15.75" customHeight="1" x14ac:dyDescent="0.35">
      <c r="B13" s="8" t="s">
        <v>24</v>
      </c>
      <c r="C13" s="9">
        <v>8871</v>
      </c>
      <c r="D13" s="9">
        <v>31</v>
      </c>
      <c r="E13" s="9">
        <v>89</v>
      </c>
      <c r="F13" s="10">
        <f t="shared" si="0"/>
        <v>8991</v>
      </c>
      <c r="G13" s="18">
        <f t="shared" si="1"/>
        <v>0.98665331998665329</v>
      </c>
      <c r="H13" s="46" t="s">
        <v>51</v>
      </c>
    </row>
    <row r="14" spans="2:8" ht="15.75" customHeight="1" x14ac:dyDescent="0.35">
      <c r="B14" s="4" t="s">
        <v>25</v>
      </c>
      <c r="C14" s="5">
        <v>56404</v>
      </c>
      <c r="D14" s="5">
        <v>6935</v>
      </c>
      <c r="E14" s="5">
        <v>1566</v>
      </c>
      <c r="F14" s="6">
        <f t="shared" si="0"/>
        <v>64905</v>
      </c>
      <c r="G14" s="19">
        <f t="shared" si="1"/>
        <v>0.86902395809259692</v>
      </c>
      <c r="H14" s="15" t="s">
        <v>51</v>
      </c>
    </row>
    <row r="15" spans="2:8" ht="15.75" customHeight="1" x14ac:dyDescent="0.35">
      <c r="B15" s="8" t="s">
        <v>26</v>
      </c>
      <c r="C15" s="9">
        <v>8595</v>
      </c>
      <c r="D15" s="9">
        <v>12980</v>
      </c>
      <c r="E15" s="9">
        <v>301</v>
      </c>
      <c r="F15" s="10">
        <f t="shared" si="0"/>
        <v>21876</v>
      </c>
      <c r="G15" s="18">
        <f t="shared" si="1"/>
        <v>0.39289632473944047</v>
      </c>
      <c r="H15" s="46" t="s">
        <v>51</v>
      </c>
    </row>
    <row r="16" spans="2:8" ht="15.75" customHeight="1" x14ac:dyDescent="0.35">
      <c r="B16" s="4" t="s">
        <v>27</v>
      </c>
      <c r="C16" s="5">
        <v>19159</v>
      </c>
      <c r="D16" s="5">
        <v>4255</v>
      </c>
      <c r="E16" s="5">
        <v>162</v>
      </c>
      <c r="F16" s="6">
        <f t="shared" si="0"/>
        <v>23576</v>
      </c>
      <c r="G16" s="19">
        <f t="shared" si="1"/>
        <v>0.81264845605700708</v>
      </c>
      <c r="H16" s="15" t="s">
        <v>51</v>
      </c>
    </row>
    <row r="17" spans="2:8" ht="15.75" customHeight="1" x14ac:dyDescent="0.35">
      <c r="B17" s="8" t="s">
        <v>28</v>
      </c>
      <c r="C17" s="9">
        <v>13161</v>
      </c>
      <c r="D17" s="9">
        <v>431</v>
      </c>
      <c r="E17" s="9">
        <v>339</v>
      </c>
      <c r="F17" s="10">
        <f t="shared" si="0"/>
        <v>13931</v>
      </c>
      <c r="G17" s="18">
        <f t="shared" si="1"/>
        <v>0.94472758595937123</v>
      </c>
      <c r="H17" s="46" t="s">
        <v>51</v>
      </c>
    </row>
    <row r="18" spans="2:8" ht="15.75" customHeight="1" x14ac:dyDescent="0.35">
      <c r="B18" s="4" t="s">
        <v>29</v>
      </c>
      <c r="C18" s="5">
        <v>8914</v>
      </c>
      <c r="D18" s="5">
        <v>43</v>
      </c>
      <c r="E18" s="5">
        <v>42</v>
      </c>
      <c r="F18" s="6">
        <f t="shared" si="0"/>
        <v>8999</v>
      </c>
      <c r="G18" s="19">
        <f t="shared" si="1"/>
        <v>0.99055450605622852</v>
      </c>
      <c r="H18" s="15" t="s">
        <v>51</v>
      </c>
    </row>
    <row r="19" spans="2:8" ht="15.75" customHeight="1" x14ac:dyDescent="0.35">
      <c r="B19" s="8" t="s">
        <v>30</v>
      </c>
      <c r="C19" s="9">
        <v>17801</v>
      </c>
      <c r="D19" s="9">
        <v>79</v>
      </c>
      <c r="E19" s="9">
        <v>917</v>
      </c>
      <c r="F19" s="10">
        <f t="shared" si="0"/>
        <v>18797</v>
      </c>
      <c r="G19" s="18">
        <f t="shared" si="1"/>
        <v>0.94701282119487151</v>
      </c>
      <c r="H19" s="46" t="s">
        <v>51</v>
      </c>
    </row>
    <row r="20" spans="2:8" ht="15.75" customHeight="1" x14ac:dyDescent="0.35">
      <c r="B20" s="4" t="s">
        <v>31</v>
      </c>
      <c r="C20" s="5">
        <v>2704</v>
      </c>
      <c r="D20" s="5">
        <v>9</v>
      </c>
      <c r="E20" s="5">
        <v>22</v>
      </c>
      <c r="F20" s="6">
        <f t="shared" si="0"/>
        <v>2735</v>
      </c>
      <c r="G20" s="19">
        <f t="shared" si="1"/>
        <v>0.98866544789762345</v>
      </c>
      <c r="H20" s="15" t="s">
        <v>51</v>
      </c>
    </row>
    <row r="21" spans="2:8" ht="15.75" customHeight="1" x14ac:dyDescent="0.35">
      <c r="B21" s="8" t="s">
        <v>32</v>
      </c>
      <c r="C21" s="9">
        <v>66489</v>
      </c>
      <c r="D21" s="9">
        <v>8818</v>
      </c>
      <c r="E21" s="9">
        <v>1388</v>
      </c>
      <c r="F21" s="10">
        <f t="shared" si="0"/>
        <v>76695</v>
      </c>
      <c r="G21" s="18">
        <f t="shared" si="1"/>
        <v>0.86692743985918252</v>
      </c>
      <c r="H21" s="46" t="s">
        <v>51</v>
      </c>
    </row>
    <row r="22" spans="2:8" ht="15.75" customHeight="1" x14ac:dyDescent="0.35">
      <c r="B22" s="4" t="s">
        <v>33</v>
      </c>
      <c r="C22" s="5">
        <v>29133</v>
      </c>
      <c r="D22" s="5">
        <v>867</v>
      </c>
      <c r="E22" s="5">
        <v>4044</v>
      </c>
      <c r="F22" s="6">
        <f t="shared" si="0"/>
        <v>34044</v>
      </c>
      <c r="G22" s="19">
        <f t="shared" si="1"/>
        <v>0.85574550581600284</v>
      </c>
      <c r="H22" s="15" t="s">
        <v>51</v>
      </c>
    </row>
    <row r="23" spans="2:8" ht="15.75" customHeight="1" x14ac:dyDescent="0.35">
      <c r="B23" s="8" t="s">
        <v>34</v>
      </c>
      <c r="C23" s="9">
        <v>6959</v>
      </c>
      <c r="D23" s="9">
        <v>38</v>
      </c>
      <c r="E23" s="9">
        <v>166</v>
      </c>
      <c r="F23" s="10">
        <f t="shared" si="0"/>
        <v>7163</v>
      </c>
      <c r="G23" s="18">
        <f t="shared" si="1"/>
        <v>0.97152031271813488</v>
      </c>
      <c r="H23" s="46" t="s">
        <v>51</v>
      </c>
    </row>
    <row r="24" spans="2:8" ht="15.75" customHeight="1" x14ac:dyDescent="0.35">
      <c r="B24" s="4" t="s">
        <v>35</v>
      </c>
      <c r="C24" s="5">
        <v>10637</v>
      </c>
      <c r="D24" s="5">
        <v>142</v>
      </c>
      <c r="E24" s="5">
        <v>10</v>
      </c>
      <c r="F24" s="6">
        <f t="shared" si="0"/>
        <v>10789</v>
      </c>
      <c r="G24" s="19">
        <f t="shared" si="1"/>
        <v>0.9859115766058022</v>
      </c>
      <c r="H24" s="15" t="s">
        <v>51</v>
      </c>
    </row>
    <row r="25" spans="2:8" ht="15.75" customHeight="1" x14ac:dyDescent="0.35">
      <c r="B25" s="8" t="s">
        <v>36</v>
      </c>
      <c r="C25" s="9">
        <v>980</v>
      </c>
      <c r="D25" s="9">
        <v>39</v>
      </c>
      <c r="E25" s="9">
        <v>6</v>
      </c>
      <c r="F25" s="10">
        <f t="shared" si="0"/>
        <v>1025</v>
      </c>
      <c r="G25" s="18">
        <f t="shared" si="1"/>
        <v>0.95609756097560972</v>
      </c>
      <c r="H25" s="46" t="s">
        <v>51</v>
      </c>
    </row>
    <row r="26" spans="2:8" ht="15.75" customHeight="1" x14ac:dyDescent="0.35">
      <c r="B26" s="4" t="s">
        <v>37</v>
      </c>
      <c r="C26" s="5">
        <v>50728</v>
      </c>
      <c r="D26" s="5">
        <v>26124</v>
      </c>
      <c r="E26" s="5">
        <v>2655</v>
      </c>
      <c r="F26" s="6">
        <f t="shared" si="0"/>
        <v>79507</v>
      </c>
      <c r="G26" s="19">
        <f t="shared" si="1"/>
        <v>0.63803187140754902</v>
      </c>
      <c r="H26" s="15" t="s">
        <v>51</v>
      </c>
    </row>
    <row r="27" spans="2:8" ht="15.75" customHeight="1" x14ac:dyDescent="0.35">
      <c r="B27" s="8" t="s">
        <v>38</v>
      </c>
      <c r="C27" s="9">
        <v>48410</v>
      </c>
      <c r="D27" s="9">
        <v>11295</v>
      </c>
      <c r="E27" s="9">
        <v>606</v>
      </c>
      <c r="F27" s="10">
        <f t="shared" si="0"/>
        <v>60311</v>
      </c>
      <c r="G27" s="18">
        <f t="shared" si="1"/>
        <v>0.80267281258808509</v>
      </c>
      <c r="H27" s="46" t="s">
        <v>51</v>
      </c>
    </row>
    <row r="28" spans="2:8" ht="15.75" customHeight="1" x14ac:dyDescent="0.35">
      <c r="B28" s="4" t="s">
        <v>39</v>
      </c>
      <c r="C28" s="5">
        <v>2141</v>
      </c>
      <c r="D28" s="5">
        <v>10</v>
      </c>
      <c r="E28" s="5">
        <v>21</v>
      </c>
      <c r="F28" s="6">
        <f t="shared" si="0"/>
        <v>2172</v>
      </c>
      <c r="G28" s="19">
        <f t="shared" si="1"/>
        <v>0.9857274401473296</v>
      </c>
      <c r="H28" s="15" t="s">
        <v>51</v>
      </c>
    </row>
    <row r="29" spans="2:8" ht="15.75" customHeight="1" x14ac:dyDescent="0.35">
      <c r="B29" s="8" t="s">
        <v>40</v>
      </c>
      <c r="C29" s="9">
        <v>186530</v>
      </c>
      <c r="D29" s="9">
        <v>20144</v>
      </c>
      <c r="E29" s="9">
        <v>13654</v>
      </c>
      <c r="F29" s="10">
        <f t="shared" si="0"/>
        <v>220328</v>
      </c>
      <c r="G29" s="18">
        <f t="shared" si="1"/>
        <v>0.84660143059438653</v>
      </c>
      <c r="H29" s="46" t="s">
        <v>51</v>
      </c>
    </row>
    <row r="30" spans="2:8" ht="15.75" customHeight="1" x14ac:dyDescent="0.35">
      <c r="B30" s="4" t="s">
        <v>41</v>
      </c>
      <c r="C30" s="5">
        <v>5615</v>
      </c>
      <c r="D30" s="5">
        <v>480</v>
      </c>
      <c r="E30" s="5">
        <v>123</v>
      </c>
      <c r="F30" s="6">
        <f t="shared" si="0"/>
        <v>6218</v>
      </c>
      <c r="G30" s="19">
        <f t="shared" si="1"/>
        <v>0.90302348021871981</v>
      </c>
      <c r="H30" s="15" t="s">
        <v>51</v>
      </c>
    </row>
    <row r="31" spans="2:8" ht="18" customHeight="1" x14ac:dyDescent="0.35">
      <c r="B31" s="11" t="s">
        <v>42</v>
      </c>
      <c r="C31" s="12">
        <f>SUM(C4:C30)</f>
        <v>668273</v>
      </c>
      <c r="D31" s="12">
        <f>SUM(D4:D30)</f>
        <v>111348</v>
      </c>
      <c r="E31" s="12">
        <f>SUM(E4:E30)</f>
        <v>31076</v>
      </c>
      <c r="F31" s="12">
        <f>SUM(F4:F30)</f>
        <v>810697</v>
      </c>
      <c r="G31" s="44">
        <f t="shared" si="1"/>
        <v>0.82431907358729584</v>
      </c>
      <c r="H31" s="11" t="s">
        <v>51</v>
      </c>
    </row>
    <row r="32" spans="2:8" ht="27.75" customHeight="1" x14ac:dyDescent="0.35">
      <c r="B32" s="190" t="s">
        <v>85</v>
      </c>
      <c r="C32" s="186"/>
      <c r="D32" s="186"/>
      <c r="E32" s="186"/>
      <c r="F32" s="186"/>
      <c r="G32" s="186"/>
      <c r="H32" s="186"/>
    </row>
  </sheetData>
  <mergeCells count="3">
    <mergeCell ref="B1:H1"/>
    <mergeCell ref="B2:H2"/>
    <mergeCell ref="B32:H3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3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8" customWidth="1"/>
    <col min="3" max="3" width="18" customWidth="1"/>
    <col min="4" max="5" width="14" customWidth="1"/>
    <col min="6" max="6" width="16" customWidth="1"/>
    <col min="7" max="7" width="14" customWidth="1"/>
    <col min="8" max="8" width="16" customWidth="1"/>
  </cols>
  <sheetData>
    <row r="1" spans="2:8" ht="21.75" customHeight="1" x14ac:dyDescent="0.35">
      <c r="B1" s="189" t="s">
        <v>88</v>
      </c>
      <c r="C1" s="186"/>
      <c r="D1" s="186"/>
      <c r="E1" s="186"/>
      <c r="F1" s="186"/>
      <c r="G1" s="186"/>
      <c r="H1" s="186"/>
    </row>
    <row r="2" spans="2:8" ht="12.75" customHeight="1" x14ac:dyDescent="0.35">
      <c r="B2" s="188" t="s">
        <v>89</v>
      </c>
      <c r="C2" s="186"/>
      <c r="D2" s="186"/>
      <c r="E2" s="186"/>
      <c r="F2" s="186"/>
      <c r="G2" s="186"/>
      <c r="H2" s="186"/>
    </row>
    <row r="3" spans="2:8" ht="27.75" customHeight="1" x14ac:dyDescent="0.35">
      <c r="B3" s="1" t="s">
        <v>2</v>
      </c>
      <c r="C3" s="2" t="s">
        <v>81</v>
      </c>
      <c r="D3" s="39" t="s">
        <v>49</v>
      </c>
      <c r="E3" s="40" t="s">
        <v>50</v>
      </c>
      <c r="F3" s="1" t="s">
        <v>82</v>
      </c>
      <c r="G3" s="2" t="s">
        <v>83</v>
      </c>
      <c r="H3" s="41" t="s">
        <v>84</v>
      </c>
    </row>
    <row r="4" spans="2:8" ht="15.75" customHeight="1" x14ac:dyDescent="0.35">
      <c r="B4" s="4" t="s">
        <v>15</v>
      </c>
      <c r="C4" s="5">
        <v>1228</v>
      </c>
      <c r="D4" s="5">
        <v>4</v>
      </c>
      <c r="E4" s="5">
        <v>10</v>
      </c>
      <c r="F4" s="6">
        <f t="shared" ref="F4:F30" si="0">C4+D4+E4</f>
        <v>1242</v>
      </c>
      <c r="G4" s="19">
        <f t="shared" ref="G4:G31" si="1">C4/F4</f>
        <v>0.98872785829307563</v>
      </c>
      <c r="H4" s="15" t="s">
        <v>51</v>
      </c>
    </row>
    <row r="5" spans="2:8" ht="15.75" customHeight="1" x14ac:dyDescent="0.35">
      <c r="B5" s="8" t="s">
        <v>16</v>
      </c>
      <c r="C5" s="9">
        <v>3971</v>
      </c>
      <c r="D5" s="9">
        <v>42</v>
      </c>
      <c r="E5" s="9">
        <v>91</v>
      </c>
      <c r="F5" s="10">
        <f t="shared" si="0"/>
        <v>4104</v>
      </c>
      <c r="G5" s="18">
        <f t="shared" si="1"/>
        <v>0.96759259259259256</v>
      </c>
      <c r="H5" s="46" t="s">
        <v>51</v>
      </c>
    </row>
    <row r="6" spans="2:8" ht="15.75" customHeight="1" x14ac:dyDescent="0.35">
      <c r="B6" s="4" t="s">
        <v>17</v>
      </c>
      <c r="C6" s="5">
        <v>4295</v>
      </c>
      <c r="D6" s="5">
        <v>62</v>
      </c>
      <c r="E6" s="5">
        <v>229</v>
      </c>
      <c r="F6" s="6">
        <f t="shared" si="0"/>
        <v>4586</v>
      </c>
      <c r="G6" s="19">
        <f t="shared" si="1"/>
        <v>0.93654600959441781</v>
      </c>
      <c r="H6" s="15" t="s">
        <v>51</v>
      </c>
    </row>
    <row r="7" spans="2:8" ht="15.75" customHeight="1" x14ac:dyDescent="0.35">
      <c r="B7" s="8" t="s">
        <v>18</v>
      </c>
      <c r="C7" s="9">
        <v>975</v>
      </c>
      <c r="D7" s="9">
        <v>29</v>
      </c>
      <c r="E7" s="9">
        <v>46</v>
      </c>
      <c r="F7" s="10">
        <f t="shared" si="0"/>
        <v>1050</v>
      </c>
      <c r="G7" s="18">
        <f t="shared" si="1"/>
        <v>0.9285714285714286</v>
      </c>
      <c r="H7" s="46" t="s">
        <v>51</v>
      </c>
    </row>
    <row r="8" spans="2:8" ht="15.75" customHeight="1" x14ac:dyDescent="0.35">
      <c r="B8" s="4" t="s">
        <v>19</v>
      </c>
      <c r="C8" s="5">
        <v>17732</v>
      </c>
      <c r="D8" s="5">
        <v>213</v>
      </c>
      <c r="E8" s="5">
        <v>784</v>
      </c>
      <c r="F8" s="6">
        <f t="shared" si="0"/>
        <v>18729</v>
      </c>
      <c r="G8" s="19">
        <f t="shared" si="1"/>
        <v>0.94676704575791548</v>
      </c>
      <c r="H8" s="15" t="s">
        <v>51</v>
      </c>
    </row>
    <row r="9" spans="2:8" ht="15.75" customHeight="1" x14ac:dyDescent="0.35">
      <c r="B9" s="8" t="s">
        <v>20</v>
      </c>
      <c r="C9" s="9">
        <v>15574</v>
      </c>
      <c r="D9" s="9">
        <v>82</v>
      </c>
      <c r="E9" s="9">
        <v>521</v>
      </c>
      <c r="F9" s="10">
        <f t="shared" si="0"/>
        <v>16177</v>
      </c>
      <c r="G9" s="18">
        <f t="shared" si="1"/>
        <v>0.96272485627743087</v>
      </c>
      <c r="H9" s="46" t="s">
        <v>51</v>
      </c>
    </row>
    <row r="10" spans="2:8" ht="15.75" customHeight="1" x14ac:dyDescent="0.35">
      <c r="B10" s="4" t="s">
        <v>21</v>
      </c>
      <c r="C10" s="5">
        <v>16141</v>
      </c>
      <c r="D10" s="5">
        <v>2893</v>
      </c>
      <c r="E10" s="5">
        <v>2218</v>
      </c>
      <c r="F10" s="6">
        <f t="shared" si="0"/>
        <v>21252</v>
      </c>
      <c r="G10" s="19">
        <f t="shared" si="1"/>
        <v>0.75950498776585729</v>
      </c>
      <c r="H10" s="15" t="s">
        <v>51</v>
      </c>
    </row>
    <row r="11" spans="2:8" ht="15.75" customHeight="1" x14ac:dyDescent="0.35">
      <c r="B11" s="8" t="s">
        <v>22</v>
      </c>
      <c r="C11" s="9">
        <v>6436</v>
      </c>
      <c r="D11" s="9">
        <v>159</v>
      </c>
      <c r="E11" s="9">
        <v>415</v>
      </c>
      <c r="F11" s="10">
        <f t="shared" si="0"/>
        <v>7010</v>
      </c>
      <c r="G11" s="18">
        <f t="shared" si="1"/>
        <v>0.91811697574893014</v>
      </c>
      <c r="H11" s="46" t="s">
        <v>51</v>
      </c>
    </row>
    <row r="12" spans="2:8" ht="15.75" customHeight="1" x14ac:dyDescent="0.35">
      <c r="B12" s="4" t="s">
        <v>23</v>
      </c>
      <c r="C12" s="5">
        <v>38620</v>
      </c>
      <c r="D12" s="5">
        <v>20759</v>
      </c>
      <c r="E12" s="5">
        <v>1247</v>
      </c>
      <c r="F12" s="6">
        <f t="shared" si="0"/>
        <v>60626</v>
      </c>
      <c r="G12" s="19">
        <f t="shared" si="1"/>
        <v>0.63702042028172734</v>
      </c>
      <c r="H12" s="15" t="s">
        <v>51</v>
      </c>
    </row>
    <row r="13" spans="2:8" ht="15.75" customHeight="1" x14ac:dyDescent="0.35">
      <c r="B13" s="8" t="s">
        <v>24</v>
      </c>
      <c r="C13" s="9">
        <v>7806</v>
      </c>
      <c r="D13" s="9">
        <v>27</v>
      </c>
      <c r="E13" s="9">
        <v>147</v>
      </c>
      <c r="F13" s="10">
        <f t="shared" si="0"/>
        <v>7980</v>
      </c>
      <c r="G13" s="18">
        <f t="shared" si="1"/>
        <v>0.97819548872180451</v>
      </c>
      <c r="H13" s="46" t="s">
        <v>51</v>
      </c>
    </row>
    <row r="14" spans="2:8" ht="15.75" customHeight="1" x14ac:dyDescent="0.35">
      <c r="B14" s="4" t="s">
        <v>25</v>
      </c>
      <c r="C14" s="5">
        <v>53620</v>
      </c>
      <c r="D14" s="5">
        <v>10863</v>
      </c>
      <c r="E14" s="5">
        <v>2577</v>
      </c>
      <c r="F14" s="6">
        <f t="shared" si="0"/>
        <v>67060</v>
      </c>
      <c r="G14" s="19">
        <f t="shared" si="1"/>
        <v>0.79958246346555328</v>
      </c>
      <c r="H14" s="15" t="s">
        <v>51</v>
      </c>
    </row>
    <row r="15" spans="2:8" ht="15.75" customHeight="1" x14ac:dyDescent="0.35">
      <c r="B15" s="8" t="s">
        <v>26</v>
      </c>
      <c r="C15" s="9">
        <v>8514</v>
      </c>
      <c r="D15" s="9">
        <v>12780</v>
      </c>
      <c r="E15" s="9">
        <v>713</v>
      </c>
      <c r="F15" s="10">
        <f t="shared" si="0"/>
        <v>22007</v>
      </c>
      <c r="G15" s="18">
        <f t="shared" si="1"/>
        <v>0.38687690280365339</v>
      </c>
      <c r="H15" s="46" t="s">
        <v>51</v>
      </c>
    </row>
    <row r="16" spans="2:8" ht="15.75" customHeight="1" x14ac:dyDescent="0.35">
      <c r="B16" s="4" t="s">
        <v>27</v>
      </c>
      <c r="C16" s="5">
        <v>24054</v>
      </c>
      <c r="D16" s="5">
        <v>5210</v>
      </c>
      <c r="E16" s="5">
        <v>310</v>
      </c>
      <c r="F16" s="6">
        <f t="shared" si="0"/>
        <v>29574</v>
      </c>
      <c r="G16" s="19">
        <f t="shared" si="1"/>
        <v>0.81334956380604584</v>
      </c>
      <c r="H16" s="15" t="s">
        <v>51</v>
      </c>
    </row>
    <row r="17" spans="2:8" ht="15.75" customHeight="1" x14ac:dyDescent="0.35">
      <c r="B17" s="8" t="s">
        <v>28</v>
      </c>
      <c r="C17" s="9">
        <v>10899</v>
      </c>
      <c r="D17" s="9">
        <v>572</v>
      </c>
      <c r="E17" s="9">
        <v>373</v>
      </c>
      <c r="F17" s="10">
        <f t="shared" si="0"/>
        <v>11844</v>
      </c>
      <c r="G17" s="18">
        <f t="shared" si="1"/>
        <v>0.92021276595744683</v>
      </c>
      <c r="H17" s="46" t="s">
        <v>51</v>
      </c>
    </row>
    <row r="18" spans="2:8" ht="15.75" customHeight="1" x14ac:dyDescent="0.35">
      <c r="B18" s="4" t="s">
        <v>29</v>
      </c>
      <c r="C18" s="5">
        <v>4325</v>
      </c>
      <c r="D18" s="5">
        <v>36</v>
      </c>
      <c r="E18" s="5">
        <v>45</v>
      </c>
      <c r="F18" s="6">
        <f t="shared" si="0"/>
        <v>4406</v>
      </c>
      <c r="G18" s="19">
        <f t="shared" si="1"/>
        <v>0.98161597821152968</v>
      </c>
      <c r="H18" s="15" t="s">
        <v>51</v>
      </c>
    </row>
    <row r="19" spans="2:8" ht="15.75" customHeight="1" x14ac:dyDescent="0.35">
      <c r="B19" s="8" t="s">
        <v>30</v>
      </c>
      <c r="C19" s="9">
        <v>7975</v>
      </c>
      <c r="D19" s="9">
        <v>136</v>
      </c>
      <c r="E19" s="9">
        <v>1660</v>
      </c>
      <c r="F19" s="10">
        <f t="shared" si="0"/>
        <v>9771</v>
      </c>
      <c r="G19" s="18">
        <f t="shared" si="1"/>
        <v>0.81619076860096207</v>
      </c>
      <c r="H19" s="46" t="s">
        <v>51</v>
      </c>
    </row>
    <row r="20" spans="2:8" ht="15.75" customHeight="1" x14ac:dyDescent="0.35">
      <c r="B20" s="4" t="s">
        <v>31</v>
      </c>
      <c r="C20" s="5">
        <v>2336</v>
      </c>
      <c r="D20" s="5">
        <v>7</v>
      </c>
      <c r="E20" s="5">
        <v>50</v>
      </c>
      <c r="F20" s="6">
        <f t="shared" si="0"/>
        <v>2393</v>
      </c>
      <c r="G20" s="19">
        <f t="shared" si="1"/>
        <v>0.97618052653572918</v>
      </c>
      <c r="H20" s="15" t="s">
        <v>51</v>
      </c>
    </row>
    <row r="21" spans="2:8" ht="15.75" customHeight="1" x14ac:dyDescent="0.35">
      <c r="B21" s="8" t="s">
        <v>32</v>
      </c>
      <c r="C21" s="9">
        <v>67306</v>
      </c>
      <c r="D21" s="9">
        <v>12426</v>
      </c>
      <c r="E21" s="9">
        <v>2190</v>
      </c>
      <c r="F21" s="10">
        <f t="shared" si="0"/>
        <v>81922</v>
      </c>
      <c r="G21" s="18">
        <f t="shared" si="1"/>
        <v>0.82158638705109743</v>
      </c>
      <c r="H21" s="46" t="s">
        <v>51</v>
      </c>
    </row>
    <row r="22" spans="2:8" ht="15.75" customHeight="1" x14ac:dyDescent="0.35">
      <c r="B22" s="4" t="s">
        <v>33</v>
      </c>
      <c r="C22" s="5">
        <v>24631</v>
      </c>
      <c r="D22" s="5">
        <v>712</v>
      </c>
      <c r="E22" s="5">
        <v>4986</v>
      </c>
      <c r="F22" s="6">
        <f t="shared" si="0"/>
        <v>30329</v>
      </c>
      <c r="G22" s="19">
        <f t="shared" si="1"/>
        <v>0.8121270071548683</v>
      </c>
      <c r="H22" s="15" t="s">
        <v>51</v>
      </c>
    </row>
    <row r="23" spans="2:8" ht="15.75" customHeight="1" x14ac:dyDescent="0.35">
      <c r="B23" s="8" t="s">
        <v>34</v>
      </c>
      <c r="C23" s="9">
        <v>4068</v>
      </c>
      <c r="D23" s="9">
        <v>25</v>
      </c>
      <c r="E23" s="9">
        <v>107</v>
      </c>
      <c r="F23" s="10">
        <f t="shared" si="0"/>
        <v>4200</v>
      </c>
      <c r="G23" s="18">
        <f t="shared" si="1"/>
        <v>0.96857142857142853</v>
      </c>
      <c r="H23" s="46" t="s">
        <v>51</v>
      </c>
    </row>
    <row r="24" spans="2:8" ht="15.75" customHeight="1" x14ac:dyDescent="0.35">
      <c r="B24" s="4" t="s">
        <v>35</v>
      </c>
      <c r="C24" s="5">
        <v>10886</v>
      </c>
      <c r="D24" s="5">
        <v>106</v>
      </c>
      <c r="E24" s="5">
        <v>12</v>
      </c>
      <c r="F24" s="6">
        <f t="shared" si="0"/>
        <v>11004</v>
      </c>
      <c r="G24" s="19">
        <f t="shared" si="1"/>
        <v>0.98927662668120686</v>
      </c>
      <c r="H24" s="15" t="s">
        <v>51</v>
      </c>
    </row>
    <row r="25" spans="2:8" ht="15.75" customHeight="1" x14ac:dyDescent="0.35">
      <c r="B25" s="8" t="s">
        <v>36</v>
      </c>
      <c r="C25" s="9">
        <v>846</v>
      </c>
      <c r="D25" s="9">
        <v>48</v>
      </c>
      <c r="E25" s="9">
        <v>1</v>
      </c>
      <c r="F25" s="10">
        <f t="shared" si="0"/>
        <v>895</v>
      </c>
      <c r="G25" s="18">
        <f t="shared" si="1"/>
        <v>0.94525139664804469</v>
      </c>
      <c r="H25" s="46" t="s">
        <v>51</v>
      </c>
    </row>
    <row r="26" spans="2:8" ht="15.75" customHeight="1" x14ac:dyDescent="0.35">
      <c r="B26" s="4" t="s">
        <v>37</v>
      </c>
      <c r="C26" s="5">
        <v>70676</v>
      </c>
      <c r="D26" s="5">
        <v>51890</v>
      </c>
      <c r="E26" s="5">
        <v>4174</v>
      </c>
      <c r="F26" s="6">
        <f t="shared" si="0"/>
        <v>126740</v>
      </c>
      <c r="G26" s="19">
        <f t="shared" si="1"/>
        <v>0.55764557361527534</v>
      </c>
      <c r="H26" s="15" t="s">
        <v>51</v>
      </c>
    </row>
    <row r="27" spans="2:8" ht="15.75" customHeight="1" x14ac:dyDescent="0.35">
      <c r="B27" s="8" t="s">
        <v>38</v>
      </c>
      <c r="C27" s="9">
        <v>55585</v>
      </c>
      <c r="D27" s="9">
        <v>15167</v>
      </c>
      <c r="E27" s="9">
        <v>951</v>
      </c>
      <c r="F27" s="10">
        <f t="shared" si="0"/>
        <v>71703</v>
      </c>
      <c r="G27" s="18">
        <f t="shared" si="1"/>
        <v>0.77521163689106454</v>
      </c>
      <c r="H27" s="46" t="s">
        <v>51</v>
      </c>
    </row>
    <row r="28" spans="2:8" ht="15.75" customHeight="1" x14ac:dyDescent="0.35">
      <c r="B28" s="4" t="s">
        <v>39</v>
      </c>
      <c r="C28" s="5">
        <v>1083</v>
      </c>
      <c r="D28" s="5">
        <v>5</v>
      </c>
      <c r="E28" s="5">
        <v>41</v>
      </c>
      <c r="F28" s="6">
        <f t="shared" si="0"/>
        <v>1129</v>
      </c>
      <c r="G28" s="19">
        <f t="shared" si="1"/>
        <v>0.95925597874224977</v>
      </c>
      <c r="H28" s="15" t="s">
        <v>51</v>
      </c>
    </row>
    <row r="29" spans="2:8" ht="15.75" customHeight="1" x14ac:dyDescent="0.35">
      <c r="B29" s="8" t="s">
        <v>40</v>
      </c>
      <c r="C29" s="9">
        <v>165902</v>
      </c>
      <c r="D29" s="9">
        <v>21146</v>
      </c>
      <c r="E29" s="9">
        <v>21011</v>
      </c>
      <c r="F29" s="10">
        <f t="shared" si="0"/>
        <v>208059</v>
      </c>
      <c r="G29" s="18">
        <f t="shared" si="1"/>
        <v>0.79737958944337906</v>
      </c>
      <c r="H29" s="46" t="s">
        <v>51</v>
      </c>
    </row>
    <row r="30" spans="2:8" ht="15.75" customHeight="1" x14ac:dyDescent="0.35">
      <c r="B30" s="4" t="s">
        <v>41</v>
      </c>
      <c r="C30" s="5">
        <v>6857</v>
      </c>
      <c r="D30" s="5">
        <v>514</v>
      </c>
      <c r="E30" s="5">
        <v>208</v>
      </c>
      <c r="F30" s="6">
        <f t="shared" si="0"/>
        <v>7579</v>
      </c>
      <c r="G30" s="19">
        <f t="shared" si="1"/>
        <v>0.90473677266130093</v>
      </c>
      <c r="H30" s="15" t="s">
        <v>51</v>
      </c>
    </row>
    <row r="31" spans="2:8" ht="18" customHeight="1" x14ac:dyDescent="0.35">
      <c r="B31" s="11" t="s">
        <v>42</v>
      </c>
      <c r="C31" s="12">
        <f>SUM(C4:C30)</f>
        <v>632341</v>
      </c>
      <c r="D31" s="12">
        <f>SUM(D4:D30)</f>
        <v>155913</v>
      </c>
      <c r="E31" s="12">
        <f>SUM(E4:E30)</f>
        <v>45117</v>
      </c>
      <c r="F31" s="12">
        <f>SUM(F4:F30)</f>
        <v>833371</v>
      </c>
      <c r="G31" s="44">
        <f t="shared" si="1"/>
        <v>0.75877490337436748</v>
      </c>
      <c r="H31" s="11" t="s">
        <v>51</v>
      </c>
    </row>
    <row r="32" spans="2:8" ht="27.75" customHeight="1" x14ac:dyDescent="0.35">
      <c r="B32" s="190" t="s">
        <v>85</v>
      </c>
      <c r="C32" s="186"/>
      <c r="D32" s="186"/>
      <c r="E32" s="186"/>
      <c r="F32" s="186"/>
      <c r="G32" s="186"/>
      <c r="H32" s="186"/>
    </row>
  </sheetData>
  <mergeCells count="3">
    <mergeCell ref="B1:H1"/>
    <mergeCell ref="B2:H2"/>
    <mergeCell ref="B32:H3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31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8" customWidth="1"/>
    <col min="3" max="7" width="16" customWidth="1"/>
    <col min="8" max="8" width="18" customWidth="1"/>
  </cols>
  <sheetData>
    <row r="1" spans="2:8" ht="21.75" customHeight="1" x14ac:dyDescent="0.35">
      <c r="B1" s="189" t="s">
        <v>90</v>
      </c>
      <c r="C1" s="186"/>
      <c r="D1" s="186"/>
      <c r="E1" s="186"/>
      <c r="F1" s="186"/>
      <c r="G1" s="186"/>
      <c r="H1" s="186"/>
    </row>
    <row r="2" spans="2:8" ht="19.5" customHeight="1" x14ac:dyDescent="0.35">
      <c r="B2" s="188" t="s">
        <v>91</v>
      </c>
      <c r="C2" s="186"/>
      <c r="D2" s="186"/>
      <c r="E2" s="186"/>
      <c r="F2" s="186"/>
      <c r="G2" s="186"/>
      <c r="H2" s="186"/>
    </row>
    <row r="3" spans="2:8" ht="27.75" customHeight="1" x14ac:dyDescent="0.35">
      <c r="B3" s="1" t="s">
        <v>2</v>
      </c>
      <c r="C3" s="2" t="s">
        <v>92</v>
      </c>
      <c r="D3" s="41" t="s">
        <v>93</v>
      </c>
      <c r="E3" s="41" t="s">
        <v>14</v>
      </c>
      <c r="F3" s="39" t="s">
        <v>94</v>
      </c>
      <c r="G3" s="41" t="s">
        <v>95</v>
      </c>
      <c r="H3" s="1" t="s">
        <v>96</v>
      </c>
    </row>
    <row r="4" spans="2:8" ht="15.75" customHeight="1" x14ac:dyDescent="0.35">
      <c r="B4" s="47" t="s">
        <v>15</v>
      </c>
      <c r="C4" s="48">
        <v>605</v>
      </c>
      <c r="D4" s="31">
        <v>1</v>
      </c>
      <c r="E4" s="49">
        <v>-0.99834710743801702</v>
      </c>
      <c r="F4" s="31">
        <v>2679</v>
      </c>
      <c r="G4" s="50">
        <v>0.536394176931691</v>
      </c>
      <c r="H4" s="41" t="s">
        <v>97</v>
      </c>
    </row>
    <row r="5" spans="2:8" ht="15.75" customHeight="1" x14ac:dyDescent="0.35">
      <c r="B5" s="47" t="s">
        <v>16</v>
      </c>
      <c r="C5" s="48">
        <v>3488</v>
      </c>
      <c r="D5" s="31">
        <v>4</v>
      </c>
      <c r="E5" s="49">
        <v>-0.99885321100917401</v>
      </c>
      <c r="F5" s="31">
        <v>12242</v>
      </c>
      <c r="G5" s="50">
        <v>0.66476066002287204</v>
      </c>
      <c r="H5" s="41" t="s">
        <v>97</v>
      </c>
    </row>
    <row r="6" spans="2:8" ht="15.75" customHeight="1" x14ac:dyDescent="0.35">
      <c r="B6" s="47" t="s">
        <v>17</v>
      </c>
      <c r="C6" s="48">
        <v>4005</v>
      </c>
      <c r="D6" s="31">
        <v>16</v>
      </c>
      <c r="E6" s="49">
        <v>-0.99600499375780305</v>
      </c>
      <c r="F6" s="31">
        <v>12576</v>
      </c>
      <c r="G6" s="50">
        <v>0.63533715012722702</v>
      </c>
      <c r="H6" s="41" t="s">
        <v>97</v>
      </c>
    </row>
    <row r="7" spans="2:8" ht="15.75" customHeight="1" x14ac:dyDescent="0.35">
      <c r="B7" s="47" t="s">
        <v>18</v>
      </c>
      <c r="C7" s="48">
        <v>551</v>
      </c>
      <c r="D7" s="31">
        <v>41</v>
      </c>
      <c r="E7" s="49">
        <v>-0.925589836660617</v>
      </c>
      <c r="F7" s="31">
        <v>2259</v>
      </c>
      <c r="G7" s="50">
        <v>0.53519256308100904</v>
      </c>
      <c r="H7" s="41" t="s">
        <v>97</v>
      </c>
    </row>
    <row r="8" spans="2:8" ht="15.75" customHeight="1" x14ac:dyDescent="0.35">
      <c r="B8" s="51" t="s">
        <v>19</v>
      </c>
      <c r="C8" s="52">
        <v>11821</v>
      </c>
      <c r="D8" s="28">
        <v>72</v>
      </c>
      <c r="E8" s="49">
        <v>-0.99390914474240799</v>
      </c>
      <c r="F8" s="28">
        <v>43449</v>
      </c>
      <c r="G8" s="53">
        <v>0.56894289857073799</v>
      </c>
      <c r="H8" s="54" t="s">
        <v>98</v>
      </c>
    </row>
    <row r="9" spans="2:8" ht="15.75" customHeight="1" x14ac:dyDescent="0.35">
      <c r="B9" s="51" t="s">
        <v>20</v>
      </c>
      <c r="C9" s="52">
        <v>6438</v>
      </c>
      <c r="D9" s="28">
        <v>18</v>
      </c>
      <c r="E9" s="49">
        <v>-0.99720410065237697</v>
      </c>
      <c r="F9" s="28">
        <v>30906</v>
      </c>
      <c r="G9" s="53">
        <v>0.47657412800103499</v>
      </c>
      <c r="H9" s="54" t="s">
        <v>98</v>
      </c>
    </row>
    <row r="10" spans="2:8" ht="15.75" customHeight="1" x14ac:dyDescent="0.35">
      <c r="B10" s="51" t="s">
        <v>21</v>
      </c>
      <c r="C10" s="52">
        <v>10861</v>
      </c>
      <c r="D10" s="28">
        <v>18</v>
      </c>
      <c r="E10" s="49">
        <v>-0.99834269404290599</v>
      </c>
      <c r="F10" s="28">
        <v>47522</v>
      </c>
      <c r="G10" s="53">
        <v>0.55279659946971904</v>
      </c>
      <c r="H10" s="54" t="s">
        <v>98</v>
      </c>
    </row>
    <row r="11" spans="2:8" ht="15.75" customHeight="1" x14ac:dyDescent="0.35">
      <c r="B11" s="47" t="s">
        <v>22</v>
      </c>
      <c r="C11" s="48">
        <v>3015</v>
      </c>
      <c r="D11" s="31">
        <v>39</v>
      </c>
      <c r="E11" s="49">
        <v>-0.98706467661691499</v>
      </c>
      <c r="F11" s="31">
        <v>12594</v>
      </c>
      <c r="G11" s="50">
        <v>0.44338573924090802</v>
      </c>
      <c r="H11" s="41" t="s">
        <v>97</v>
      </c>
    </row>
    <row r="12" spans="2:8" ht="15.75" customHeight="1" x14ac:dyDescent="0.35">
      <c r="B12" s="51" t="s">
        <v>23</v>
      </c>
      <c r="C12" s="52">
        <v>29119</v>
      </c>
      <c r="D12" s="28">
        <v>52</v>
      </c>
      <c r="E12" s="49">
        <v>-0.99821422438957397</v>
      </c>
      <c r="F12" s="28">
        <v>119184</v>
      </c>
      <c r="G12" s="53">
        <v>0.49132433883742799</v>
      </c>
      <c r="H12" s="54" t="s">
        <v>98</v>
      </c>
    </row>
    <row r="13" spans="2:8" ht="15.75" customHeight="1" x14ac:dyDescent="0.35">
      <c r="B13" s="47" t="s">
        <v>24</v>
      </c>
      <c r="C13" s="48">
        <v>4983</v>
      </c>
      <c r="D13" s="31">
        <v>2</v>
      </c>
      <c r="E13" s="49">
        <v>-0.99959863536022497</v>
      </c>
      <c r="F13" s="31">
        <v>16971</v>
      </c>
      <c r="G13" s="50">
        <v>0.52978610570974005</v>
      </c>
      <c r="H13" s="41" t="s">
        <v>97</v>
      </c>
    </row>
    <row r="14" spans="2:8" ht="15.75" customHeight="1" x14ac:dyDescent="0.35">
      <c r="B14" s="51" t="s">
        <v>25</v>
      </c>
      <c r="C14" s="52">
        <v>36600</v>
      </c>
      <c r="D14" s="28">
        <v>101</v>
      </c>
      <c r="E14" s="49">
        <v>-0.99724043715846999</v>
      </c>
      <c r="F14" s="28">
        <v>131965</v>
      </c>
      <c r="G14" s="53">
        <v>0.49183495623839701</v>
      </c>
      <c r="H14" s="54" t="s">
        <v>98</v>
      </c>
    </row>
    <row r="15" spans="2:8" ht="15.75" customHeight="1" x14ac:dyDescent="0.35">
      <c r="B15" s="51" t="s">
        <v>26</v>
      </c>
      <c r="C15" s="52">
        <v>8979</v>
      </c>
      <c r="D15" s="28">
        <v>18</v>
      </c>
      <c r="E15" s="49">
        <v>-0.99799532241897804</v>
      </c>
      <c r="F15" s="28">
        <v>43883</v>
      </c>
      <c r="G15" s="53">
        <v>0.49850739466308103</v>
      </c>
      <c r="H15" s="54" t="s">
        <v>98</v>
      </c>
    </row>
    <row r="16" spans="2:8" ht="15.75" customHeight="1" x14ac:dyDescent="0.35">
      <c r="B16" s="51" t="s">
        <v>27</v>
      </c>
      <c r="C16" s="52">
        <v>13272</v>
      </c>
      <c r="D16" s="28">
        <v>37</v>
      </c>
      <c r="E16" s="49">
        <v>-0.99721217600964396</v>
      </c>
      <c r="F16" s="28">
        <v>53150</v>
      </c>
      <c r="G16" s="53">
        <v>0.44357478833490099</v>
      </c>
      <c r="H16" s="54" t="s">
        <v>98</v>
      </c>
    </row>
    <row r="17" spans="2:8" ht="15.75" customHeight="1" x14ac:dyDescent="0.35">
      <c r="B17" s="51" t="s">
        <v>28</v>
      </c>
      <c r="C17" s="52">
        <v>6128</v>
      </c>
      <c r="D17" s="28">
        <v>18</v>
      </c>
      <c r="E17" s="49">
        <v>-0.99706266318537895</v>
      </c>
      <c r="F17" s="28">
        <v>25775</v>
      </c>
      <c r="G17" s="53">
        <v>0.54048496605237595</v>
      </c>
      <c r="H17" s="54" t="s">
        <v>98</v>
      </c>
    </row>
    <row r="18" spans="2:8" ht="15.75" customHeight="1" x14ac:dyDescent="0.35">
      <c r="B18" s="47" t="s">
        <v>29</v>
      </c>
      <c r="C18" s="48">
        <v>3712</v>
      </c>
      <c r="D18" s="31">
        <v>4</v>
      </c>
      <c r="E18" s="49">
        <v>-0.99892241379310298</v>
      </c>
      <c r="F18" s="31">
        <v>13405</v>
      </c>
      <c r="G18" s="50">
        <v>0.67131667288325303</v>
      </c>
      <c r="H18" s="41" t="s">
        <v>97</v>
      </c>
    </row>
    <row r="19" spans="2:8" ht="15.75" customHeight="1" x14ac:dyDescent="0.35">
      <c r="B19" s="51" t="s">
        <v>30</v>
      </c>
      <c r="C19" s="52">
        <v>8307</v>
      </c>
      <c r="D19" s="28">
        <v>10</v>
      </c>
      <c r="E19" s="49">
        <v>-0.99879619597929503</v>
      </c>
      <c r="F19" s="28">
        <v>28568</v>
      </c>
      <c r="G19" s="53">
        <v>0.65797395687482496</v>
      </c>
      <c r="H19" s="54" t="s">
        <v>98</v>
      </c>
    </row>
    <row r="20" spans="2:8" ht="15.75" customHeight="1" x14ac:dyDescent="0.35">
      <c r="B20" s="47" t="s">
        <v>31</v>
      </c>
      <c r="C20" s="48">
        <v>1426</v>
      </c>
      <c r="D20" s="31">
        <v>0</v>
      </c>
      <c r="E20" s="49">
        <v>-1</v>
      </c>
      <c r="F20" s="31">
        <v>5128</v>
      </c>
      <c r="G20" s="50">
        <v>0.53334633385335395</v>
      </c>
      <c r="H20" s="41" t="s">
        <v>97</v>
      </c>
    </row>
    <row r="21" spans="2:8" ht="15.75" customHeight="1" x14ac:dyDescent="0.35">
      <c r="B21" s="51" t="s">
        <v>32</v>
      </c>
      <c r="C21" s="52">
        <v>38850</v>
      </c>
      <c r="D21" s="28">
        <v>87</v>
      </c>
      <c r="E21" s="49">
        <v>-0.99776061776061797</v>
      </c>
      <c r="F21" s="28">
        <v>158617</v>
      </c>
      <c r="G21" s="53">
        <v>0.48352320369191198</v>
      </c>
      <c r="H21" s="54" t="s">
        <v>98</v>
      </c>
    </row>
    <row r="22" spans="2:8" ht="15.75" customHeight="1" x14ac:dyDescent="0.35">
      <c r="B22" s="51" t="s">
        <v>33</v>
      </c>
      <c r="C22" s="52">
        <v>14706</v>
      </c>
      <c r="D22" s="28">
        <v>49</v>
      </c>
      <c r="E22" s="49">
        <v>-0.99666802665578702</v>
      </c>
      <c r="F22" s="28">
        <v>64373</v>
      </c>
      <c r="G22" s="53">
        <v>0.52885526540630401</v>
      </c>
      <c r="H22" s="54" t="s">
        <v>98</v>
      </c>
    </row>
    <row r="23" spans="2:8" ht="15.75" customHeight="1" x14ac:dyDescent="0.35">
      <c r="B23" s="47" t="s">
        <v>34</v>
      </c>
      <c r="C23" s="48">
        <v>2477</v>
      </c>
      <c r="D23" s="31">
        <v>3</v>
      </c>
      <c r="E23" s="49">
        <v>-0.99878885748889801</v>
      </c>
      <c r="F23" s="31">
        <v>11363</v>
      </c>
      <c r="G23" s="50">
        <v>0.63037930124087005</v>
      </c>
      <c r="H23" s="41" t="s">
        <v>97</v>
      </c>
    </row>
    <row r="24" spans="2:8" ht="15.75" customHeight="1" x14ac:dyDescent="0.35">
      <c r="B24" s="47" t="s">
        <v>35</v>
      </c>
      <c r="C24" s="48">
        <v>5550</v>
      </c>
      <c r="D24" s="31">
        <v>8</v>
      </c>
      <c r="E24" s="49">
        <v>-0.99855855855855902</v>
      </c>
      <c r="F24" s="31">
        <v>21793</v>
      </c>
      <c r="G24" s="50">
        <v>0.49506722342036402</v>
      </c>
      <c r="H24" s="41" t="s">
        <v>97</v>
      </c>
    </row>
    <row r="25" spans="2:8" ht="15.75" customHeight="1" x14ac:dyDescent="0.35">
      <c r="B25" s="47" t="s">
        <v>36</v>
      </c>
      <c r="C25" s="48">
        <v>515</v>
      </c>
      <c r="D25" s="31">
        <v>6</v>
      </c>
      <c r="E25" s="49">
        <v>-0.98834951456310705</v>
      </c>
      <c r="F25" s="31">
        <v>1920</v>
      </c>
      <c r="G25" s="50">
        <v>0.53385416666666696</v>
      </c>
      <c r="H25" s="41" t="s">
        <v>97</v>
      </c>
    </row>
    <row r="26" spans="2:8" ht="15.75" customHeight="1" x14ac:dyDescent="0.35">
      <c r="B26" s="51" t="s">
        <v>37</v>
      </c>
      <c r="C26" s="52">
        <v>29744</v>
      </c>
      <c r="D26" s="28">
        <v>150</v>
      </c>
      <c r="E26" s="49">
        <v>-0.99495696611081197</v>
      </c>
      <c r="F26" s="28">
        <v>206247</v>
      </c>
      <c r="G26" s="53">
        <v>0.38549409203527801</v>
      </c>
      <c r="H26" s="54" t="s">
        <v>98</v>
      </c>
    </row>
    <row r="27" spans="2:8" ht="15.75" customHeight="1" x14ac:dyDescent="0.35">
      <c r="B27" s="51" t="s">
        <v>38</v>
      </c>
      <c r="C27" s="52">
        <v>28247</v>
      </c>
      <c r="D27" s="28">
        <v>74</v>
      </c>
      <c r="E27" s="49">
        <v>-0.99738025277020603</v>
      </c>
      <c r="F27" s="28">
        <v>132014</v>
      </c>
      <c r="G27" s="53">
        <v>0.45685306103898099</v>
      </c>
      <c r="H27" s="54" t="s">
        <v>98</v>
      </c>
    </row>
    <row r="28" spans="2:8" ht="15.75" customHeight="1" x14ac:dyDescent="0.35">
      <c r="B28" s="47" t="s">
        <v>39</v>
      </c>
      <c r="C28" s="48">
        <v>1048</v>
      </c>
      <c r="D28" s="31">
        <v>1</v>
      </c>
      <c r="E28" s="49">
        <v>-0.99904580152671796</v>
      </c>
      <c r="F28" s="31">
        <v>3301</v>
      </c>
      <c r="G28" s="50">
        <v>0.65798242956679798</v>
      </c>
      <c r="H28" s="41" t="s">
        <v>97</v>
      </c>
    </row>
    <row r="29" spans="2:8" ht="15.75" customHeight="1" x14ac:dyDescent="0.35">
      <c r="B29" s="51" t="s">
        <v>40</v>
      </c>
      <c r="C29" s="52">
        <v>84719</v>
      </c>
      <c r="D29" s="28">
        <v>196</v>
      </c>
      <c r="E29" s="49">
        <v>-0.99768646938703198</v>
      </c>
      <c r="F29" s="28">
        <v>428387</v>
      </c>
      <c r="G29" s="53">
        <v>0.51431999570481801</v>
      </c>
      <c r="H29" s="54" t="s">
        <v>98</v>
      </c>
    </row>
    <row r="30" spans="2:8" ht="15.75" customHeight="1" x14ac:dyDescent="0.35">
      <c r="B30" s="47" t="s">
        <v>41</v>
      </c>
      <c r="C30" s="48">
        <v>3056</v>
      </c>
      <c r="D30" s="31">
        <v>5</v>
      </c>
      <c r="E30" s="49">
        <v>-0.99836387434554996</v>
      </c>
      <c r="F30" s="31">
        <v>13797</v>
      </c>
      <c r="G30" s="50">
        <v>0.45067768355439602</v>
      </c>
      <c r="H30" s="41" t="s">
        <v>97</v>
      </c>
    </row>
    <row r="31" spans="2:8" ht="36" customHeight="1" x14ac:dyDescent="0.35">
      <c r="B31" s="190" t="s">
        <v>99</v>
      </c>
      <c r="C31" s="186"/>
      <c r="D31" s="186"/>
      <c r="E31" s="186"/>
      <c r="F31" s="186"/>
      <c r="G31" s="186"/>
      <c r="H31" s="186"/>
    </row>
  </sheetData>
  <mergeCells count="3">
    <mergeCell ref="B1:H1"/>
    <mergeCell ref="B2:H2"/>
    <mergeCell ref="B31:H3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32"/>
  <sheetViews>
    <sheetView showGridLines="0" zoomScaleNormal="100" workbookViewId="0">
      <pane xSplit="2" ySplit="3" topLeftCell="C26" activePane="bottomRight" state="frozen"/>
      <selection pane="topRight" activeCell="C1" sqref="C1"/>
      <selection pane="bottomLeft" activeCell="A4" sqref="A4"/>
      <selection pane="bottomRight" activeCell="B32" sqref="B32:N32"/>
    </sheetView>
  </sheetViews>
  <sheetFormatPr defaultColWidth="8.6328125" defaultRowHeight="14.5" x14ac:dyDescent="0.35"/>
  <cols>
    <col min="1" max="1" width="3" customWidth="1"/>
    <col min="2" max="2" width="8" customWidth="1"/>
    <col min="3" max="11" width="10" customWidth="1"/>
    <col min="12" max="12" width="12" customWidth="1"/>
    <col min="13" max="13" width="14" customWidth="1"/>
    <col min="14" max="14" width="16" customWidth="1"/>
  </cols>
  <sheetData>
    <row r="1" spans="2:14" ht="21.75" customHeight="1" x14ac:dyDescent="0.35">
      <c r="B1" s="189" t="s">
        <v>100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</row>
    <row r="2" spans="2:14" ht="19.5" customHeight="1" x14ac:dyDescent="0.35">
      <c r="B2" s="188" t="s">
        <v>101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2:14" ht="21.75" customHeight="1" x14ac:dyDescent="0.35"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54" t="s">
        <v>9</v>
      </c>
      <c r="J3" s="41" t="s">
        <v>10</v>
      </c>
      <c r="K3" s="2" t="s">
        <v>11</v>
      </c>
      <c r="L3" s="1" t="s">
        <v>13</v>
      </c>
      <c r="M3" s="3" t="s">
        <v>14</v>
      </c>
      <c r="N3" s="55" t="s">
        <v>102</v>
      </c>
    </row>
    <row r="4" spans="2:14" ht="15.75" customHeight="1" x14ac:dyDescent="0.35">
      <c r="B4" s="4" t="s">
        <v>15</v>
      </c>
      <c r="C4" s="5">
        <v>225</v>
      </c>
      <c r="D4" s="5">
        <v>381</v>
      </c>
      <c r="E4" s="5">
        <v>309</v>
      </c>
      <c r="F4" s="5">
        <v>220</v>
      </c>
      <c r="G4" s="5">
        <v>225</v>
      </c>
      <c r="H4" s="5">
        <v>118</v>
      </c>
      <c r="I4" s="28">
        <v>143</v>
      </c>
      <c r="J4" s="31">
        <v>130</v>
      </c>
      <c r="K4" s="5">
        <v>98</v>
      </c>
      <c r="L4" s="6">
        <f t="shared" ref="L4:L30" si="0">SUM(C4:K4)</f>
        <v>1849</v>
      </c>
      <c r="M4" s="7">
        <f t="shared" ref="M4:M31" si="1">(J4-I4)/I4</f>
        <v>-9.0909090909090912E-2</v>
      </c>
      <c r="N4" s="56">
        <v>15.8</v>
      </c>
    </row>
    <row r="5" spans="2:14" ht="15.75" customHeight="1" x14ac:dyDescent="0.35">
      <c r="B5" s="8" t="s">
        <v>16</v>
      </c>
      <c r="C5" s="9">
        <v>1546</v>
      </c>
      <c r="D5" s="9">
        <v>1538</v>
      </c>
      <c r="E5" s="9">
        <v>1199</v>
      </c>
      <c r="F5" s="9">
        <v>857</v>
      </c>
      <c r="G5" s="9">
        <v>864</v>
      </c>
      <c r="H5" s="9">
        <v>733</v>
      </c>
      <c r="I5" s="57">
        <v>828</v>
      </c>
      <c r="J5" s="58">
        <v>890</v>
      </c>
      <c r="K5" s="9">
        <v>889</v>
      </c>
      <c r="L5" s="10">
        <f t="shared" si="0"/>
        <v>9344</v>
      </c>
      <c r="M5" s="7">
        <f t="shared" si="1"/>
        <v>7.4879227053140096E-2</v>
      </c>
      <c r="N5" s="56">
        <v>24.6</v>
      </c>
    </row>
    <row r="6" spans="2:14" ht="15.75" customHeight="1" x14ac:dyDescent="0.35">
      <c r="B6" s="4" t="s">
        <v>17</v>
      </c>
      <c r="C6" s="5">
        <v>792</v>
      </c>
      <c r="D6" s="5">
        <v>969</v>
      </c>
      <c r="E6" s="5">
        <v>956</v>
      </c>
      <c r="F6" s="5">
        <v>980</v>
      </c>
      <c r="G6" s="5">
        <v>782</v>
      </c>
      <c r="H6" s="5">
        <v>1278</v>
      </c>
      <c r="I6" s="28">
        <v>1195</v>
      </c>
      <c r="J6" s="31">
        <v>1052</v>
      </c>
      <c r="K6" s="5">
        <v>758</v>
      </c>
      <c r="L6" s="6">
        <f t="shared" si="0"/>
        <v>8762</v>
      </c>
      <c r="M6" s="7">
        <f t="shared" si="1"/>
        <v>-0.1196652719665272</v>
      </c>
      <c r="N6" s="56">
        <v>28</v>
      </c>
    </row>
    <row r="7" spans="2:14" ht="15.75" customHeight="1" x14ac:dyDescent="0.35">
      <c r="B7" s="8" t="s">
        <v>18</v>
      </c>
      <c r="C7" s="9">
        <v>216</v>
      </c>
      <c r="D7" s="9">
        <v>178</v>
      </c>
      <c r="E7" s="9">
        <v>239</v>
      </c>
      <c r="F7" s="9">
        <v>232</v>
      </c>
      <c r="G7" s="9">
        <v>222</v>
      </c>
      <c r="H7" s="9">
        <v>311</v>
      </c>
      <c r="I7" s="57">
        <v>235</v>
      </c>
      <c r="J7" s="58">
        <v>303</v>
      </c>
      <c r="K7" s="9">
        <v>196</v>
      </c>
      <c r="L7" s="10">
        <f t="shared" si="0"/>
        <v>2132</v>
      </c>
      <c r="M7" s="7">
        <f t="shared" si="1"/>
        <v>0.28936170212765955</v>
      </c>
      <c r="N7" s="56">
        <v>26.8</v>
      </c>
    </row>
    <row r="8" spans="2:14" ht="15.75" customHeight="1" x14ac:dyDescent="0.35">
      <c r="B8" s="4" t="s">
        <v>19</v>
      </c>
      <c r="C8" s="5">
        <v>5442</v>
      </c>
      <c r="D8" s="5">
        <v>5416</v>
      </c>
      <c r="E8" s="5">
        <v>4958</v>
      </c>
      <c r="F8" s="5">
        <v>4586</v>
      </c>
      <c r="G8" s="5">
        <v>5082</v>
      </c>
      <c r="H8" s="5">
        <v>5290</v>
      </c>
      <c r="I8" s="28">
        <v>4825</v>
      </c>
      <c r="J8" s="31">
        <v>4749</v>
      </c>
      <c r="K8" s="5">
        <v>3777</v>
      </c>
      <c r="L8" s="6">
        <f t="shared" si="0"/>
        <v>44125</v>
      </c>
      <c r="M8" s="7">
        <f t="shared" si="1"/>
        <v>-1.5751295336787565E-2</v>
      </c>
      <c r="N8" s="59">
        <v>32.4</v>
      </c>
    </row>
    <row r="9" spans="2:14" ht="15.75" customHeight="1" x14ac:dyDescent="0.35">
      <c r="B9" s="8" t="s">
        <v>20</v>
      </c>
      <c r="C9" s="9">
        <v>2892</v>
      </c>
      <c r="D9" s="9">
        <v>4695</v>
      </c>
      <c r="E9" s="9">
        <v>4220</v>
      </c>
      <c r="F9" s="9">
        <v>1885</v>
      </c>
      <c r="G9" s="9">
        <v>3434</v>
      </c>
      <c r="H9" s="9">
        <v>2966</v>
      </c>
      <c r="I9" s="57">
        <v>2474</v>
      </c>
      <c r="J9" s="58">
        <v>2513</v>
      </c>
      <c r="K9" s="9">
        <v>2705</v>
      </c>
      <c r="L9" s="10">
        <f t="shared" si="0"/>
        <v>27784</v>
      </c>
      <c r="M9" s="7">
        <f t="shared" si="1"/>
        <v>1.5763945028294261E-2</v>
      </c>
      <c r="N9" s="56">
        <v>26.8</v>
      </c>
    </row>
    <row r="10" spans="2:14" ht="15.75" customHeight="1" x14ac:dyDescent="0.35">
      <c r="B10" s="4" t="s">
        <v>21</v>
      </c>
      <c r="C10" s="5">
        <v>541</v>
      </c>
      <c r="D10" s="5">
        <v>405</v>
      </c>
      <c r="E10" s="5">
        <v>340</v>
      </c>
      <c r="F10" s="5">
        <v>267</v>
      </c>
      <c r="G10" s="5">
        <v>253</v>
      </c>
      <c r="H10" s="5">
        <v>193</v>
      </c>
      <c r="I10" s="28">
        <v>179</v>
      </c>
      <c r="J10" s="31">
        <v>132</v>
      </c>
      <c r="K10" s="5">
        <v>110</v>
      </c>
      <c r="L10" s="6">
        <f t="shared" si="0"/>
        <v>2420</v>
      </c>
      <c r="M10" s="7">
        <f t="shared" si="1"/>
        <v>-0.26256983240223464</v>
      </c>
      <c r="N10" s="60">
        <v>5.8</v>
      </c>
    </row>
    <row r="11" spans="2:14" ht="15.75" customHeight="1" x14ac:dyDescent="0.35">
      <c r="B11" s="8" t="s">
        <v>22</v>
      </c>
      <c r="C11" s="9">
        <v>965</v>
      </c>
      <c r="D11" s="9">
        <v>1234</v>
      </c>
      <c r="E11" s="9">
        <v>885</v>
      </c>
      <c r="F11" s="9">
        <v>777</v>
      </c>
      <c r="G11" s="9">
        <v>934</v>
      </c>
      <c r="H11" s="9">
        <v>908</v>
      </c>
      <c r="I11" s="57">
        <v>860</v>
      </c>
      <c r="J11" s="58">
        <v>842</v>
      </c>
      <c r="K11" s="9">
        <v>744</v>
      </c>
      <c r="L11" s="10">
        <f t="shared" si="0"/>
        <v>8149</v>
      </c>
      <c r="M11" s="7">
        <f t="shared" si="1"/>
        <v>-2.0930232558139535E-2</v>
      </c>
      <c r="N11" s="56">
        <v>20.9</v>
      </c>
    </row>
    <row r="12" spans="2:14" ht="15.75" customHeight="1" x14ac:dyDescent="0.35">
      <c r="B12" s="4" t="s">
        <v>23</v>
      </c>
      <c r="C12" s="5">
        <v>2133</v>
      </c>
      <c r="D12" s="5">
        <v>2060</v>
      </c>
      <c r="E12" s="5">
        <v>1885</v>
      </c>
      <c r="F12" s="5">
        <v>1476</v>
      </c>
      <c r="G12" s="5">
        <v>1413</v>
      </c>
      <c r="H12" s="5">
        <v>1017</v>
      </c>
      <c r="I12" s="28">
        <v>946</v>
      </c>
      <c r="J12" s="31">
        <v>840</v>
      </c>
      <c r="K12" s="5">
        <v>634</v>
      </c>
      <c r="L12" s="6">
        <f t="shared" si="0"/>
        <v>12404</v>
      </c>
      <c r="M12" s="7">
        <f t="shared" si="1"/>
        <v>-0.11205073995771671</v>
      </c>
      <c r="N12" s="60">
        <v>13.1</v>
      </c>
    </row>
    <row r="13" spans="2:14" ht="15.75" customHeight="1" x14ac:dyDescent="0.35">
      <c r="B13" s="8" t="s">
        <v>24</v>
      </c>
      <c r="C13" s="9">
        <v>1625</v>
      </c>
      <c r="D13" s="9">
        <v>1474</v>
      </c>
      <c r="E13" s="9">
        <v>1257</v>
      </c>
      <c r="F13" s="9">
        <v>1061</v>
      </c>
      <c r="G13" s="9">
        <v>1426</v>
      </c>
      <c r="H13" s="9">
        <v>1439</v>
      </c>
      <c r="I13" s="57">
        <v>1322</v>
      </c>
      <c r="J13" s="58">
        <v>1437</v>
      </c>
      <c r="K13" s="9">
        <v>1572</v>
      </c>
      <c r="L13" s="10">
        <f t="shared" si="0"/>
        <v>12613</v>
      </c>
      <c r="M13" s="7">
        <f t="shared" si="1"/>
        <v>8.698940998487141E-2</v>
      </c>
      <c r="N13" s="56">
        <v>18.5</v>
      </c>
    </row>
    <row r="14" spans="2:14" ht="15.75" customHeight="1" x14ac:dyDescent="0.35">
      <c r="B14" s="4" t="s">
        <v>25</v>
      </c>
      <c r="C14" s="5">
        <v>3310</v>
      </c>
      <c r="D14" s="5">
        <v>3060</v>
      </c>
      <c r="E14" s="5">
        <v>2234</v>
      </c>
      <c r="F14" s="5">
        <v>1869</v>
      </c>
      <c r="G14" s="5">
        <v>1692</v>
      </c>
      <c r="H14" s="5">
        <v>1588</v>
      </c>
      <c r="I14" s="28">
        <v>1737</v>
      </c>
      <c r="J14" s="31">
        <v>1749</v>
      </c>
      <c r="K14" s="5">
        <v>1682</v>
      </c>
      <c r="L14" s="6">
        <f t="shared" si="0"/>
        <v>18921</v>
      </c>
      <c r="M14" s="7">
        <f t="shared" si="1"/>
        <v>6.9084628670120895E-3</v>
      </c>
      <c r="N14" s="60">
        <v>8.1</v>
      </c>
    </row>
    <row r="15" spans="2:14" ht="15.75" customHeight="1" x14ac:dyDescent="0.35">
      <c r="B15" s="8" t="s">
        <v>26</v>
      </c>
      <c r="C15" s="9">
        <v>328</v>
      </c>
      <c r="D15" s="9">
        <v>318</v>
      </c>
      <c r="E15" s="9">
        <v>246</v>
      </c>
      <c r="F15" s="9">
        <v>231</v>
      </c>
      <c r="G15" s="9">
        <v>215</v>
      </c>
      <c r="H15" s="9">
        <v>269</v>
      </c>
      <c r="I15" s="57">
        <v>249</v>
      </c>
      <c r="J15" s="58">
        <v>227</v>
      </c>
      <c r="K15" s="9">
        <v>217</v>
      </c>
      <c r="L15" s="10">
        <f t="shared" si="0"/>
        <v>2300</v>
      </c>
      <c r="M15" s="7">
        <f t="shared" si="1"/>
        <v>-8.8353413654618476E-2</v>
      </c>
      <c r="N15" s="60">
        <v>8.8000000000000007</v>
      </c>
    </row>
    <row r="16" spans="2:14" ht="15.75" customHeight="1" x14ac:dyDescent="0.35">
      <c r="B16" s="4" t="s">
        <v>27</v>
      </c>
      <c r="C16" s="5">
        <v>757</v>
      </c>
      <c r="D16" s="5">
        <v>675</v>
      </c>
      <c r="E16" s="5">
        <v>562</v>
      </c>
      <c r="F16" s="5">
        <v>506</v>
      </c>
      <c r="G16" s="5">
        <v>594</v>
      </c>
      <c r="H16" s="5">
        <v>556</v>
      </c>
      <c r="I16" s="28">
        <v>676</v>
      </c>
      <c r="J16" s="31">
        <v>765</v>
      </c>
      <c r="K16" s="5">
        <v>693</v>
      </c>
      <c r="L16" s="6">
        <f t="shared" si="0"/>
        <v>5784</v>
      </c>
      <c r="M16" s="7">
        <f t="shared" si="1"/>
        <v>0.13165680473372782</v>
      </c>
      <c r="N16" s="56">
        <v>18.5</v>
      </c>
    </row>
    <row r="17" spans="2:14" ht="15.75" customHeight="1" x14ac:dyDescent="0.35">
      <c r="B17" s="8" t="s">
        <v>28</v>
      </c>
      <c r="C17" s="9">
        <v>3061</v>
      </c>
      <c r="D17" s="9">
        <v>3378</v>
      </c>
      <c r="E17" s="9">
        <v>3461</v>
      </c>
      <c r="F17" s="9">
        <v>2356</v>
      </c>
      <c r="G17" s="9">
        <v>1899</v>
      </c>
      <c r="H17" s="9">
        <v>1959</v>
      </c>
      <c r="I17" s="57">
        <v>2039</v>
      </c>
      <c r="J17" s="58">
        <v>1765</v>
      </c>
      <c r="K17" s="9">
        <v>1560</v>
      </c>
      <c r="L17" s="10">
        <f t="shared" si="0"/>
        <v>21478</v>
      </c>
      <c r="M17" s="7">
        <f t="shared" si="1"/>
        <v>-0.13437959784207945</v>
      </c>
      <c r="N17" s="56">
        <v>23.2</v>
      </c>
    </row>
    <row r="18" spans="2:14" ht="15.75" customHeight="1" x14ac:dyDescent="0.35">
      <c r="B18" s="4" t="s">
        <v>29</v>
      </c>
      <c r="C18" s="5">
        <v>1064</v>
      </c>
      <c r="D18" s="5">
        <v>1038</v>
      </c>
      <c r="E18" s="5">
        <v>995</v>
      </c>
      <c r="F18" s="5">
        <v>718</v>
      </c>
      <c r="G18" s="5">
        <v>923</v>
      </c>
      <c r="H18" s="5">
        <v>940</v>
      </c>
      <c r="I18" s="28">
        <v>902</v>
      </c>
      <c r="J18" s="31">
        <v>896</v>
      </c>
      <c r="K18" s="5">
        <v>892</v>
      </c>
      <c r="L18" s="6">
        <f t="shared" si="0"/>
        <v>8368</v>
      </c>
      <c r="M18" s="7">
        <f t="shared" si="1"/>
        <v>-6.6518847006651885E-3</v>
      </c>
      <c r="N18" s="56">
        <v>22.2</v>
      </c>
    </row>
    <row r="19" spans="2:14" ht="15.75" customHeight="1" x14ac:dyDescent="0.35">
      <c r="B19" s="8" t="s">
        <v>30</v>
      </c>
      <c r="C19" s="9">
        <v>3490</v>
      </c>
      <c r="D19" s="9">
        <v>4495</v>
      </c>
      <c r="E19" s="9">
        <v>3378</v>
      </c>
      <c r="F19" s="9">
        <v>2699</v>
      </c>
      <c r="G19" s="9">
        <v>3063</v>
      </c>
      <c r="H19" s="9">
        <v>2793</v>
      </c>
      <c r="I19" s="57">
        <v>2766</v>
      </c>
      <c r="J19" s="58">
        <v>2997</v>
      </c>
      <c r="K19" s="9">
        <v>2775</v>
      </c>
      <c r="L19" s="10">
        <f t="shared" si="0"/>
        <v>28456</v>
      </c>
      <c r="M19" s="7">
        <f t="shared" si="1"/>
        <v>8.3514099783080262E-2</v>
      </c>
      <c r="N19" s="56">
        <v>28.6</v>
      </c>
    </row>
    <row r="20" spans="2:14" ht="15.75" customHeight="1" x14ac:dyDescent="0.35">
      <c r="B20" s="4" t="s">
        <v>31</v>
      </c>
      <c r="C20" s="5">
        <v>448</v>
      </c>
      <c r="D20" s="5">
        <v>385</v>
      </c>
      <c r="E20" s="5">
        <v>385</v>
      </c>
      <c r="F20" s="5">
        <v>352</v>
      </c>
      <c r="G20" s="5">
        <v>456</v>
      </c>
      <c r="H20" s="5">
        <v>566</v>
      </c>
      <c r="I20" s="28">
        <v>607</v>
      </c>
      <c r="J20" s="31">
        <v>523</v>
      </c>
      <c r="K20" s="5">
        <v>483</v>
      </c>
      <c r="L20" s="6">
        <f t="shared" si="0"/>
        <v>4205</v>
      </c>
      <c r="M20" s="7">
        <f t="shared" si="1"/>
        <v>-0.13838550247116968</v>
      </c>
      <c r="N20" s="56">
        <v>18.5</v>
      </c>
    </row>
    <row r="21" spans="2:14" ht="15.75" customHeight="1" x14ac:dyDescent="0.35">
      <c r="B21" s="8" t="s">
        <v>32</v>
      </c>
      <c r="C21" s="9">
        <v>2131</v>
      </c>
      <c r="D21" s="9">
        <v>1837</v>
      </c>
      <c r="E21" s="9">
        <v>1526</v>
      </c>
      <c r="F21" s="9">
        <v>1182</v>
      </c>
      <c r="G21" s="9">
        <v>1407</v>
      </c>
      <c r="H21" s="9">
        <v>1377</v>
      </c>
      <c r="I21" s="57">
        <v>1501</v>
      </c>
      <c r="J21" s="58">
        <v>1252</v>
      </c>
      <c r="K21" s="9">
        <v>1095</v>
      </c>
      <c r="L21" s="10">
        <f t="shared" si="0"/>
        <v>13308</v>
      </c>
      <c r="M21" s="7">
        <f t="shared" si="1"/>
        <v>-0.1658894070619587</v>
      </c>
      <c r="N21" s="60">
        <v>12.7</v>
      </c>
    </row>
    <row r="22" spans="2:14" ht="15.75" customHeight="1" x14ac:dyDescent="0.35">
      <c r="B22" s="4" t="s">
        <v>33</v>
      </c>
      <c r="C22" s="5">
        <v>4036</v>
      </c>
      <c r="D22" s="5">
        <v>4419</v>
      </c>
      <c r="E22" s="5">
        <v>4267</v>
      </c>
      <c r="F22" s="5">
        <v>2311</v>
      </c>
      <c r="G22" s="5">
        <v>2744</v>
      </c>
      <c r="H22" s="5">
        <v>3000</v>
      </c>
      <c r="I22" s="28">
        <v>2438</v>
      </c>
      <c r="J22" s="31">
        <v>2584</v>
      </c>
      <c r="K22" s="5">
        <v>2033</v>
      </c>
      <c r="L22" s="6">
        <f t="shared" si="0"/>
        <v>27832</v>
      </c>
      <c r="M22" s="7">
        <f t="shared" si="1"/>
        <v>5.988515176374077E-2</v>
      </c>
      <c r="N22" s="60">
        <v>14</v>
      </c>
    </row>
    <row r="23" spans="2:14" ht="15.75" customHeight="1" x14ac:dyDescent="0.35">
      <c r="B23" s="8" t="s">
        <v>34</v>
      </c>
      <c r="C23" s="9">
        <v>1568</v>
      </c>
      <c r="D23" s="9">
        <v>1924</v>
      </c>
      <c r="E23" s="9">
        <v>1641</v>
      </c>
      <c r="F23" s="9">
        <v>1177</v>
      </c>
      <c r="G23" s="9">
        <v>1230</v>
      </c>
      <c r="H23" s="9">
        <v>1014</v>
      </c>
      <c r="I23" s="57">
        <v>965</v>
      </c>
      <c r="J23" s="58">
        <v>706</v>
      </c>
      <c r="K23" s="9">
        <v>606</v>
      </c>
      <c r="L23" s="10">
        <f t="shared" si="0"/>
        <v>10831</v>
      </c>
      <c r="M23" s="7">
        <f t="shared" si="1"/>
        <v>-0.26839378238341971</v>
      </c>
      <c r="N23" s="56">
        <v>27.1</v>
      </c>
    </row>
    <row r="24" spans="2:14" ht="15.75" customHeight="1" x14ac:dyDescent="0.35">
      <c r="B24" s="4" t="s">
        <v>35</v>
      </c>
      <c r="C24" s="5">
        <v>465</v>
      </c>
      <c r="D24" s="5">
        <v>376</v>
      </c>
      <c r="E24" s="5">
        <v>302</v>
      </c>
      <c r="F24" s="5">
        <v>258</v>
      </c>
      <c r="G24" s="5">
        <v>256</v>
      </c>
      <c r="H24" s="5">
        <v>324</v>
      </c>
      <c r="I24" s="28">
        <v>378</v>
      </c>
      <c r="J24" s="31">
        <v>327</v>
      </c>
      <c r="K24" s="5">
        <v>331</v>
      </c>
      <c r="L24" s="6">
        <f t="shared" si="0"/>
        <v>3017</v>
      </c>
      <c r="M24" s="7">
        <f t="shared" si="1"/>
        <v>-0.13492063492063491</v>
      </c>
      <c r="N24" s="56">
        <v>20.8</v>
      </c>
    </row>
    <row r="25" spans="2:14" ht="15.75" customHeight="1" x14ac:dyDescent="0.35">
      <c r="B25" s="8" t="s">
        <v>36</v>
      </c>
      <c r="C25" s="9">
        <v>70</v>
      </c>
      <c r="D25" s="9">
        <v>96</v>
      </c>
      <c r="E25" s="9">
        <v>182</v>
      </c>
      <c r="F25" s="9">
        <v>83</v>
      </c>
      <c r="G25" s="9">
        <v>101</v>
      </c>
      <c r="H25" s="9">
        <v>105</v>
      </c>
      <c r="I25" s="57">
        <v>103</v>
      </c>
      <c r="J25" s="58">
        <v>105</v>
      </c>
      <c r="K25" s="9">
        <v>69</v>
      </c>
      <c r="L25" s="10">
        <f t="shared" si="0"/>
        <v>914</v>
      </c>
      <c r="M25" s="7">
        <f t="shared" si="1"/>
        <v>1.9417475728155338E-2</v>
      </c>
      <c r="N25" s="56">
        <v>15.8</v>
      </c>
    </row>
    <row r="26" spans="2:14" ht="15.75" customHeight="1" x14ac:dyDescent="0.35">
      <c r="B26" s="4" t="s">
        <v>37</v>
      </c>
      <c r="C26" s="5">
        <v>2506</v>
      </c>
      <c r="D26" s="5">
        <v>2582</v>
      </c>
      <c r="E26" s="5">
        <v>2069</v>
      </c>
      <c r="F26" s="5">
        <v>1599</v>
      </c>
      <c r="G26" s="5">
        <v>1537</v>
      </c>
      <c r="H26" s="5">
        <v>1378</v>
      </c>
      <c r="I26" s="28">
        <v>1478</v>
      </c>
      <c r="J26" s="31">
        <v>1407</v>
      </c>
      <c r="K26" s="5">
        <v>1227</v>
      </c>
      <c r="L26" s="6">
        <f t="shared" si="0"/>
        <v>15783</v>
      </c>
      <c r="M26" s="7">
        <f t="shared" si="1"/>
        <v>-4.8037889039242221E-2</v>
      </c>
      <c r="N26" s="60">
        <v>12.9</v>
      </c>
    </row>
    <row r="27" spans="2:14" ht="15.75" customHeight="1" x14ac:dyDescent="0.35">
      <c r="B27" s="8" t="s">
        <v>38</v>
      </c>
      <c r="C27" s="9">
        <v>608</v>
      </c>
      <c r="D27" s="9">
        <v>669</v>
      </c>
      <c r="E27" s="9">
        <v>449</v>
      </c>
      <c r="F27" s="9">
        <v>395</v>
      </c>
      <c r="G27" s="9">
        <v>382</v>
      </c>
      <c r="H27" s="9">
        <v>380</v>
      </c>
      <c r="I27" s="57">
        <v>313</v>
      </c>
      <c r="J27" s="58">
        <v>297</v>
      </c>
      <c r="K27" s="9">
        <v>305</v>
      </c>
      <c r="L27" s="10">
        <f t="shared" si="0"/>
        <v>3798</v>
      </c>
      <c r="M27" s="7">
        <f t="shared" si="1"/>
        <v>-5.1118210862619806E-2</v>
      </c>
      <c r="N27" s="60">
        <v>4</v>
      </c>
    </row>
    <row r="28" spans="2:14" ht="15.75" customHeight="1" x14ac:dyDescent="0.35">
      <c r="B28" s="4" t="s">
        <v>39</v>
      </c>
      <c r="C28" s="5">
        <v>1263</v>
      </c>
      <c r="D28" s="5">
        <v>1097</v>
      </c>
      <c r="E28" s="5">
        <v>961</v>
      </c>
      <c r="F28" s="5">
        <v>780</v>
      </c>
      <c r="G28" s="5">
        <v>823</v>
      </c>
      <c r="H28" s="5">
        <v>664</v>
      </c>
      <c r="I28" s="28">
        <v>654</v>
      </c>
      <c r="J28" s="31">
        <v>572</v>
      </c>
      <c r="K28" s="5">
        <v>396</v>
      </c>
      <c r="L28" s="6">
        <f t="shared" si="0"/>
        <v>7210</v>
      </c>
      <c r="M28" s="7">
        <f t="shared" si="1"/>
        <v>-0.12538226299694188</v>
      </c>
      <c r="N28" s="56">
        <v>28</v>
      </c>
    </row>
    <row r="29" spans="2:14" ht="15.75" customHeight="1" x14ac:dyDescent="0.35">
      <c r="B29" s="8" t="s">
        <v>40</v>
      </c>
      <c r="C29" s="9">
        <v>2690</v>
      </c>
      <c r="D29" s="9">
        <v>2490</v>
      </c>
      <c r="E29" s="9">
        <v>1966</v>
      </c>
      <c r="F29" s="9">
        <v>1721</v>
      </c>
      <c r="G29" s="9">
        <v>1762</v>
      </c>
      <c r="H29" s="9">
        <v>1622</v>
      </c>
      <c r="I29" s="57">
        <v>1649</v>
      </c>
      <c r="J29" s="58">
        <v>1462</v>
      </c>
      <c r="K29" s="9">
        <v>1440</v>
      </c>
      <c r="L29" s="10">
        <f t="shared" si="0"/>
        <v>16802</v>
      </c>
      <c r="M29" s="7">
        <f t="shared" si="1"/>
        <v>-0.1134020618556701</v>
      </c>
      <c r="N29" s="60">
        <v>3.5</v>
      </c>
    </row>
    <row r="30" spans="2:14" ht="15.75" customHeight="1" x14ac:dyDescent="0.35">
      <c r="B30" s="4" t="s">
        <v>41</v>
      </c>
      <c r="C30" s="5">
        <v>303</v>
      </c>
      <c r="D30" s="5">
        <v>321</v>
      </c>
      <c r="E30" s="5">
        <v>307</v>
      </c>
      <c r="F30" s="5">
        <v>247</v>
      </c>
      <c r="G30" s="5">
        <v>275</v>
      </c>
      <c r="H30" s="5">
        <v>251</v>
      </c>
      <c r="I30" s="28">
        <v>248</v>
      </c>
      <c r="J30" s="31">
        <v>267</v>
      </c>
      <c r="K30" s="5">
        <v>136</v>
      </c>
      <c r="L30" s="6">
        <f t="shared" si="0"/>
        <v>2355</v>
      </c>
      <c r="M30" s="7">
        <f t="shared" si="1"/>
        <v>7.6612903225806453E-2</v>
      </c>
      <c r="N30" s="56">
        <v>15.4</v>
      </c>
    </row>
    <row r="31" spans="2:14" ht="18" customHeight="1" x14ac:dyDescent="0.35">
      <c r="B31" s="11" t="s">
        <v>42</v>
      </c>
      <c r="C31" s="12">
        <f t="shared" ref="C31:L31" si="2">SUM(C4:C30)</f>
        <v>44475</v>
      </c>
      <c r="D31" s="12">
        <f t="shared" si="2"/>
        <v>47510</v>
      </c>
      <c r="E31" s="12">
        <f t="shared" si="2"/>
        <v>41179</v>
      </c>
      <c r="F31" s="12">
        <f t="shared" si="2"/>
        <v>30825</v>
      </c>
      <c r="G31" s="12">
        <f t="shared" si="2"/>
        <v>33994</v>
      </c>
      <c r="H31" s="12">
        <f t="shared" si="2"/>
        <v>33039</v>
      </c>
      <c r="I31" s="12">
        <f t="shared" si="2"/>
        <v>31710</v>
      </c>
      <c r="J31" s="12">
        <f t="shared" si="2"/>
        <v>30789</v>
      </c>
      <c r="K31" s="12">
        <f t="shared" si="2"/>
        <v>27423</v>
      </c>
      <c r="L31" s="12">
        <f t="shared" si="2"/>
        <v>320944</v>
      </c>
      <c r="M31" s="13">
        <f t="shared" si="1"/>
        <v>-2.9044465468306527E-2</v>
      </c>
      <c r="N31" s="61">
        <v>14.8</v>
      </c>
    </row>
    <row r="32" spans="2:14" ht="36" customHeight="1" x14ac:dyDescent="0.35">
      <c r="B32" s="190" t="s">
        <v>103</v>
      </c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</row>
  </sheetData>
  <mergeCells count="3">
    <mergeCell ref="B1:N1"/>
    <mergeCell ref="B2:N2"/>
    <mergeCell ref="B32:N3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B32"/>
  <sheetViews>
    <sheetView showGridLines="0" tabSelected="1" zoomScaleNormal="100" workbookViewId="0">
      <pane xSplit="2" ySplit="3" topLeftCell="I4" activePane="bottomRight" state="frozen"/>
      <selection pane="topRight" activeCell="C1" sqref="C1"/>
      <selection pane="bottomLeft" activeCell="A4" sqref="A4"/>
      <selection pane="bottomRight" activeCell="O1" sqref="O1"/>
    </sheetView>
  </sheetViews>
  <sheetFormatPr defaultColWidth="8.6328125" defaultRowHeight="14.5" x14ac:dyDescent="0.35"/>
  <cols>
    <col min="1" max="1" width="3" customWidth="1"/>
    <col min="2" max="2" width="8" customWidth="1"/>
    <col min="3" max="12" width="12" customWidth="1"/>
    <col min="13" max="14" width="14" customWidth="1"/>
  </cols>
  <sheetData>
    <row r="1" spans="2:28" ht="21.75" customHeight="1" x14ac:dyDescent="0.35">
      <c r="B1" s="189" t="s">
        <v>104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</row>
    <row r="2" spans="2:28" ht="19.5" customHeight="1" x14ac:dyDescent="0.35">
      <c r="B2" s="188" t="s">
        <v>105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</row>
    <row r="3" spans="2:28" ht="21.75" customHeight="1" x14ac:dyDescent="0.35">
      <c r="B3" s="1" t="s">
        <v>2</v>
      </c>
      <c r="C3" s="62" t="s">
        <v>106</v>
      </c>
      <c r="D3" s="62" t="s">
        <v>107</v>
      </c>
      <c r="E3" s="62" t="s">
        <v>108</v>
      </c>
      <c r="F3" s="62" t="s">
        <v>109</v>
      </c>
      <c r="G3" s="62" t="s">
        <v>110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54" t="s">
        <v>9</v>
      </c>
      <c r="O3" s="41" t="s">
        <v>10</v>
      </c>
      <c r="P3" s="63" t="s">
        <v>111</v>
      </c>
      <c r="Q3" s="3" t="s">
        <v>14</v>
      </c>
      <c r="S3" s="64" t="s">
        <v>112</v>
      </c>
      <c r="T3" t="s">
        <v>113</v>
      </c>
      <c r="U3" t="s">
        <v>114</v>
      </c>
      <c r="V3" t="s">
        <v>115</v>
      </c>
      <c r="W3" t="s">
        <v>116</v>
      </c>
      <c r="X3" t="s">
        <v>117</v>
      </c>
      <c r="Y3" t="s">
        <v>118</v>
      </c>
      <c r="Z3" t="s">
        <v>119</v>
      </c>
      <c r="AA3" t="s">
        <v>120</v>
      </c>
      <c r="AB3" t="s">
        <v>121</v>
      </c>
    </row>
    <row r="4" spans="2:28" ht="15.75" customHeight="1" x14ac:dyDescent="0.35">
      <c r="B4" s="4" t="s">
        <v>15</v>
      </c>
      <c r="C4">
        <v>4.4828999999999999</v>
      </c>
      <c r="D4">
        <v>4.8346</v>
      </c>
      <c r="E4">
        <v>5.7605000000000004</v>
      </c>
      <c r="F4">
        <v>6.7301000000000002</v>
      </c>
      <c r="G4">
        <v>7.3864000000000001</v>
      </c>
      <c r="H4" s="65">
        <v>13.8</v>
      </c>
      <c r="I4" s="65">
        <v>14.3</v>
      </c>
      <c r="J4" s="65">
        <v>15.3</v>
      </c>
      <c r="K4" s="65">
        <v>15.6</v>
      </c>
      <c r="L4" s="65">
        <v>16.5</v>
      </c>
      <c r="M4" s="65">
        <v>21.4</v>
      </c>
      <c r="N4" s="66">
        <v>23.7</v>
      </c>
      <c r="O4" s="67">
        <v>26.3</v>
      </c>
      <c r="P4" s="68">
        <f t="shared" ref="P4:P30" si="0">J4*1.0347</f>
        <v>15.830909999999999</v>
      </c>
      <c r="Q4" s="69">
        <f t="shared" ref="Q4:Q31" si="1">(J4-I4)/I4</f>
        <v>6.9930069930069921E-2</v>
      </c>
      <c r="S4" s="70">
        <v>28.4</v>
      </c>
      <c r="T4">
        <v>2.8685</v>
      </c>
      <c r="U4">
        <v>3.3048000000000002</v>
      </c>
      <c r="V4">
        <v>3.9403000000000001</v>
      </c>
      <c r="W4">
        <v>8.3420000000000005</v>
      </c>
      <c r="X4">
        <v>8.9491999999999994</v>
      </c>
      <c r="Y4">
        <v>10.1381</v>
      </c>
      <c r="Z4">
        <v>11.473800000000001</v>
      </c>
      <c r="AA4">
        <v>13.458600000000001</v>
      </c>
      <c r="AB4">
        <v>13.6228</v>
      </c>
    </row>
    <row r="5" spans="2:28" ht="15.75" customHeight="1" x14ac:dyDescent="0.35">
      <c r="B5" s="8" t="s">
        <v>16</v>
      </c>
      <c r="C5">
        <v>14.1393</v>
      </c>
      <c r="D5">
        <v>15.747999999999999</v>
      </c>
      <c r="E5">
        <v>17.793199999999999</v>
      </c>
      <c r="F5">
        <v>19.476900000000001</v>
      </c>
      <c r="G5">
        <v>21.234999999999999</v>
      </c>
      <c r="H5" s="71">
        <v>49.5</v>
      </c>
      <c r="I5" s="71">
        <v>52.9</v>
      </c>
      <c r="J5" s="71">
        <v>54.4</v>
      </c>
      <c r="K5" s="71">
        <v>59</v>
      </c>
      <c r="L5" s="71">
        <v>63.2</v>
      </c>
      <c r="M5" s="71">
        <v>76.3</v>
      </c>
      <c r="N5" s="72">
        <v>76.099999999999994</v>
      </c>
      <c r="O5" s="73">
        <v>89.7</v>
      </c>
      <c r="P5" s="68">
        <f>J5*1.0347</f>
        <v>56.287679999999995</v>
      </c>
      <c r="Q5" s="69">
        <f t="shared" si="1"/>
        <v>2.835538752362949E-2</v>
      </c>
      <c r="S5" s="74">
        <v>97.5</v>
      </c>
      <c r="T5">
        <v>9.8124000000000002</v>
      </c>
      <c r="U5">
        <v>11.2095</v>
      </c>
      <c r="V5">
        <v>12.890499999999999</v>
      </c>
      <c r="W5">
        <v>27.1327</v>
      </c>
      <c r="X5">
        <v>31.657</v>
      </c>
      <c r="Y5">
        <v>34.649299999999997</v>
      </c>
      <c r="Z5">
        <v>37.284100000000002</v>
      </c>
      <c r="AA5">
        <v>40.973500000000001</v>
      </c>
      <c r="AB5">
        <v>46.3688</v>
      </c>
    </row>
    <row r="6" spans="2:28" ht="15.75" customHeight="1" x14ac:dyDescent="0.35">
      <c r="B6" s="4" t="s">
        <v>17</v>
      </c>
      <c r="C6">
        <v>33.3521</v>
      </c>
      <c r="D6">
        <v>39.1569</v>
      </c>
      <c r="E6">
        <v>42.023200000000003</v>
      </c>
      <c r="F6">
        <v>46.822600000000001</v>
      </c>
      <c r="G6">
        <v>49.6143</v>
      </c>
      <c r="H6" s="65">
        <v>89</v>
      </c>
      <c r="I6" s="65">
        <v>93.2</v>
      </c>
      <c r="J6" s="65">
        <v>100.1</v>
      </c>
      <c r="K6" s="65">
        <v>108.2</v>
      </c>
      <c r="L6" s="65">
        <v>116</v>
      </c>
      <c r="M6" s="65">
        <v>131.5</v>
      </c>
      <c r="N6" s="66">
        <v>145.1</v>
      </c>
      <c r="O6" s="67">
        <v>161.80000000000001</v>
      </c>
      <c r="P6" s="68">
        <f t="shared" si="0"/>
        <v>103.57346999999999</v>
      </c>
      <c r="Q6" s="69">
        <f t="shared" si="1"/>
        <v>7.4034334763948398E-2</v>
      </c>
      <c r="S6" s="70">
        <v>177.9</v>
      </c>
      <c r="T6">
        <v>21.7912</v>
      </c>
      <c r="U6">
        <v>24.9772</v>
      </c>
      <c r="V6">
        <v>30.313700000000001</v>
      </c>
      <c r="W6">
        <v>60.875700000000002</v>
      </c>
      <c r="X6">
        <v>70.735900000000001</v>
      </c>
      <c r="Y6">
        <v>72.243399999999994</v>
      </c>
      <c r="Z6">
        <v>83.050799999999995</v>
      </c>
      <c r="AA6">
        <v>86.667299999999997</v>
      </c>
      <c r="AB6">
        <v>86.568600000000004</v>
      </c>
    </row>
    <row r="7" spans="2:28" ht="15.75" customHeight="1" x14ac:dyDescent="0.35">
      <c r="B7" s="8" t="s">
        <v>18</v>
      </c>
      <c r="C7">
        <v>4.3613</v>
      </c>
      <c r="D7">
        <v>5.26</v>
      </c>
      <c r="E7">
        <v>6.0221</v>
      </c>
      <c r="F7">
        <v>6.7648000000000001</v>
      </c>
      <c r="G7">
        <v>7.4043999999999999</v>
      </c>
      <c r="H7" s="71">
        <v>14.3</v>
      </c>
      <c r="I7" s="71">
        <v>15.5</v>
      </c>
      <c r="J7" s="71">
        <v>16.8</v>
      </c>
      <c r="K7" s="71">
        <v>17.5</v>
      </c>
      <c r="L7" s="71">
        <v>18.5</v>
      </c>
      <c r="M7" s="71">
        <v>20.100000000000001</v>
      </c>
      <c r="N7" s="72">
        <v>23.6</v>
      </c>
      <c r="O7" s="73">
        <v>28</v>
      </c>
      <c r="P7" s="68">
        <f t="shared" si="0"/>
        <v>17.382960000000001</v>
      </c>
      <c r="Q7" s="69">
        <f t="shared" si="1"/>
        <v>8.3870967741935532E-2</v>
      </c>
      <c r="S7" s="74">
        <v>31.8</v>
      </c>
      <c r="T7">
        <v>3.2915000000000001</v>
      </c>
      <c r="U7">
        <v>3.4340999999999999</v>
      </c>
      <c r="V7">
        <v>3.8460999999999999</v>
      </c>
      <c r="W7">
        <v>8.2378</v>
      </c>
      <c r="X7">
        <v>9.4092000000000002</v>
      </c>
      <c r="Y7">
        <v>11.130800000000001</v>
      </c>
      <c r="Z7">
        <v>12.763199999999999</v>
      </c>
      <c r="AA7">
        <v>13.4</v>
      </c>
      <c r="AB7">
        <v>13.861599999999999</v>
      </c>
    </row>
    <row r="8" spans="2:28" ht="15.75" customHeight="1" x14ac:dyDescent="0.35">
      <c r="B8" s="4" t="s">
        <v>19</v>
      </c>
      <c r="C8">
        <v>90.919300000000007</v>
      </c>
      <c r="D8">
        <v>96.520700000000005</v>
      </c>
      <c r="E8">
        <v>109.65179999999999</v>
      </c>
      <c r="F8">
        <v>121.50709999999999</v>
      </c>
      <c r="G8">
        <v>137.07470000000001</v>
      </c>
      <c r="H8" s="65">
        <v>258.7</v>
      </c>
      <c r="I8" s="65">
        <v>268.7</v>
      </c>
      <c r="J8" s="65">
        <v>286.2</v>
      </c>
      <c r="K8" s="65">
        <v>293.2</v>
      </c>
      <c r="L8" s="65">
        <v>305.3</v>
      </c>
      <c r="M8" s="65">
        <v>352.6</v>
      </c>
      <c r="N8" s="66">
        <v>402.6</v>
      </c>
      <c r="O8" s="67">
        <v>431</v>
      </c>
      <c r="P8" s="68">
        <f t="shared" si="0"/>
        <v>296.13113999999996</v>
      </c>
      <c r="Q8" s="69">
        <f t="shared" si="1"/>
        <v>6.5128395980647569E-2</v>
      </c>
      <c r="S8" s="70">
        <v>465</v>
      </c>
      <c r="T8">
        <v>60.671799999999998</v>
      </c>
      <c r="U8">
        <v>68.146900000000002</v>
      </c>
      <c r="V8">
        <v>79.083200000000005</v>
      </c>
      <c r="W8">
        <v>154.42429999999999</v>
      </c>
      <c r="X8">
        <v>166.60470000000001</v>
      </c>
      <c r="Y8">
        <v>182.57839999999999</v>
      </c>
      <c r="Z8">
        <v>204.84100000000001</v>
      </c>
      <c r="AA8">
        <v>223.9308</v>
      </c>
      <c r="AB8">
        <v>245.04730000000001</v>
      </c>
    </row>
    <row r="9" spans="2:28" ht="15.75" customHeight="1" x14ac:dyDescent="0.35">
      <c r="B9" s="8" t="s">
        <v>20</v>
      </c>
      <c r="C9">
        <v>40.935200000000002</v>
      </c>
      <c r="D9">
        <v>46.303100000000001</v>
      </c>
      <c r="E9">
        <v>50.331400000000002</v>
      </c>
      <c r="F9">
        <v>60.0989</v>
      </c>
      <c r="G9">
        <v>65.703800000000001</v>
      </c>
      <c r="H9" s="71">
        <v>138.4</v>
      </c>
      <c r="I9" s="71">
        <v>147.9</v>
      </c>
      <c r="J9" s="71">
        <v>155.9</v>
      </c>
      <c r="K9" s="71">
        <v>163.6</v>
      </c>
      <c r="L9" s="71">
        <v>166.9</v>
      </c>
      <c r="M9" s="71">
        <v>194.9</v>
      </c>
      <c r="N9" s="72">
        <v>213.6</v>
      </c>
      <c r="O9" s="73">
        <v>232.2</v>
      </c>
      <c r="P9" s="68">
        <f t="shared" si="0"/>
        <v>161.30973</v>
      </c>
      <c r="Q9" s="69">
        <f t="shared" si="1"/>
        <v>5.4090601757944556E-2</v>
      </c>
      <c r="S9" s="74">
        <v>250.2</v>
      </c>
      <c r="T9">
        <v>28.8962</v>
      </c>
      <c r="U9">
        <v>32.5655</v>
      </c>
      <c r="V9">
        <v>36.866300000000003</v>
      </c>
      <c r="W9">
        <v>79.334000000000003</v>
      </c>
      <c r="X9">
        <v>89.694599999999994</v>
      </c>
      <c r="Y9">
        <v>96.972499999999997</v>
      </c>
      <c r="Z9">
        <v>109.03870000000001</v>
      </c>
      <c r="AA9">
        <v>126.054</v>
      </c>
      <c r="AB9">
        <v>130.6284</v>
      </c>
    </row>
    <row r="10" spans="2:28" ht="15.75" customHeight="1" x14ac:dyDescent="0.35">
      <c r="B10" s="4" t="s">
        <v>21</v>
      </c>
      <c r="C10">
        <v>80.526600000000002</v>
      </c>
      <c r="D10">
        <v>89.628600000000006</v>
      </c>
      <c r="E10">
        <v>99.945599999999999</v>
      </c>
      <c r="F10">
        <v>117.5719</v>
      </c>
      <c r="G10">
        <v>131.4873</v>
      </c>
      <c r="H10" s="65">
        <v>235.5</v>
      </c>
      <c r="I10" s="65">
        <v>244.7</v>
      </c>
      <c r="J10" s="65">
        <v>254.8</v>
      </c>
      <c r="K10" s="65">
        <v>273.60000000000002</v>
      </c>
      <c r="L10" s="65">
        <v>265.8</v>
      </c>
      <c r="M10" s="65">
        <v>286.89999999999998</v>
      </c>
      <c r="N10" s="66">
        <v>328.8</v>
      </c>
      <c r="O10" s="67">
        <v>365.7</v>
      </c>
      <c r="P10" s="68">
        <f t="shared" si="0"/>
        <v>263.64156000000003</v>
      </c>
      <c r="Q10" s="69">
        <f t="shared" si="1"/>
        <v>4.1275030649775328E-2</v>
      </c>
      <c r="S10" s="70">
        <v>406.1</v>
      </c>
      <c r="T10">
        <v>56.137999999999998</v>
      </c>
      <c r="U10">
        <v>63.104900000000001</v>
      </c>
      <c r="V10">
        <v>70.724100000000007</v>
      </c>
      <c r="W10">
        <v>144.17310000000001</v>
      </c>
      <c r="X10">
        <v>154.5693</v>
      </c>
      <c r="Y10">
        <v>164.10040000000001</v>
      </c>
      <c r="Z10">
        <v>175.90559999999999</v>
      </c>
      <c r="AA10">
        <v>197.43260000000001</v>
      </c>
      <c r="AB10">
        <v>215.6129</v>
      </c>
    </row>
    <row r="11" spans="2:28" ht="15.75" customHeight="1" x14ac:dyDescent="0.35">
      <c r="B11" s="8" t="s">
        <v>22</v>
      </c>
      <c r="C11">
        <v>47.2226</v>
      </c>
      <c r="D11">
        <v>52.777500000000003</v>
      </c>
      <c r="E11">
        <v>60.339799999999997</v>
      </c>
      <c r="F11">
        <v>69.870199999999997</v>
      </c>
      <c r="G11">
        <v>66.763000000000005</v>
      </c>
      <c r="H11" s="71">
        <v>109.3</v>
      </c>
      <c r="I11" s="71">
        <v>113.4</v>
      </c>
      <c r="J11" s="71">
        <v>137</v>
      </c>
      <c r="K11" s="71">
        <v>137.30000000000001</v>
      </c>
      <c r="L11" s="71">
        <v>138.4</v>
      </c>
      <c r="M11" s="71">
        <v>186.3</v>
      </c>
      <c r="N11" s="72">
        <v>182.5</v>
      </c>
      <c r="O11" s="73">
        <v>209.8</v>
      </c>
      <c r="P11" s="68">
        <f t="shared" si="0"/>
        <v>141.75389999999999</v>
      </c>
      <c r="Q11" s="69">
        <f t="shared" si="1"/>
        <v>0.20811287477954138</v>
      </c>
      <c r="S11" s="74">
        <v>219</v>
      </c>
      <c r="T11">
        <v>26.7561</v>
      </c>
      <c r="U11">
        <v>31.063700000000001</v>
      </c>
      <c r="V11">
        <v>40.217399999999998</v>
      </c>
      <c r="W11">
        <v>85.311400000000006</v>
      </c>
      <c r="X11">
        <v>105.97539999999999</v>
      </c>
      <c r="Y11">
        <v>116.8489</v>
      </c>
      <c r="Z11">
        <v>117.2734</v>
      </c>
      <c r="AA11">
        <v>128.78550000000001</v>
      </c>
      <c r="AB11">
        <v>120.3653</v>
      </c>
    </row>
    <row r="12" spans="2:28" ht="15.75" customHeight="1" x14ac:dyDescent="0.35">
      <c r="B12" s="4" t="s">
        <v>23</v>
      </c>
      <c r="C12">
        <v>50.534399999999998</v>
      </c>
      <c r="D12">
        <v>57.057099999999998</v>
      </c>
      <c r="E12">
        <v>65.210099999999997</v>
      </c>
      <c r="F12">
        <v>75.271199999999993</v>
      </c>
      <c r="G12">
        <v>85.615300000000005</v>
      </c>
      <c r="H12" s="65">
        <v>181.8</v>
      </c>
      <c r="I12" s="65">
        <v>191.9</v>
      </c>
      <c r="J12" s="65">
        <v>195.7</v>
      </c>
      <c r="K12" s="65">
        <v>208.7</v>
      </c>
      <c r="L12" s="65">
        <v>224.1</v>
      </c>
      <c r="M12" s="65">
        <v>269.60000000000002</v>
      </c>
      <c r="N12" s="66">
        <v>318.60000000000002</v>
      </c>
      <c r="O12" s="67">
        <v>336.7</v>
      </c>
      <c r="P12" s="68">
        <f t="shared" si="0"/>
        <v>202.49078999999998</v>
      </c>
      <c r="Q12" s="69">
        <f t="shared" si="1"/>
        <v>1.9801980198019712E-2</v>
      </c>
      <c r="S12" s="70">
        <v>371</v>
      </c>
      <c r="T12">
        <v>37.415999999999997</v>
      </c>
      <c r="U12">
        <v>42.836399999999998</v>
      </c>
      <c r="V12">
        <v>48.020899999999997</v>
      </c>
      <c r="W12">
        <v>106.7714</v>
      </c>
      <c r="X12">
        <v>121.29810000000001</v>
      </c>
      <c r="Y12">
        <v>138.75819999999999</v>
      </c>
      <c r="Z12">
        <v>151.3031</v>
      </c>
      <c r="AA12">
        <v>165.0179</v>
      </c>
      <c r="AB12">
        <v>173.62950000000001</v>
      </c>
    </row>
    <row r="13" spans="2:28" ht="15.75" customHeight="1" x14ac:dyDescent="0.35">
      <c r="B13" s="8" t="s">
        <v>24</v>
      </c>
      <c r="C13">
        <v>25.334599999999998</v>
      </c>
      <c r="D13">
        <v>28.620200000000001</v>
      </c>
      <c r="E13">
        <v>31.606000000000002</v>
      </c>
      <c r="F13">
        <v>38.485999999999997</v>
      </c>
      <c r="G13">
        <v>39.854700000000001</v>
      </c>
      <c r="H13" s="71">
        <v>85.3</v>
      </c>
      <c r="I13" s="71">
        <v>89.5</v>
      </c>
      <c r="J13" s="71">
        <v>98.2</v>
      </c>
      <c r="K13" s="71">
        <v>97.3</v>
      </c>
      <c r="L13" s="71">
        <v>106.9</v>
      </c>
      <c r="M13" s="71">
        <v>125</v>
      </c>
      <c r="N13" s="72">
        <v>139.80000000000001</v>
      </c>
      <c r="O13" s="73">
        <v>149.19999999999999</v>
      </c>
      <c r="P13" s="68">
        <f t="shared" si="0"/>
        <v>101.60754</v>
      </c>
      <c r="Q13" s="69">
        <f t="shared" si="1"/>
        <v>9.7206703910614561E-2</v>
      </c>
      <c r="S13" s="74">
        <v>158.1</v>
      </c>
      <c r="T13">
        <v>15.4488</v>
      </c>
      <c r="U13">
        <v>18.4833</v>
      </c>
      <c r="V13">
        <v>21.604600000000001</v>
      </c>
      <c r="W13">
        <v>46.312800000000003</v>
      </c>
      <c r="X13">
        <v>52.142600000000002</v>
      </c>
      <c r="Y13">
        <v>60.4893</v>
      </c>
      <c r="Z13">
        <v>67.691599999999994</v>
      </c>
      <c r="AA13">
        <v>76.839500000000001</v>
      </c>
      <c r="AB13">
        <v>78.473600000000005</v>
      </c>
    </row>
    <row r="14" spans="2:28" ht="15.75" customHeight="1" x14ac:dyDescent="0.35">
      <c r="B14" s="4" t="s">
        <v>25</v>
      </c>
      <c r="C14">
        <v>192.63929999999999</v>
      </c>
      <c r="D14">
        <v>214.75399999999999</v>
      </c>
      <c r="E14">
        <v>241.29310000000001</v>
      </c>
      <c r="F14">
        <v>282.52069999999998</v>
      </c>
      <c r="G14">
        <v>287.05470000000003</v>
      </c>
      <c r="H14" s="65">
        <v>544.79999999999995</v>
      </c>
      <c r="I14" s="65">
        <v>576.4</v>
      </c>
      <c r="J14" s="65">
        <v>614.9</v>
      </c>
      <c r="K14" s="65">
        <v>651.9</v>
      </c>
      <c r="L14" s="65">
        <v>682.8</v>
      </c>
      <c r="M14" s="65">
        <v>857.6</v>
      </c>
      <c r="N14" s="66">
        <v>906.7</v>
      </c>
      <c r="O14" s="67">
        <v>972</v>
      </c>
      <c r="P14" s="68">
        <f t="shared" si="0"/>
        <v>636.23703</v>
      </c>
      <c r="Q14" s="69">
        <f t="shared" si="1"/>
        <v>6.6793893129770993E-2</v>
      </c>
      <c r="S14" s="70">
        <v>1033.3</v>
      </c>
      <c r="T14">
        <v>127.78189999999999</v>
      </c>
      <c r="U14">
        <v>148.8228</v>
      </c>
      <c r="V14">
        <v>177.32480000000001</v>
      </c>
      <c r="W14">
        <v>351.12540000000001</v>
      </c>
      <c r="X14">
        <v>400.11779999999999</v>
      </c>
      <c r="Y14">
        <v>442.27749999999997</v>
      </c>
      <c r="Z14">
        <v>488.00080000000003</v>
      </c>
      <c r="AA14">
        <v>516.63149999999996</v>
      </c>
      <c r="AB14">
        <v>519.32759999999996</v>
      </c>
    </row>
    <row r="15" spans="2:28" ht="15.75" customHeight="1" x14ac:dyDescent="0.35">
      <c r="B15" s="8" t="s">
        <v>26</v>
      </c>
      <c r="C15">
        <v>21.6509</v>
      </c>
      <c r="D15">
        <v>24.341200000000001</v>
      </c>
      <c r="E15">
        <v>28.121400000000001</v>
      </c>
      <c r="F15">
        <v>33.142699999999998</v>
      </c>
      <c r="G15">
        <v>36.368099999999998</v>
      </c>
      <c r="H15" s="71">
        <v>91.9</v>
      </c>
      <c r="I15" s="71">
        <v>96.4</v>
      </c>
      <c r="J15" s="71">
        <v>107</v>
      </c>
      <c r="K15" s="71">
        <v>106.9</v>
      </c>
      <c r="L15" s="71">
        <v>122.6</v>
      </c>
      <c r="M15" s="71">
        <v>142.19999999999999</v>
      </c>
      <c r="N15" s="72">
        <v>166.4</v>
      </c>
      <c r="O15" s="73">
        <v>184.4</v>
      </c>
      <c r="P15" s="68">
        <f t="shared" si="0"/>
        <v>110.71289999999999</v>
      </c>
      <c r="Q15" s="69">
        <f t="shared" si="1"/>
        <v>0.10995850622406632</v>
      </c>
      <c r="S15" s="74">
        <v>201.5</v>
      </c>
      <c r="T15">
        <v>15.153499999999999</v>
      </c>
      <c r="U15">
        <v>19.273700000000002</v>
      </c>
      <c r="V15">
        <v>21.1052</v>
      </c>
      <c r="W15">
        <v>47.271099999999997</v>
      </c>
      <c r="X15">
        <v>55.1327</v>
      </c>
      <c r="Y15">
        <v>62.014099999999999</v>
      </c>
      <c r="Z15">
        <v>69.204300000000003</v>
      </c>
      <c r="AA15">
        <v>78.9512</v>
      </c>
      <c r="AB15">
        <v>83.081800000000001</v>
      </c>
    </row>
    <row r="16" spans="2:28" ht="15.75" customHeight="1" x14ac:dyDescent="0.35">
      <c r="B16" s="4" t="s">
        <v>27</v>
      </c>
      <c r="C16">
        <v>37.465899999999998</v>
      </c>
      <c r="D16">
        <v>35.257599999999996</v>
      </c>
      <c r="E16">
        <v>42.687100000000001</v>
      </c>
      <c r="F16">
        <v>53.386499999999998</v>
      </c>
      <c r="G16">
        <v>57.294199999999996</v>
      </c>
      <c r="H16" s="65">
        <v>123.9</v>
      </c>
      <c r="I16" s="65">
        <v>126.8</v>
      </c>
      <c r="J16" s="65">
        <v>137.4</v>
      </c>
      <c r="K16" s="65">
        <v>142.1</v>
      </c>
      <c r="L16" s="65">
        <v>178.6</v>
      </c>
      <c r="M16" s="65">
        <v>233.4</v>
      </c>
      <c r="N16" s="66">
        <v>255.5</v>
      </c>
      <c r="O16" s="67">
        <v>273</v>
      </c>
      <c r="P16" s="68">
        <f t="shared" si="0"/>
        <v>142.16777999999999</v>
      </c>
      <c r="Q16" s="69">
        <f t="shared" si="1"/>
        <v>8.3596214511041073E-2</v>
      </c>
      <c r="S16" s="70">
        <v>291</v>
      </c>
      <c r="T16">
        <v>20.941099999999999</v>
      </c>
      <c r="U16">
        <v>27.8887</v>
      </c>
      <c r="V16">
        <v>36.961100000000002</v>
      </c>
      <c r="W16">
        <v>56.601999999999997</v>
      </c>
      <c r="X16">
        <v>69.153199999999998</v>
      </c>
      <c r="Y16">
        <v>79.665400000000005</v>
      </c>
      <c r="Z16">
        <v>89.213700000000003</v>
      </c>
      <c r="AA16">
        <v>101.2351</v>
      </c>
      <c r="AB16">
        <v>107.4182</v>
      </c>
    </row>
    <row r="17" spans="2:28" ht="15.75" customHeight="1" x14ac:dyDescent="0.35">
      <c r="B17" s="8" t="s">
        <v>28</v>
      </c>
      <c r="C17">
        <v>39.121099999999998</v>
      </c>
      <c r="D17">
        <v>44.369700000000002</v>
      </c>
      <c r="E17">
        <v>49.507100000000001</v>
      </c>
      <c r="F17">
        <v>58.518599999999999</v>
      </c>
      <c r="G17">
        <v>58.401800000000001</v>
      </c>
      <c r="H17" s="71">
        <v>138.1</v>
      </c>
      <c r="I17" s="71">
        <v>155.19999999999999</v>
      </c>
      <c r="J17" s="71">
        <v>161.30000000000001</v>
      </c>
      <c r="K17" s="71">
        <v>178.4</v>
      </c>
      <c r="L17" s="71">
        <v>215.9</v>
      </c>
      <c r="M17" s="71">
        <v>262.89999999999998</v>
      </c>
      <c r="N17" s="72">
        <v>236.1</v>
      </c>
      <c r="O17" s="73">
        <v>254.5</v>
      </c>
      <c r="P17" s="68">
        <f t="shared" si="0"/>
        <v>166.89711</v>
      </c>
      <c r="Q17" s="69">
        <f t="shared" si="1"/>
        <v>3.9304123711340358E-2</v>
      </c>
      <c r="S17" s="74">
        <v>261.5</v>
      </c>
      <c r="T17">
        <v>25.659099999999999</v>
      </c>
      <c r="U17">
        <v>29.7546</v>
      </c>
      <c r="V17">
        <v>35.562800000000003</v>
      </c>
      <c r="W17">
        <v>82.686499999999995</v>
      </c>
      <c r="X17">
        <v>98.713800000000006</v>
      </c>
      <c r="Y17">
        <v>107.0812</v>
      </c>
      <c r="Z17">
        <v>121.2264</v>
      </c>
      <c r="AA17">
        <v>124.5887</v>
      </c>
      <c r="AB17">
        <v>130.8999</v>
      </c>
    </row>
    <row r="18" spans="2:28" ht="15.75" customHeight="1" x14ac:dyDescent="0.35">
      <c r="B18" s="4" t="s">
        <v>29</v>
      </c>
      <c r="C18">
        <v>16.868600000000001</v>
      </c>
      <c r="D18">
        <v>19.9513</v>
      </c>
      <c r="E18">
        <v>22.201799999999999</v>
      </c>
      <c r="F18">
        <v>25.6966</v>
      </c>
      <c r="G18">
        <v>28.718599999999999</v>
      </c>
      <c r="H18" s="65">
        <v>59.1</v>
      </c>
      <c r="I18" s="65">
        <v>62.4</v>
      </c>
      <c r="J18" s="65">
        <v>64.400000000000006</v>
      </c>
      <c r="K18" s="65">
        <v>68</v>
      </c>
      <c r="L18" s="65">
        <v>70.3</v>
      </c>
      <c r="M18" s="65">
        <v>77.5</v>
      </c>
      <c r="N18" s="66">
        <v>86.1</v>
      </c>
      <c r="O18" s="67">
        <v>97</v>
      </c>
      <c r="P18" s="68">
        <f t="shared" si="0"/>
        <v>66.634680000000003</v>
      </c>
      <c r="Q18" s="69">
        <f t="shared" si="1"/>
        <v>3.2051282051282166E-2</v>
      </c>
      <c r="S18" s="70">
        <v>106.5</v>
      </c>
      <c r="T18">
        <v>12.4339</v>
      </c>
      <c r="U18">
        <v>14.1578</v>
      </c>
      <c r="V18">
        <v>15.022399999999999</v>
      </c>
      <c r="W18">
        <v>33.522100000000002</v>
      </c>
      <c r="X18">
        <v>37.109400000000001</v>
      </c>
      <c r="Y18">
        <v>42.489600000000003</v>
      </c>
      <c r="Z18">
        <v>46.378100000000003</v>
      </c>
      <c r="AA18">
        <v>52.934800000000003</v>
      </c>
      <c r="AB18">
        <v>56.143099999999997</v>
      </c>
    </row>
    <row r="19" spans="2:28" ht="15.75" customHeight="1" x14ac:dyDescent="0.35">
      <c r="B19" s="8" t="s">
        <v>30</v>
      </c>
      <c r="C19">
        <v>49.921700000000001</v>
      </c>
      <c r="D19">
        <v>55.493299999999998</v>
      </c>
      <c r="E19">
        <v>62.255699999999997</v>
      </c>
      <c r="F19">
        <v>70.440899999999999</v>
      </c>
      <c r="G19">
        <v>78.428299999999993</v>
      </c>
      <c r="H19" s="71">
        <v>167.3</v>
      </c>
      <c r="I19" s="71">
        <v>181.6</v>
      </c>
      <c r="J19" s="71">
        <v>186.4</v>
      </c>
      <c r="K19" s="71">
        <v>197.9</v>
      </c>
      <c r="L19" s="71">
        <v>193.3</v>
      </c>
      <c r="M19" s="71">
        <v>220.8</v>
      </c>
      <c r="N19" s="72">
        <v>245.8</v>
      </c>
      <c r="O19" s="73">
        <v>270.5</v>
      </c>
      <c r="P19" s="68">
        <f t="shared" si="0"/>
        <v>192.86807999999999</v>
      </c>
      <c r="Q19" s="69">
        <f t="shared" si="1"/>
        <v>2.6431718061674072E-2</v>
      </c>
      <c r="S19" s="74">
        <v>295.3</v>
      </c>
      <c r="T19">
        <v>35.251399999999997</v>
      </c>
      <c r="U19">
        <v>39.308399999999999</v>
      </c>
      <c r="V19">
        <v>44.010899999999999</v>
      </c>
      <c r="W19">
        <v>97.191999999999993</v>
      </c>
      <c r="X19">
        <v>110.16419999999999</v>
      </c>
      <c r="Y19">
        <v>127.9906</v>
      </c>
      <c r="Z19">
        <v>141.14869999999999</v>
      </c>
      <c r="AA19">
        <v>155.1422</v>
      </c>
      <c r="AB19">
        <v>156.9615</v>
      </c>
    </row>
    <row r="20" spans="2:28" ht="15.75" customHeight="1" x14ac:dyDescent="0.35">
      <c r="B20" s="4" t="s">
        <v>31</v>
      </c>
      <c r="C20">
        <v>11.129200000000001</v>
      </c>
      <c r="D20">
        <v>12.788500000000001</v>
      </c>
      <c r="E20">
        <v>14.135899999999999</v>
      </c>
      <c r="F20">
        <v>16.760300000000001</v>
      </c>
      <c r="G20">
        <v>19.032699999999998</v>
      </c>
      <c r="H20" s="65">
        <v>41.4</v>
      </c>
      <c r="I20" s="65">
        <v>45.4</v>
      </c>
      <c r="J20" s="65">
        <v>50.4</v>
      </c>
      <c r="K20" s="65">
        <v>52.8</v>
      </c>
      <c r="L20" s="65">
        <v>56.4</v>
      </c>
      <c r="M20" s="65">
        <v>64</v>
      </c>
      <c r="N20" s="66">
        <v>72.8</v>
      </c>
      <c r="O20" s="67">
        <v>80.900000000000006</v>
      </c>
      <c r="P20" s="68">
        <f t="shared" si="0"/>
        <v>52.148879999999998</v>
      </c>
      <c r="Q20" s="69">
        <f t="shared" si="1"/>
        <v>0.11013215859030838</v>
      </c>
      <c r="S20" s="70">
        <v>88.9</v>
      </c>
      <c r="T20">
        <v>7.4250999999999996</v>
      </c>
      <c r="U20">
        <v>8.7769999999999992</v>
      </c>
      <c r="V20">
        <v>9.8167000000000009</v>
      </c>
      <c r="W20">
        <v>22.2682</v>
      </c>
      <c r="X20">
        <v>25.9422</v>
      </c>
      <c r="Y20">
        <v>28.636399999999998</v>
      </c>
      <c r="Z20">
        <v>31.284400000000002</v>
      </c>
      <c r="AA20">
        <v>37.723199999999999</v>
      </c>
      <c r="AB20">
        <v>39.15</v>
      </c>
    </row>
    <row r="21" spans="2:28" ht="15.75" customHeight="1" x14ac:dyDescent="0.35">
      <c r="B21" s="8" t="s">
        <v>32</v>
      </c>
      <c r="C21">
        <v>126.6768</v>
      </c>
      <c r="D21">
        <v>136.6146</v>
      </c>
      <c r="E21">
        <v>161.58179999999999</v>
      </c>
      <c r="F21">
        <v>179.26320000000001</v>
      </c>
      <c r="G21">
        <v>189.99189999999999</v>
      </c>
      <c r="H21" s="71">
        <v>401.8</v>
      </c>
      <c r="I21" s="71">
        <v>421.5</v>
      </c>
      <c r="J21" s="71">
        <v>440</v>
      </c>
      <c r="K21" s="71">
        <v>466.4</v>
      </c>
      <c r="L21" s="71">
        <v>487.9</v>
      </c>
      <c r="M21" s="71">
        <v>550</v>
      </c>
      <c r="N21" s="72">
        <v>614.6</v>
      </c>
      <c r="O21" s="73">
        <v>670.9</v>
      </c>
      <c r="P21" s="68">
        <f t="shared" si="0"/>
        <v>455.26799999999997</v>
      </c>
      <c r="Q21" s="69">
        <f t="shared" si="1"/>
        <v>4.3890865954922892E-2</v>
      </c>
      <c r="S21" s="74">
        <v>731.1</v>
      </c>
      <c r="T21">
        <v>88.4071</v>
      </c>
      <c r="U21">
        <v>109.4589</v>
      </c>
      <c r="V21">
        <v>122.4337</v>
      </c>
      <c r="W21">
        <v>225.20490000000001</v>
      </c>
      <c r="X21">
        <v>257.12150000000003</v>
      </c>
      <c r="Y21">
        <v>285.62049999999999</v>
      </c>
      <c r="Z21">
        <v>333.47609999999997</v>
      </c>
      <c r="AA21">
        <v>348.08699999999999</v>
      </c>
      <c r="AB21">
        <v>376.964</v>
      </c>
    </row>
    <row r="22" spans="2:28" ht="15.75" customHeight="1" x14ac:dyDescent="0.35">
      <c r="B22" s="4" t="s">
        <v>33</v>
      </c>
      <c r="C22">
        <v>247.01750000000001</v>
      </c>
      <c r="D22">
        <v>275.32709999999997</v>
      </c>
      <c r="E22">
        <v>296.76780000000002</v>
      </c>
      <c r="F22">
        <v>343.18209999999999</v>
      </c>
      <c r="G22">
        <v>353.87810000000002</v>
      </c>
      <c r="H22" s="65">
        <v>640.4</v>
      </c>
      <c r="I22" s="65">
        <v>671.6</v>
      </c>
      <c r="J22" s="65">
        <v>758.9</v>
      </c>
      <c r="K22" s="65">
        <v>779.9</v>
      </c>
      <c r="L22" s="65">
        <v>753.8</v>
      </c>
      <c r="M22" s="65">
        <v>949.3</v>
      </c>
      <c r="N22" s="66">
        <v>1153.5</v>
      </c>
      <c r="O22" s="67">
        <v>1172.9000000000001</v>
      </c>
      <c r="P22" s="68">
        <f t="shared" si="0"/>
        <v>785.2338299999999</v>
      </c>
      <c r="Q22" s="69">
        <f t="shared" si="1"/>
        <v>0.1299880881477069</v>
      </c>
      <c r="S22" s="70">
        <v>1274.4000000000001</v>
      </c>
      <c r="T22">
        <v>171.37200000000001</v>
      </c>
      <c r="U22">
        <v>188.01499999999999</v>
      </c>
      <c r="V22">
        <v>222.94499999999999</v>
      </c>
      <c r="W22">
        <v>449.86070000000001</v>
      </c>
      <c r="X22">
        <v>512.76990000000001</v>
      </c>
      <c r="Y22">
        <v>574.88250000000005</v>
      </c>
      <c r="Z22">
        <v>628.23270000000002</v>
      </c>
      <c r="AA22">
        <v>671.07259999999997</v>
      </c>
      <c r="AB22">
        <v>659.13779999999997</v>
      </c>
    </row>
    <row r="23" spans="2:28" ht="15.75" customHeight="1" x14ac:dyDescent="0.35">
      <c r="B23" s="8" t="s">
        <v>34</v>
      </c>
      <c r="C23">
        <v>17.869499999999999</v>
      </c>
      <c r="D23">
        <v>20.554600000000001</v>
      </c>
      <c r="E23">
        <v>22.925599999999999</v>
      </c>
      <c r="F23">
        <v>25.481400000000001</v>
      </c>
      <c r="G23">
        <v>27.905000000000001</v>
      </c>
      <c r="H23" s="71">
        <v>59.7</v>
      </c>
      <c r="I23" s="71">
        <v>64.3</v>
      </c>
      <c r="J23" s="71">
        <v>67</v>
      </c>
      <c r="K23" s="71">
        <v>71.3</v>
      </c>
      <c r="L23" s="71">
        <v>71.599999999999994</v>
      </c>
      <c r="M23" s="71">
        <v>80.2</v>
      </c>
      <c r="N23" s="72">
        <v>93.8</v>
      </c>
      <c r="O23" s="73">
        <v>101.7</v>
      </c>
      <c r="P23" s="68">
        <f t="shared" si="0"/>
        <v>69.3249</v>
      </c>
      <c r="Q23" s="69">
        <f t="shared" si="1"/>
        <v>4.1990668740279985E-2</v>
      </c>
      <c r="S23" s="74">
        <v>112.6</v>
      </c>
      <c r="T23">
        <v>12.1976</v>
      </c>
      <c r="U23">
        <v>13.5151</v>
      </c>
      <c r="V23">
        <v>15.580500000000001</v>
      </c>
      <c r="W23">
        <v>36.185200000000002</v>
      </c>
      <c r="X23">
        <v>40.994</v>
      </c>
      <c r="Y23">
        <v>46.411799999999999</v>
      </c>
      <c r="Z23">
        <v>51.517000000000003</v>
      </c>
      <c r="AA23">
        <v>54.021500000000003</v>
      </c>
      <c r="AB23">
        <v>57.250300000000003</v>
      </c>
    </row>
    <row r="24" spans="2:28" ht="15.75" customHeight="1" x14ac:dyDescent="0.35">
      <c r="B24" s="4" t="s">
        <v>35</v>
      </c>
      <c r="C24">
        <v>12.884</v>
      </c>
      <c r="D24">
        <v>13.1074</v>
      </c>
      <c r="E24">
        <v>15.002700000000001</v>
      </c>
      <c r="F24">
        <v>17.887799999999999</v>
      </c>
      <c r="G24">
        <v>20.2362</v>
      </c>
      <c r="H24" s="65">
        <v>39.5</v>
      </c>
      <c r="I24" s="65">
        <v>43.5</v>
      </c>
      <c r="J24" s="65">
        <v>44.9</v>
      </c>
      <c r="K24" s="65">
        <v>47.1</v>
      </c>
      <c r="L24" s="65">
        <v>51.6</v>
      </c>
      <c r="M24" s="65">
        <v>58.2</v>
      </c>
      <c r="N24" s="66">
        <v>66.8</v>
      </c>
      <c r="O24" s="67">
        <v>76.5</v>
      </c>
      <c r="P24" s="68">
        <f t="shared" si="0"/>
        <v>46.458029999999994</v>
      </c>
      <c r="Q24" s="69">
        <f t="shared" si="1"/>
        <v>3.2183908045976976E-2</v>
      </c>
      <c r="S24" s="70">
        <v>85.2</v>
      </c>
      <c r="T24">
        <v>7.7798999999999996</v>
      </c>
      <c r="U24">
        <v>9.7507999999999999</v>
      </c>
      <c r="V24">
        <v>11.260400000000001</v>
      </c>
      <c r="W24">
        <v>23.908000000000001</v>
      </c>
      <c r="X24">
        <v>27.575399999999998</v>
      </c>
      <c r="Y24">
        <v>30.113199999999999</v>
      </c>
      <c r="Z24">
        <v>31.121700000000001</v>
      </c>
      <c r="AA24">
        <v>34.031700000000001</v>
      </c>
      <c r="AB24">
        <v>36.562899999999999</v>
      </c>
    </row>
    <row r="25" spans="2:28" ht="15.75" customHeight="1" x14ac:dyDescent="0.35">
      <c r="B25" s="8" t="s">
        <v>36</v>
      </c>
      <c r="C25">
        <v>3.1793</v>
      </c>
      <c r="D25">
        <v>3.6600999999999999</v>
      </c>
      <c r="E25">
        <v>4.1685999999999996</v>
      </c>
      <c r="F25">
        <v>4.8893000000000004</v>
      </c>
      <c r="G25">
        <v>5.5934999999999997</v>
      </c>
      <c r="H25" s="71">
        <v>11</v>
      </c>
      <c r="I25" s="71">
        <v>12.1</v>
      </c>
      <c r="J25" s="71">
        <v>13.4</v>
      </c>
      <c r="K25" s="71">
        <v>14.3</v>
      </c>
      <c r="L25" s="71">
        <v>16</v>
      </c>
      <c r="M25" s="71">
        <v>18.2</v>
      </c>
      <c r="N25" s="72">
        <v>21.1</v>
      </c>
      <c r="O25" s="73">
        <v>25.1</v>
      </c>
      <c r="P25" s="68">
        <f t="shared" si="0"/>
        <v>13.864979999999999</v>
      </c>
      <c r="Q25" s="69">
        <f t="shared" si="1"/>
        <v>0.10743801652892568</v>
      </c>
      <c r="S25" s="74">
        <v>28.6</v>
      </c>
      <c r="T25">
        <v>2.3126000000000002</v>
      </c>
      <c r="U25">
        <v>2.7370000000000001</v>
      </c>
      <c r="V25">
        <v>2.8111000000000002</v>
      </c>
      <c r="W25">
        <v>6.6391999999999998</v>
      </c>
      <c r="X25">
        <v>7.3037000000000001</v>
      </c>
      <c r="Y25">
        <v>7.7115</v>
      </c>
      <c r="Z25">
        <v>9.0107999999999997</v>
      </c>
      <c r="AA25">
        <v>9.7439</v>
      </c>
      <c r="AB25">
        <v>10.242800000000001</v>
      </c>
    </row>
    <row r="26" spans="2:28" ht="15.75" customHeight="1" x14ac:dyDescent="0.35">
      <c r="B26" s="4" t="s">
        <v>37</v>
      </c>
      <c r="C26">
        <v>144.2182</v>
      </c>
      <c r="D26">
        <v>156.82689999999999</v>
      </c>
      <c r="E26">
        <v>176.61510000000001</v>
      </c>
      <c r="F26">
        <v>199.49420000000001</v>
      </c>
      <c r="G26">
        <v>215.8639</v>
      </c>
      <c r="H26" s="65">
        <v>408.8</v>
      </c>
      <c r="I26" s="65">
        <v>423.3</v>
      </c>
      <c r="J26" s="65">
        <v>457.3</v>
      </c>
      <c r="K26" s="65">
        <v>482.5</v>
      </c>
      <c r="L26" s="65">
        <v>470.9</v>
      </c>
      <c r="M26" s="65">
        <v>581.29999999999995</v>
      </c>
      <c r="N26" s="66">
        <v>593.6</v>
      </c>
      <c r="O26" s="67">
        <v>650.1</v>
      </c>
      <c r="P26" s="68">
        <f t="shared" si="0"/>
        <v>473.16830999999996</v>
      </c>
      <c r="Q26" s="69">
        <f t="shared" si="1"/>
        <v>8.0321285140562249E-2</v>
      </c>
      <c r="S26" s="70">
        <v>687.3</v>
      </c>
      <c r="T26">
        <v>105.4868</v>
      </c>
      <c r="U26">
        <v>124.5513</v>
      </c>
      <c r="V26">
        <v>137.83070000000001</v>
      </c>
      <c r="W26">
        <v>241.24430000000001</v>
      </c>
      <c r="X26">
        <v>265.05220000000003</v>
      </c>
      <c r="Y26">
        <v>287.58159999999998</v>
      </c>
      <c r="Z26">
        <v>332.29770000000002</v>
      </c>
      <c r="AA26">
        <v>357.81459999999998</v>
      </c>
      <c r="AB26">
        <v>381.99239999999998</v>
      </c>
    </row>
    <row r="27" spans="2:28" ht="15.75" customHeight="1" x14ac:dyDescent="0.35">
      <c r="B27" s="8" t="s">
        <v>38</v>
      </c>
      <c r="C27">
        <v>85.316299999999998</v>
      </c>
      <c r="D27">
        <v>93.146799999999999</v>
      </c>
      <c r="E27">
        <v>104.6229</v>
      </c>
      <c r="F27">
        <v>123.28230000000001</v>
      </c>
      <c r="G27">
        <v>129.80629999999999</v>
      </c>
      <c r="H27" s="71">
        <v>256.8</v>
      </c>
      <c r="I27" s="71">
        <v>277.3</v>
      </c>
      <c r="J27" s="71">
        <v>298.2</v>
      </c>
      <c r="K27" s="71">
        <v>323.3</v>
      </c>
      <c r="L27" s="71">
        <v>349.3</v>
      </c>
      <c r="M27" s="71">
        <v>428.6</v>
      </c>
      <c r="N27" s="72">
        <v>466.3</v>
      </c>
      <c r="O27" s="73">
        <v>513.4</v>
      </c>
      <c r="P27" s="68">
        <f t="shared" si="0"/>
        <v>308.54753999999997</v>
      </c>
      <c r="Q27" s="69">
        <f t="shared" si="1"/>
        <v>7.5369635773530383E-2</v>
      </c>
      <c r="S27" s="74">
        <v>560.1</v>
      </c>
      <c r="T27">
        <v>55.731900000000003</v>
      </c>
      <c r="U27">
        <v>66.848500000000001</v>
      </c>
      <c r="V27">
        <v>77.393000000000001</v>
      </c>
      <c r="W27">
        <v>153.72399999999999</v>
      </c>
      <c r="X27">
        <v>174.06639999999999</v>
      </c>
      <c r="Y27">
        <v>191.7919</v>
      </c>
      <c r="Z27">
        <v>214.512</v>
      </c>
      <c r="AA27">
        <v>242.554</v>
      </c>
      <c r="AB27">
        <v>249.07769999999999</v>
      </c>
    </row>
    <row r="28" spans="2:28" ht="15.75" customHeight="1" x14ac:dyDescent="0.35">
      <c r="B28" s="4" t="s">
        <v>39</v>
      </c>
      <c r="C28">
        <v>13.4274</v>
      </c>
      <c r="D28">
        <v>15.1243</v>
      </c>
      <c r="E28">
        <v>16.895700000000001</v>
      </c>
      <c r="F28">
        <v>19.5518</v>
      </c>
      <c r="G28">
        <v>19.767099999999999</v>
      </c>
      <c r="H28" s="65">
        <v>38.9</v>
      </c>
      <c r="I28" s="65">
        <v>40.700000000000003</v>
      </c>
      <c r="J28" s="65">
        <v>42</v>
      </c>
      <c r="K28" s="65">
        <v>44.7</v>
      </c>
      <c r="L28" s="65">
        <v>45.4</v>
      </c>
      <c r="M28" s="65">
        <v>51.9</v>
      </c>
      <c r="N28" s="66">
        <v>57.4</v>
      </c>
      <c r="O28" s="67">
        <v>60.8</v>
      </c>
      <c r="P28" s="68">
        <f t="shared" si="0"/>
        <v>43.4574</v>
      </c>
      <c r="Q28" s="69">
        <f t="shared" si="1"/>
        <v>3.1941031941031872E-2</v>
      </c>
      <c r="S28" s="70">
        <v>65.5</v>
      </c>
      <c r="T28">
        <v>9.4543999999999997</v>
      </c>
      <c r="U28">
        <v>10.873799999999999</v>
      </c>
      <c r="V28">
        <v>12.167400000000001</v>
      </c>
      <c r="W28">
        <v>26.404399999999999</v>
      </c>
      <c r="X28">
        <v>29.109100000000002</v>
      </c>
      <c r="Y28">
        <v>32.853499999999997</v>
      </c>
      <c r="Z28">
        <v>35.337000000000003</v>
      </c>
      <c r="AA28">
        <v>37.473100000000002</v>
      </c>
      <c r="AB28">
        <v>38.556100000000001</v>
      </c>
    </row>
    <row r="29" spans="2:28" ht="15.75" customHeight="1" x14ac:dyDescent="0.35">
      <c r="B29" s="8" t="s">
        <v>40</v>
      </c>
      <c r="C29">
        <v>726.98400000000004</v>
      </c>
      <c r="D29">
        <v>802.65459999999996</v>
      </c>
      <c r="E29">
        <v>902.78430000000003</v>
      </c>
      <c r="F29">
        <v>1003.0152</v>
      </c>
      <c r="G29">
        <v>1084.3534999999999</v>
      </c>
      <c r="H29" s="71">
        <v>2038.8</v>
      </c>
      <c r="I29" s="71">
        <v>2120.8000000000002</v>
      </c>
      <c r="J29" s="71">
        <v>2210.6</v>
      </c>
      <c r="K29" s="71">
        <v>2348.3000000000002</v>
      </c>
      <c r="L29" s="71">
        <v>2377.6</v>
      </c>
      <c r="M29" s="71">
        <v>2719.8</v>
      </c>
      <c r="N29" s="72">
        <v>3130.3</v>
      </c>
      <c r="O29" s="73">
        <v>3444.8</v>
      </c>
      <c r="P29" s="68">
        <f t="shared" si="0"/>
        <v>2287.30782</v>
      </c>
      <c r="Q29" s="69">
        <f t="shared" si="1"/>
        <v>4.2342512259524574E-2</v>
      </c>
      <c r="S29" s="74">
        <v>3805.1</v>
      </c>
      <c r="T29">
        <v>511.73590000000002</v>
      </c>
      <c r="U29">
        <v>579.84690000000001</v>
      </c>
      <c r="V29">
        <v>643.48749999999995</v>
      </c>
      <c r="W29">
        <v>1294.684</v>
      </c>
      <c r="X29">
        <v>1436.6708000000001</v>
      </c>
      <c r="Y29">
        <v>1559.0187000000001</v>
      </c>
      <c r="Z29">
        <v>1715.2399</v>
      </c>
      <c r="AA29">
        <v>1858.2018</v>
      </c>
      <c r="AB29">
        <v>1939.9043999999999</v>
      </c>
    </row>
    <row r="30" spans="2:28" ht="15.75" customHeight="1" x14ac:dyDescent="0.35">
      <c r="B30" s="4" t="s">
        <v>41</v>
      </c>
      <c r="C30">
        <v>9.0609000000000002</v>
      </c>
      <c r="D30">
        <v>9.6046999999999993</v>
      </c>
      <c r="E30">
        <v>11.094099999999999</v>
      </c>
      <c r="F30">
        <v>13.090299999999999</v>
      </c>
      <c r="G30">
        <v>14.571400000000001</v>
      </c>
      <c r="H30" s="65">
        <v>31.6</v>
      </c>
      <c r="I30" s="65">
        <v>34.1</v>
      </c>
      <c r="J30" s="65">
        <v>35.700000000000003</v>
      </c>
      <c r="K30" s="65">
        <v>39.4</v>
      </c>
      <c r="L30" s="65">
        <v>43.6</v>
      </c>
      <c r="M30" s="65">
        <v>51.8</v>
      </c>
      <c r="N30" s="66">
        <v>58.2</v>
      </c>
      <c r="O30" s="67">
        <v>64.3</v>
      </c>
      <c r="P30" s="68">
        <f t="shared" si="0"/>
        <v>36.938790000000004</v>
      </c>
      <c r="Q30" s="69">
        <f t="shared" si="1"/>
        <v>4.6920821114369543E-2</v>
      </c>
      <c r="S30" s="70">
        <v>71.400000000000006</v>
      </c>
      <c r="T30">
        <v>5.6071999999999997</v>
      </c>
      <c r="U30">
        <v>7.2411000000000003</v>
      </c>
      <c r="V30">
        <v>8.2777999999999992</v>
      </c>
      <c r="W30">
        <v>16.404900000000001</v>
      </c>
      <c r="X30">
        <v>18.3461</v>
      </c>
      <c r="Y30">
        <v>20.684200000000001</v>
      </c>
      <c r="Z30">
        <v>23.797000000000001</v>
      </c>
      <c r="AA30">
        <v>26.189399999999999</v>
      </c>
      <c r="AB30">
        <v>28.9298</v>
      </c>
    </row>
    <row r="31" spans="2:28" ht="18" customHeight="1" x14ac:dyDescent="0.35">
      <c r="B31" s="11" t="s">
        <v>42</v>
      </c>
      <c r="H31" s="75">
        <f t="shared" ref="H31:P31" si="2">SUM(C4:C30)</f>
        <v>2147.2388999999998</v>
      </c>
      <c r="I31" s="75">
        <f t="shared" si="2"/>
        <v>2369.4833999999996</v>
      </c>
      <c r="J31" s="75">
        <f t="shared" si="2"/>
        <v>2661.3444</v>
      </c>
      <c r="K31" s="75">
        <f t="shared" si="2"/>
        <v>3032.2035999999998</v>
      </c>
      <c r="L31" s="75">
        <f t="shared" si="2"/>
        <v>3239.4041999999999</v>
      </c>
      <c r="M31" s="75">
        <f t="shared" si="2"/>
        <v>6269.4000000000005</v>
      </c>
      <c r="N31" s="75">
        <f t="shared" si="2"/>
        <v>6585.4000000000005</v>
      </c>
      <c r="O31" s="75">
        <f t="shared" si="2"/>
        <v>7004.2</v>
      </c>
      <c r="P31" s="75">
        <f t="shared" si="2"/>
        <v>7389.2000000000007</v>
      </c>
      <c r="Q31" s="44">
        <f t="shared" si="1"/>
        <v>0.12317495028663226</v>
      </c>
      <c r="T31">
        <f t="shared" ref="T31:AB31" si="3">SUM(T4:T30)</f>
        <v>1477.8218999999999</v>
      </c>
      <c r="U31">
        <f t="shared" si="3"/>
        <v>1699.9477000000002</v>
      </c>
      <c r="V31">
        <f t="shared" si="3"/>
        <v>1941.4980999999998</v>
      </c>
      <c r="W31">
        <f t="shared" si="3"/>
        <v>3885.8420999999994</v>
      </c>
      <c r="X31">
        <f t="shared" si="3"/>
        <v>4376.3784000000005</v>
      </c>
      <c r="Y31">
        <f t="shared" si="3"/>
        <v>4814.7335000000003</v>
      </c>
      <c r="Z31">
        <f t="shared" si="3"/>
        <v>5331.6235999999999</v>
      </c>
      <c r="AA31">
        <f t="shared" si="3"/>
        <v>5778.9560000000001</v>
      </c>
      <c r="AB31">
        <f t="shared" si="3"/>
        <v>5995.7790999999997</v>
      </c>
    </row>
    <row r="32" spans="2:28" ht="36" customHeight="1" x14ac:dyDescent="0.35">
      <c r="B32" s="190" t="s">
        <v>122</v>
      </c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</row>
  </sheetData>
  <mergeCells count="3">
    <mergeCell ref="B32:M32"/>
    <mergeCell ref="B2:M2"/>
    <mergeCell ref="B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3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2" customWidth="1"/>
    <col min="2" max="2" width="6" customWidth="1"/>
    <col min="3" max="11" width="12" customWidth="1"/>
  </cols>
  <sheetData>
    <row r="1" spans="2:11" ht="21.75" customHeight="1" x14ac:dyDescent="0.35">
      <c r="B1" s="192" t="s">
        <v>123</v>
      </c>
      <c r="C1" s="186"/>
      <c r="D1" s="186"/>
      <c r="E1" s="186"/>
      <c r="F1" s="186"/>
      <c r="G1" s="186"/>
      <c r="H1" s="186"/>
      <c r="I1" s="186"/>
      <c r="J1" s="186"/>
      <c r="K1" s="186"/>
    </row>
    <row r="2" spans="2:11" ht="12.75" customHeight="1" x14ac:dyDescent="0.35">
      <c r="B2" s="191" t="s">
        <v>124</v>
      </c>
      <c r="C2" s="186"/>
      <c r="D2" s="186"/>
      <c r="E2" s="186"/>
      <c r="F2" s="186"/>
      <c r="G2" s="186"/>
      <c r="H2" s="186"/>
      <c r="I2" s="186"/>
      <c r="J2" s="186"/>
      <c r="K2" s="186"/>
    </row>
    <row r="3" spans="2:11" ht="19.5" customHeight="1" x14ac:dyDescent="0.35"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54" t="s">
        <v>9</v>
      </c>
      <c r="J3" s="41" t="s">
        <v>10</v>
      </c>
      <c r="K3" s="2" t="s">
        <v>11</v>
      </c>
    </row>
    <row r="4" spans="2:11" ht="15" customHeight="1" x14ac:dyDescent="0.35">
      <c r="B4" s="4" t="s">
        <v>15</v>
      </c>
      <c r="C4" s="76">
        <v>816687</v>
      </c>
      <c r="D4" s="76">
        <v>829619</v>
      </c>
      <c r="E4" s="76">
        <v>869265</v>
      </c>
      <c r="F4" s="76">
        <v>881935</v>
      </c>
      <c r="G4" s="76">
        <v>894470</v>
      </c>
      <c r="H4" s="76">
        <v>906876</v>
      </c>
      <c r="I4" s="77">
        <v>830018</v>
      </c>
      <c r="J4" s="78">
        <v>830018</v>
      </c>
      <c r="K4" s="76">
        <v>880631</v>
      </c>
    </row>
    <row r="5" spans="2:11" ht="15" customHeight="1" x14ac:dyDescent="0.35">
      <c r="B5" s="8" t="s">
        <v>16</v>
      </c>
      <c r="C5" s="79">
        <v>3358963</v>
      </c>
      <c r="D5" s="79">
        <v>3375823</v>
      </c>
      <c r="E5" s="79">
        <v>3322820</v>
      </c>
      <c r="F5" s="79">
        <v>3337357</v>
      </c>
      <c r="G5" s="79">
        <v>3351543</v>
      </c>
      <c r="H5" s="79">
        <v>3365351</v>
      </c>
      <c r="I5" s="80">
        <v>3127683</v>
      </c>
      <c r="J5" s="81">
        <v>3127683</v>
      </c>
      <c r="K5" s="79">
        <v>3220104</v>
      </c>
    </row>
    <row r="6" spans="2:11" ht="15" customHeight="1" x14ac:dyDescent="0.35">
      <c r="B6" s="4" t="s">
        <v>17</v>
      </c>
      <c r="C6" s="76">
        <v>4001667</v>
      </c>
      <c r="D6" s="76">
        <v>4063614</v>
      </c>
      <c r="E6" s="76">
        <v>4080611</v>
      </c>
      <c r="F6" s="76">
        <v>4144597</v>
      </c>
      <c r="G6" s="76">
        <v>4207714</v>
      </c>
      <c r="H6" s="76">
        <v>4269995</v>
      </c>
      <c r="I6" s="77">
        <v>3941613</v>
      </c>
      <c r="J6" s="78">
        <v>3941613</v>
      </c>
      <c r="K6" s="76">
        <v>4281209</v>
      </c>
    </row>
    <row r="7" spans="2:11" ht="15" customHeight="1" x14ac:dyDescent="0.35">
      <c r="B7" s="8" t="s">
        <v>18</v>
      </c>
      <c r="C7" s="79">
        <v>782295</v>
      </c>
      <c r="D7" s="79">
        <v>797722</v>
      </c>
      <c r="E7" s="79">
        <v>829494</v>
      </c>
      <c r="F7" s="79">
        <v>845731</v>
      </c>
      <c r="G7" s="79">
        <v>861773</v>
      </c>
      <c r="H7" s="79">
        <v>877613</v>
      </c>
      <c r="I7" s="80">
        <v>733759</v>
      </c>
      <c r="J7" s="81">
        <v>733759</v>
      </c>
      <c r="K7" s="79">
        <v>802837</v>
      </c>
    </row>
    <row r="8" spans="2:11" ht="15" customHeight="1" x14ac:dyDescent="0.35">
      <c r="B8" s="4" t="s">
        <v>19</v>
      </c>
      <c r="C8" s="76">
        <v>15276566</v>
      </c>
      <c r="D8" s="76">
        <v>15344447</v>
      </c>
      <c r="E8" s="76">
        <v>14812617</v>
      </c>
      <c r="F8" s="76">
        <v>14873064</v>
      </c>
      <c r="G8" s="76">
        <v>14930634</v>
      </c>
      <c r="H8" s="76">
        <v>14985284</v>
      </c>
      <c r="I8" s="77">
        <v>14141626</v>
      </c>
      <c r="J8" s="78">
        <v>14141626</v>
      </c>
      <c r="K8" s="76">
        <v>14850513</v>
      </c>
    </row>
    <row r="9" spans="2:11" ht="15" customHeight="1" x14ac:dyDescent="0.35">
      <c r="B9" s="8" t="s">
        <v>20</v>
      </c>
      <c r="C9" s="79">
        <v>8963663</v>
      </c>
      <c r="D9" s="79">
        <v>9020460</v>
      </c>
      <c r="E9" s="79">
        <v>9075649</v>
      </c>
      <c r="F9" s="79">
        <v>9132078</v>
      </c>
      <c r="G9" s="79">
        <v>9187103</v>
      </c>
      <c r="H9" s="79">
        <v>9240580</v>
      </c>
      <c r="I9" s="80">
        <v>8794957</v>
      </c>
      <c r="J9" s="81">
        <v>8794957</v>
      </c>
      <c r="K9" s="79">
        <v>9233656</v>
      </c>
    </row>
    <row r="10" spans="2:11" ht="15" customHeight="1" x14ac:dyDescent="0.35">
      <c r="B10" s="4" t="s">
        <v>21</v>
      </c>
      <c r="C10" s="76">
        <v>2977216</v>
      </c>
      <c r="D10" s="76">
        <v>3039444</v>
      </c>
      <c r="E10" s="76">
        <v>2974703</v>
      </c>
      <c r="F10" s="76">
        <v>3015268</v>
      </c>
      <c r="G10" s="76">
        <v>3055149</v>
      </c>
      <c r="H10" s="76">
        <v>3094325</v>
      </c>
      <c r="I10" s="77">
        <v>2817381</v>
      </c>
      <c r="J10" s="78">
        <v>2817381</v>
      </c>
      <c r="K10" s="76">
        <v>2982818</v>
      </c>
    </row>
    <row r="11" spans="2:11" ht="15" customHeight="1" x14ac:dyDescent="0.35">
      <c r="B11" s="8" t="s">
        <v>22</v>
      </c>
      <c r="C11" s="79">
        <v>3973697</v>
      </c>
      <c r="D11" s="79">
        <v>4016356</v>
      </c>
      <c r="E11" s="79">
        <v>3972388</v>
      </c>
      <c r="F11" s="79">
        <v>4018650</v>
      </c>
      <c r="G11" s="79">
        <v>4064052</v>
      </c>
      <c r="H11" s="79">
        <v>4108508</v>
      </c>
      <c r="I11" s="80">
        <v>3833712</v>
      </c>
      <c r="J11" s="81">
        <v>3833712</v>
      </c>
      <c r="K11" s="79">
        <v>4102129</v>
      </c>
    </row>
    <row r="12" spans="2:11" ht="15" customHeight="1" x14ac:dyDescent="0.35">
      <c r="B12" s="4" t="s">
        <v>23</v>
      </c>
      <c r="C12" s="76">
        <v>6695855</v>
      </c>
      <c r="D12" s="76">
        <v>6778772</v>
      </c>
      <c r="E12" s="76">
        <v>6921161</v>
      </c>
      <c r="F12" s="76">
        <v>7018354</v>
      </c>
      <c r="G12" s="76">
        <v>7113540</v>
      </c>
      <c r="H12" s="76">
        <v>7206589</v>
      </c>
      <c r="I12" s="77">
        <v>7056495</v>
      </c>
      <c r="J12" s="78">
        <v>7056495</v>
      </c>
      <c r="K12" s="76">
        <v>7350483</v>
      </c>
    </row>
    <row r="13" spans="2:11" ht="15" customHeight="1" x14ac:dyDescent="0.35">
      <c r="B13" s="8" t="s">
        <v>24</v>
      </c>
      <c r="C13" s="79">
        <v>6954036</v>
      </c>
      <c r="D13" s="79">
        <v>7000229</v>
      </c>
      <c r="E13" s="79">
        <v>7035055</v>
      </c>
      <c r="F13" s="79">
        <v>7075181</v>
      </c>
      <c r="G13" s="79">
        <v>7114598</v>
      </c>
      <c r="H13" s="79">
        <v>7153262</v>
      </c>
      <c r="I13" s="80">
        <v>6776699</v>
      </c>
      <c r="J13" s="81">
        <v>6776699</v>
      </c>
      <c r="K13" s="79">
        <v>7010960</v>
      </c>
    </row>
    <row r="14" spans="2:11" ht="15" customHeight="1" x14ac:dyDescent="0.35">
      <c r="B14" s="4" t="s">
        <v>25</v>
      </c>
      <c r="C14" s="76">
        <v>20997560</v>
      </c>
      <c r="D14" s="76">
        <v>21119536</v>
      </c>
      <c r="E14" s="76">
        <v>21040662</v>
      </c>
      <c r="F14" s="76">
        <v>21168791</v>
      </c>
      <c r="G14" s="76">
        <v>21292666</v>
      </c>
      <c r="H14" s="76">
        <v>21411923</v>
      </c>
      <c r="I14" s="77">
        <v>20539989</v>
      </c>
      <c r="J14" s="78">
        <v>20539989</v>
      </c>
      <c r="K14" s="76">
        <v>21322691</v>
      </c>
    </row>
    <row r="15" spans="2:11" ht="15" customHeight="1" x14ac:dyDescent="0.35">
      <c r="B15" s="8" t="s">
        <v>26</v>
      </c>
      <c r="C15" s="79">
        <v>2682386</v>
      </c>
      <c r="D15" s="79">
        <v>2713147</v>
      </c>
      <c r="E15" s="79">
        <v>2748023</v>
      </c>
      <c r="F15" s="79">
        <v>2778986</v>
      </c>
      <c r="G15" s="79">
        <v>2809394</v>
      </c>
      <c r="H15" s="79">
        <v>2839188</v>
      </c>
      <c r="I15" s="80">
        <v>2757013</v>
      </c>
      <c r="J15" s="81">
        <v>2757013</v>
      </c>
      <c r="K15" s="79">
        <v>2901895</v>
      </c>
    </row>
    <row r="16" spans="2:11" ht="15" customHeight="1" x14ac:dyDescent="0.35">
      <c r="B16" s="4" t="s">
        <v>27</v>
      </c>
      <c r="C16" s="76">
        <v>3305531</v>
      </c>
      <c r="D16" s="76">
        <v>3344544</v>
      </c>
      <c r="E16" s="76">
        <v>3441998</v>
      </c>
      <c r="F16" s="76">
        <v>3484466</v>
      </c>
      <c r="G16" s="76">
        <v>3526220</v>
      </c>
      <c r="H16" s="76">
        <v>3567234</v>
      </c>
      <c r="I16" s="77">
        <v>3658649</v>
      </c>
      <c r="J16" s="78">
        <v>3658649</v>
      </c>
      <c r="K16" s="76">
        <v>3836399</v>
      </c>
    </row>
    <row r="17" spans="2:11" ht="15" customHeight="1" x14ac:dyDescent="0.35">
      <c r="B17" s="8" t="s">
        <v>28</v>
      </c>
      <c r="C17" s="79">
        <v>8272724</v>
      </c>
      <c r="D17" s="79">
        <v>8366628</v>
      </c>
      <c r="E17" s="79">
        <v>8513497</v>
      </c>
      <c r="F17" s="79">
        <v>8602865</v>
      </c>
      <c r="G17" s="79">
        <v>8690745</v>
      </c>
      <c r="H17" s="79">
        <v>8777124</v>
      </c>
      <c r="I17" s="80">
        <v>8120131</v>
      </c>
      <c r="J17" s="81">
        <v>8120131</v>
      </c>
      <c r="K17" s="79">
        <v>8664306</v>
      </c>
    </row>
    <row r="18" spans="2:11" ht="15" customHeight="1" x14ac:dyDescent="0.35">
      <c r="B18" s="4" t="s">
        <v>29</v>
      </c>
      <c r="C18" s="76">
        <v>3999415</v>
      </c>
      <c r="D18" s="76">
        <v>4025558</v>
      </c>
      <c r="E18" s="76">
        <v>3996496</v>
      </c>
      <c r="F18" s="76">
        <v>4018127</v>
      </c>
      <c r="G18" s="76">
        <v>4039277</v>
      </c>
      <c r="H18" s="76">
        <v>4059905</v>
      </c>
      <c r="I18" s="77">
        <v>3974687</v>
      </c>
      <c r="J18" s="78">
        <v>3974687</v>
      </c>
      <c r="K18" s="76">
        <v>4145040</v>
      </c>
    </row>
    <row r="19" spans="2:11" ht="15" customHeight="1" x14ac:dyDescent="0.35">
      <c r="B19" s="8" t="s">
        <v>30</v>
      </c>
      <c r="C19" s="79">
        <v>9410336</v>
      </c>
      <c r="D19" s="79">
        <v>9473266</v>
      </c>
      <c r="E19" s="79">
        <v>9496294</v>
      </c>
      <c r="F19" s="79">
        <v>9557071</v>
      </c>
      <c r="G19" s="79">
        <v>9616621</v>
      </c>
      <c r="H19" s="79">
        <v>9674793</v>
      </c>
      <c r="I19" s="80">
        <v>9058931</v>
      </c>
      <c r="J19" s="81">
        <v>9058931</v>
      </c>
      <c r="K19" s="79">
        <v>9539029</v>
      </c>
    </row>
    <row r="20" spans="2:11" ht="15" customHeight="1" x14ac:dyDescent="0.35">
      <c r="B20" s="4" t="s">
        <v>31</v>
      </c>
      <c r="C20" s="76">
        <v>3212180</v>
      </c>
      <c r="D20" s="76">
        <v>3219257</v>
      </c>
      <c r="E20" s="76">
        <v>3264531</v>
      </c>
      <c r="F20" s="76">
        <v>3273227</v>
      </c>
      <c r="G20" s="76">
        <v>3281480</v>
      </c>
      <c r="H20" s="76">
        <v>3289290</v>
      </c>
      <c r="I20" s="77">
        <v>3271199</v>
      </c>
      <c r="J20" s="78">
        <v>3271199</v>
      </c>
      <c r="K20" s="76">
        <v>3375646</v>
      </c>
    </row>
    <row r="21" spans="2:11" ht="15" customHeight="1" x14ac:dyDescent="0.35">
      <c r="B21" s="8" t="s">
        <v>32</v>
      </c>
      <c r="C21" s="79">
        <v>11242720</v>
      </c>
      <c r="D21" s="79">
        <v>11320892</v>
      </c>
      <c r="E21" s="79">
        <v>11348937</v>
      </c>
      <c r="F21" s="79">
        <v>11433957</v>
      </c>
      <c r="G21" s="79">
        <v>11516840</v>
      </c>
      <c r="H21" s="79">
        <v>11597484</v>
      </c>
      <c r="I21" s="80">
        <v>11444380</v>
      </c>
      <c r="J21" s="81">
        <v>11444380</v>
      </c>
      <c r="K21" s="79">
        <v>11824665</v>
      </c>
    </row>
    <row r="22" spans="2:11" ht="15" customHeight="1" x14ac:dyDescent="0.35">
      <c r="B22" s="4" t="s">
        <v>33</v>
      </c>
      <c r="C22" s="76">
        <v>16635996</v>
      </c>
      <c r="D22" s="76">
        <v>16718956</v>
      </c>
      <c r="E22" s="76">
        <v>17159960</v>
      </c>
      <c r="F22" s="76">
        <v>17264943</v>
      </c>
      <c r="G22" s="76">
        <v>17366189</v>
      </c>
      <c r="H22" s="76">
        <v>17463349</v>
      </c>
      <c r="I22" s="77">
        <v>16055174</v>
      </c>
      <c r="J22" s="78">
        <v>16055174</v>
      </c>
      <c r="K22" s="76">
        <v>17219679</v>
      </c>
    </row>
    <row r="23" spans="2:11" ht="15" customHeight="1" x14ac:dyDescent="0.35">
      <c r="B23" s="8" t="s">
        <v>34</v>
      </c>
      <c r="C23" s="79">
        <v>3474998</v>
      </c>
      <c r="D23" s="79">
        <v>3507003</v>
      </c>
      <c r="E23" s="79">
        <v>3479010</v>
      </c>
      <c r="F23" s="79">
        <v>3506853</v>
      </c>
      <c r="G23" s="79">
        <v>3534165</v>
      </c>
      <c r="H23" s="79">
        <v>3560903</v>
      </c>
      <c r="I23" s="80">
        <v>3302729</v>
      </c>
      <c r="J23" s="81">
        <v>3302729</v>
      </c>
      <c r="K23" s="79">
        <v>3446071</v>
      </c>
    </row>
    <row r="24" spans="2:11" ht="15" customHeight="1" x14ac:dyDescent="0.35">
      <c r="B24" s="4" t="s">
        <v>35</v>
      </c>
      <c r="C24" s="76">
        <v>1787279</v>
      </c>
      <c r="D24" s="76">
        <v>1805788</v>
      </c>
      <c r="E24" s="76">
        <v>1757589</v>
      </c>
      <c r="F24" s="76">
        <v>1777225</v>
      </c>
      <c r="G24" s="76">
        <v>1796460</v>
      </c>
      <c r="H24" s="76">
        <v>1815278</v>
      </c>
      <c r="I24" s="77">
        <v>1581196</v>
      </c>
      <c r="J24" s="78">
        <v>1581196</v>
      </c>
      <c r="K24" s="76">
        <v>1746227</v>
      </c>
    </row>
    <row r="25" spans="2:11" ht="15" customHeight="1" x14ac:dyDescent="0.35">
      <c r="B25" s="8" t="s">
        <v>36</v>
      </c>
      <c r="C25" s="79">
        <v>514229</v>
      </c>
      <c r="D25" s="79">
        <v>522636</v>
      </c>
      <c r="E25" s="79">
        <v>576568</v>
      </c>
      <c r="F25" s="79">
        <v>605761</v>
      </c>
      <c r="G25" s="79">
        <v>631181</v>
      </c>
      <c r="H25" s="79">
        <v>652713</v>
      </c>
      <c r="I25" s="80">
        <v>636707</v>
      </c>
      <c r="J25" s="81">
        <v>636707</v>
      </c>
      <c r="K25" s="79">
        <v>716793</v>
      </c>
    </row>
    <row r="26" spans="2:11" ht="15" customHeight="1" x14ac:dyDescent="0.35">
      <c r="B26" s="4" t="s">
        <v>37</v>
      </c>
      <c r="C26" s="76">
        <v>11286500</v>
      </c>
      <c r="D26" s="76">
        <v>11322895</v>
      </c>
      <c r="E26" s="76">
        <v>11329605</v>
      </c>
      <c r="F26" s="76">
        <v>11377239</v>
      </c>
      <c r="G26" s="76">
        <v>11422973</v>
      </c>
      <c r="H26" s="76">
        <v>11466630</v>
      </c>
      <c r="I26" s="77">
        <v>10882965</v>
      </c>
      <c r="J26" s="78">
        <v>10882965</v>
      </c>
      <c r="K26" s="76">
        <v>11229915</v>
      </c>
    </row>
    <row r="27" spans="2:11" ht="15" customHeight="1" x14ac:dyDescent="0.35">
      <c r="B27" s="8" t="s">
        <v>38</v>
      </c>
      <c r="C27" s="79">
        <v>6910553</v>
      </c>
      <c r="D27" s="79">
        <v>7001161</v>
      </c>
      <c r="E27" s="79">
        <v>7075494</v>
      </c>
      <c r="F27" s="79">
        <v>7164788</v>
      </c>
      <c r="G27" s="79">
        <v>7252502</v>
      </c>
      <c r="H27" s="79">
        <v>7338473</v>
      </c>
      <c r="I27" s="80">
        <v>7610361</v>
      </c>
      <c r="J27" s="81">
        <v>7610361</v>
      </c>
      <c r="K27" s="79">
        <v>8058441</v>
      </c>
    </row>
    <row r="28" spans="2:11" ht="15" customHeight="1" x14ac:dyDescent="0.35">
      <c r="B28" s="4" t="s">
        <v>39</v>
      </c>
      <c r="C28" s="76">
        <v>2265779</v>
      </c>
      <c r="D28" s="76">
        <v>2288116</v>
      </c>
      <c r="E28" s="76">
        <v>2278308</v>
      </c>
      <c r="F28" s="76">
        <v>2298696</v>
      </c>
      <c r="G28" s="76">
        <v>2318822</v>
      </c>
      <c r="H28" s="76">
        <v>2338474</v>
      </c>
      <c r="I28" s="77">
        <v>2210004</v>
      </c>
      <c r="J28" s="78">
        <v>2210004</v>
      </c>
      <c r="K28" s="76">
        <v>2291077</v>
      </c>
    </row>
    <row r="29" spans="2:11" ht="15" customHeight="1" x14ac:dyDescent="0.35">
      <c r="B29" s="8" t="s">
        <v>40</v>
      </c>
      <c r="C29" s="79">
        <v>44749699</v>
      </c>
      <c r="D29" s="79">
        <v>45094866</v>
      </c>
      <c r="E29" s="79">
        <v>45538936</v>
      </c>
      <c r="F29" s="79">
        <v>45919049</v>
      </c>
      <c r="G29" s="79">
        <v>46289333</v>
      </c>
      <c r="H29" s="79">
        <v>46649132</v>
      </c>
      <c r="I29" s="80">
        <v>44411238</v>
      </c>
      <c r="J29" s="81">
        <v>44411238</v>
      </c>
      <c r="K29" s="79">
        <v>45973194</v>
      </c>
    </row>
    <row r="30" spans="2:11" ht="15" customHeight="1" x14ac:dyDescent="0.35">
      <c r="B30" s="4" t="s">
        <v>41</v>
      </c>
      <c r="C30" s="76">
        <v>1532902</v>
      </c>
      <c r="D30" s="76">
        <v>1550194</v>
      </c>
      <c r="E30" s="76">
        <v>1555229</v>
      </c>
      <c r="F30" s="76">
        <v>1572866</v>
      </c>
      <c r="G30" s="76">
        <v>1590248</v>
      </c>
      <c r="H30" s="76">
        <v>1607363</v>
      </c>
      <c r="I30" s="77">
        <v>1511460</v>
      </c>
      <c r="J30" s="78">
        <v>1511460</v>
      </c>
      <c r="K30" s="76">
        <v>1577342</v>
      </c>
    </row>
    <row r="31" spans="2:11" ht="15.75" customHeight="1" x14ac:dyDescent="0.35">
      <c r="B31" s="11" t="s">
        <v>42</v>
      </c>
      <c r="C31" s="12">
        <v>206081432</v>
      </c>
      <c r="D31" s="12">
        <v>207660929</v>
      </c>
      <c r="E31" s="12">
        <v>208494900</v>
      </c>
      <c r="F31" s="12">
        <v>210147125</v>
      </c>
      <c r="G31" s="12">
        <v>211755692</v>
      </c>
      <c r="H31" s="12">
        <v>213317639</v>
      </c>
      <c r="I31" s="12">
        <v>203080756</v>
      </c>
      <c r="J31" s="12">
        <v>203080756</v>
      </c>
      <c r="K31" s="12">
        <v>212583750</v>
      </c>
    </row>
    <row r="32" spans="2:11" ht="24" customHeight="1" x14ac:dyDescent="0.35">
      <c r="B32" s="190" t="s">
        <v>125</v>
      </c>
      <c r="C32" s="186"/>
      <c r="D32" s="186"/>
      <c r="E32" s="186"/>
      <c r="F32" s="186"/>
      <c r="G32" s="186"/>
      <c r="H32" s="186"/>
      <c r="I32" s="186"/>
      <c r="J32" s="186"/>
      <c r="K32" s="186"/>
    </row>
  </sheetData>
  <mergeCells count="3">
    <mergeCell ref="B2:K2"/>
    <mergeCell ref="B1:K1"/>
    <mergeCell ref="B32:K3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V32"/>
  <sheetViews>
    <sheetView showGridLines="0" zoomScaleNormal="100" workbookViewId="0">
      <pane xSplit="2" ySplit="3" topLeftCell="C32" activePane="bottomRight" state="frozen"/>
      <selection pane="topRight" activeCell="C1" sqref="C1"/>
      <selection pane="bottomLeft" activeCell="A4" sqref="A4"/>
      <selection pane="bottomRight" activeCell="K3" sqref="K3"/>
    </sheetView>
  </sheetViews>
  <sheetFormatPr defaultColWidth="8.6328125" defaultRowHeight="14.5" x14ac:dyDescent="0.35"/>
  <cols>
    <col min="1" max="1" width="2" customWidth="1"/>
    <col min="2" max="2" width="6" customWidth="1"/>
    <col min="3" max="10" width="13" customWidth="1"/>
    <col min="11" max="11" width="14" customWidth="1"/>
  </cols>
  <sheetData>
    <row r="1" spans="2:22" ht="21.75" customHeight="1" x14ac:dyDescent="0.35">
      <c r="B1" s="192" t="s">
        <v>126</v>
      </c>
      <c r="C1" s="186"/>
      <c r="D1" s="186"/>
      <c r="E1" s="186"/>
      <c r="F1" s="186"/>
      <c r="G1" s="186"/>
      <c r="H1" s="186"/>
      <c r="I1" s="186"/>
      <c r="J1" s="186"/>
    </row>
    <row r="2" spans="2:22" ht="12.75" customHeight="1" x14ac:dyDescent="0.35">
      <c r="B2" s="191" t="s">
        <v>127</v>
      </c>
      <c r="C2" s="186"/>
      <c r="D2" s="186"/>
      <c r="E2" s="186"/>
      <c r="F2" s="186"/>
      <c r="G2" s="186"/>
      <c r="H2" s="186"/>
      <c r="I2" s="186"/>
      <c r="J2" s="186"/>
    </row>
    <row r="3" spans="2:22" ht="19.5" customHeight="1" x14ac:dyDescent="0.35"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54" t="s">
        <v>9</v>
      </c>
      <c r="J3" s="41" t="s">
        <v>10</v>
      </c>
      <c r="K3" s="64" t="s">
        <v>112</v>
      </c>
      <c r="L3" t="s">
        <v>106</v>
      </c>
      <c r="M3" t="s">
        <v>107</v>
      </c>
      <c r="N3" t="s">
        <v>108</v>
      </c>
      <c r="O3" t="s">
        <v>109</v>
      </c>
      <c r="P3" t="s">
        <v>110</v>
      </c>
      <c r="Q3" t="s">
        <v>116</v>
      </c>
      <c r="R3" t="s">
        <v>117</v>
      </c>
      <c r="S3" t="s">
        <v>118</v>
      </c>
      <c r="T3" t="s">
        <v>119</v>
      </c>
      <c r="U3" t="s">
        <v>120</v>
      </c>
      <c r="V3" t="s">
        <v>121</v>
      </c>
    </row>
    <row r="4" spans="2:22" ht="15" customHeight="1" x14ac:dyDescent="0.35">
      <c r="B4" s="4" t="s">
        <v>15</v>
      </c>
      <c r="C4" s="76">
        <v>16842</v>
      </c>
      <c r="D4" s="76">
        <v>17204</v>
      </c>
      <c r="E4" s="76">
        <v>17637</v>
      </c>
      <c r="F4" s="76">
        <v>17722</v>
      </c>
      <c r="G4" s="76">
        <v>18420</v>
      </c>
      <c r="H4" s="76">
        <v>23569</v>
      </c>
      <c r="I4" s="77">
        <v>28525</v>
      </c>
      <c r="J4" s="78">
        <v>31676</v>
      </c>
      <c r="K4" s="82">
        <v>32220</v>
      </c>
      <c r="L4">
        <v>6694</v>
      </c>
      <c r="M4">
        <v>7041</v>
      </c>
      <c r="N4">
        <v>8790</v>
      </c>
      <c r="O4">
        <v>9896</v>
      </c>
      <c r="P4">
        <v>10687</v>
      </c>
      <c r="Q4">
        <v>11372</v>
      </c>
      <c r="R4">
        <v>11990</v>
      </c>
      <c r="S4">
        <v>13361</v>
      </c>
      <c r="T4">
        <v>14777</v>
      </c>
      <c r="U4">
        <v>17034</v>
      </c>
      <c r="V4">
        <v>16954</v>
      </c>
    </row>
    <row r="5" spans="2:22" ht="15" customHeight="1" x14ac:dyDescent="0.35">
      <c r="B5" s="8" t="s">
        <v>16</v>
      </c>
      <c r="C5" s="79">
        <v>14727</v>
      </c>
      <c r="D5" s="79">
        <v>15656</v>
      </c>
      <c r="E5" s="79">
        <v>16376</v>
      </c>
      <c r="F5" s="79">
        <v>17668</v>
      </c>
      <c r="G5" s="79">
        <v>18858</v>
      </c>
      <c r="H5" s="79">
        <v>22662</v>
      </c>
      <c r="I5" s="80">
        <v>24320</v>
      </c>
      <c r="J5" s="81">
        <v>28676</v>
      </c>
      <c r="K5" s="83">
        <v>30268</v>
      </c>
      <c r="L5">
        <v>4688</v>
      </c>
      <c r="M5">
        <v>5162</v>
      </c>
      <c r="N5">
        <v>5858</v>
      </c>
      <c r="O5">
        <v>6228</v>
      </c>
      <c r="P5">
        <v>6728</v>
      </c>
      <c r="Q5">
        <v>8695</v>
      </c>
      <c r="R5">
        <v>10071</v>
      </c>
      <c r="S5">
        <v>10946</v>
      </c>
      <c r="T5">
        <v>11295</v>
      </c>
      <c r="U5">
        <v>12335</v>
      </c>
      <c r="V5">
        <v>13879</v>
      </c>
    </row>
    <row r="6" spans="2:22" ht="15" customHeight="1" x14ac:dyDescent="0.35">
      <c r="B6" s="4" t="s">
        <v>17</v>
      </c>
      <c r="C6" s="76">
        <v>22251</v>
      </c>
      <c r="D6" s="76">
        <v>22945</v>
      </c>
      <c r="E6" s="76">
        <v>24533</v>
      </c>
      <c r="F6" s="76">
        <v>26102</v>
      </c>
      <c r="G6" s="76">
        <v>27573</v>
      </c>
      <c r="H6" s="76">
        <v>30804</v>
      </c>
      <c r="I6" s="77">
        <v>36823</v>
      </c>
      <c r="J6" s="78">
        <v>41048</v>
      </c>
      <c r="K6" s="82">
        <v>41557</v>
      </c>
      <c r="L6">
        <v>10318</v>
      </c>
      <c r="M6">
        <v>11826</v>
      </c>
      <c r="N6">
        <v>13043</v>
      </c>
      <c r="O6">
        <v>14014</v>
      </c>
      <c r="P6">
        <v>14621</v>
      </c>
      <c r="Q6">
        <v>17473</v>
      </c>
      <c r="R6">
        <v>19991</v>
      </c>
      <c r="S6">
        <v>20118</v>
      </c>
      <c r="T6">
        <v>21810</v>
      </c>
      <c r="U6">
        <v>22373</v>
      </c>
      <c r="V6">
        <v>21981</v>
      </c>
    </row>
    <row r="7" spans="2:22" ht="15" customHeight="1" x14ac:dyDescent="0.35">
      <c r="B7" s="8" t="s">
        <v>18</v>
      </c>
      <c r="C7" s="79">
        <v>18333</v>
      </c>
      <c r="D7" s="79">
        <v>19408</v>
      </c>
      <c r="E7" s="79">
        <v>20248</v>
      </c>
      <c r="F7" s="79">
        <v>20688</v>
      </c>
      <c r="G7" s="79">
        <v>21432</v>
      </c>
      <c r="H7" s="79">
        <v>22903</v>
      </c>
      <c r="I7" s="80">
        <v>32183</v>
      </c>
      <c r="J7" s="81">
        <v>38187</v>
      </c>
      <c r="K7" s="83">
        <v>39592</v>
      </c>
      <c r="L7">
        <v>7335</v>
      </c>
      <c r="M7">
        <v>8543</v>
      </c>
      <c r="N7">
        <v>10254</v>
      </c>
      <c r="O7">
        <v>11033</v>
      </c>
      <c r="P7">
        <v>11816</v>
      </c>
      <c r="Q7">
        <v>12304</v>
      </c>
      <c r="R7">
        <v>13750</v>
      </c>
      <c r="S7">
        <v>15933</v>
      </c>
      <c r="T7">
        <v>17365</v>
      </c>
      <c r="U7">
        <v>17845</v>
      </c>
      <c r="V7">
        <v>18080</v>
      </c>
    </row>
    <row r="8" spans="2:22" ht="15" customHeight="1" x14ac:dyDescent="0.35">
      <c r="B8" s="4" t="s">
        <v>19</v>
      </c>
      <c r="C8" s="76">
        <v>16937</v>
      </c>
      <c r="D8" s="76">
        <v>17513</v>
      </c>
      <c r="E8" s="76">
        <v>19324</v>
      </c>
      <c r="F8" s="76">
        <v>19716</v>
      </c>
      <c r="G8" s="76">
        <v>20449</v>
      </c>
      <c r="H8" s="76">
        <v>23531</v>
      </c>
      <c r="I8" s="77">
        <v>28472</v>
      </c>
      <c r="J8" s="78">
        <v>30477</v>
      </c>
      <c r="K8" s="82">
        <v>31312</v>
      </c>
      <c r="L8">
        <v>6581</v>
      </c>
      <c r="M8">
        <v>6919</v>
      </c>
      <c r="N8">
        <v>7787</v>
      </c>
      <c r="O8">
        <v>8378</v>
      </c>
      <c r="P8">
        <v>9365</v>
      </c>
      <c r="Q8">
        <v>11017</v>
      </c>
      <c r="R8">
        <v>11818</v>
      </c>
      <c r="S8">
        <v>12880</v>
      </c>
      <c r="T8">
        <v>13616</v>
      </c>
      <c r="U8">
        <v>14804</v>
      </c>
      <c r="V8">
        <v>16118</v>
      </c>
    </row>
    <row r="9" spans="2:22" ht="15" customHeight="1" x14ac:dyDescent="0.35">
      <c r="B9" s="8" t="s">
        <v>20</v>
      </c>
      <c r="C9" s="79">
        <v>15443</v>
      </c>
      <c r="D9" s="79">
        <v>16398</v>
      </c>
      <c r="E9" s="79">
        <v>17178</v>
      </c>
      <c r="F9" s="79">
        <v>17912</v>
      </c>
      <c r="G9" s="79">
        <v>18168</v>
      </c>
      <c r="H9" s="79">
        <v>21090</v>
      </c>
      <c r="I9" s="80">
        <v>24287</v>
      </c>
      <c r="J9" s="81">
        <v>26406</v>
      </c>
      <c r="K9" s="83">
        <v>27101</v>
      </c>
      <c r="L9">
        <v>5055</v>
      </c>
      <c r="M9">
        <v>5635</v>
      </c>
      <c r="N9">
        <v>6149</v>
      </c>
      <c r="O9">
        <v>7112</v>
      </c>
      <c r="P9">
        <v>7687</v>
      </c>
      <c r="Q9">
        <v>9386</v>
      </c>
      <c r="R9">
        <v>10515</v>
      </c>
      <c r="S9">
        <v>11268</v>
      </c>
      <c r="T9">
        <v>12421</v>
      </c>
      <c r="U9">
        <v>14255</v>
      </c>
      <c r="V9">
        <v>14670</v>
      </c>
    </row>
    <row r="10" spans="2:22" ht="15" customHeight="1" x14ac:dyDescent="0.35">
      <c r="B10" s="4" t="s">
        <v>21</v>
      </c>
      <c r="C10" s="76">
        <v>79114</v>
      </c>
      <c r="D10" s="76">
        <v>80515</v>
      </c>
      <c r="E10" s="76">
        <v>85661</v>
      </c>
      <c r="F10" s="76">
        <v>90743</v>
      </c>
      <c r="G10" s="76">
        <v>87016</v>
      </c>
      <c r="H10" s="76">
        <v>92732</v>
      </c>
      <c r="I10" s="77">
        <v>116700</v>
      </c>
      <c r="J10" s="78">
        <v>129790</v>
      </c>
      <c r="K10" s="82">
        <v>136149</v>
      </c>
      <c r="L10">
        <v>34515</v>
      </c>
      <c r="M10">
        <v>37599</v>
      </c>
      <c r="N10">
        <v>40696</v>
      </c>
      <c r="O10">
        <v>45978</v>
      </c>
      <c r="P10">
        <v>50438</v>
      </c>
      <c r="Q10">
        <v>56095</v>
      </c>
      <c r="R10">
        <v>59222</v>
      </c>
      <c r="S10">
        <v>61959</v>
      </c>
      <c r="T10">
        <v>63054</v>
      </c>
      <c r="U10">
        <v>69217</v>
      </c>
      <c r="V10">
        <v>73971</v>
      </c>
    </row>
    <row r="11" spans="2:22" ht="15" customHeight="1" x14ac:dyDescent="0.35">
      <c r="B11" s="8" t="s">
        <v>22</v>
      </c>
      <c r="C11" s="79">
        <v>27497</v>
      </c>
      <c r="D11" s="79">
        <v>28235</v>
      </c>
      <c r="E11" s="79">
        <v>34493</v>
      </c>
      <c r="F11" s="79">
        <v>34177</v>
      </c>
      <c r="G11" s="79">
        <v>34066</v>
      </c>
      <c r="H11" s="79">
        <v>45354</v>
      </c>
      <c r="I11" s="80">
        <v>47617</v>
      </c>
      <c r="J11" s="81">
        <v>54733</v>
      </c>
      <c r="K11" s="83">
        <v>53393</v>
      </c>
      <c r="L11">
        <v>13855</v>
      </c>
      <c r="M11">
        <v>15235</v>
      </c>
      <c r="N11">
        <v>18003</v>
      </c>
      <c r="O11">
        <v>20231</v>
      </c>
      <c r="P11">
        <v>19145</v>
      </c>
      <c r="Q11">
        <v>24271</v>
      </c>
      <c r="R11">
        <v>29877</v>
      </c>
      <c r="S11">
        <v>32657</v>
      </c>
      <c r="T11">
        <v>30545</v>
      </c>
      <c r="U11">
        <v>33149</v>
      </c>
      <c r="V11">
        <v>30628</v>
      </c>
    </row>
    <row r="12" spans="2:22" ht="15" customHeight="1" x14ac:dyDescent="0.35">
      <c r="B12" s="4" t="s">
        <v>23</v>
      </c>
      <c r="C12" s="76">
        <v>27145</v>
      </c>
      <c r="D12" s="76">
        <v>28316</v>
      </c>
      <c r="E12" s="76">
        <v>28273</v>
      </c>
      <c r="F12" s="76">
        <v>29732</v>
      </c>
      <c r="G12" s="76">
        <v>31507</v>
      </c>
      <c r="H12" s="76">
        <v>37414</v>
      </c>
      <c r="I12" s="77">
        <v>45148</v>
      </c>
      <c r="J12" s="78">
        <v>47722</v>
      </c>
      <c r="K12" s="82">
        <v>50470</v>
      </c>
      <c r="L12">
        <v>8992</v>
      </c>
      <c r="M12">
        <v>9956</v>
      </c>
      <c r="N12">
        <v>11548</v>
      </c>
      <c r="O12">
        <v>12878</v>
      </c>
      <c r="P12">
        <v>14447</v>
      </c>
      <c r="Q12">
        <v>17784</v>
      </c>
      <c r="R12">
        <v>19948</v>
      </c>
      <c r="S12">
        <v>22544</v>
      </c>
      <c r="T12">
        <v>23516</v>
      </c>
      <c r="U12">
        <v>25297</v>
      </c>
      <c r="V12">
        <v>26265</v>
      </c>
    </row>
    <row r="13" spans="2:22" ht="15" customHeight="1" x14ac:dyDescent="0.35">
      <c r="B13" s="8" t="s">
        <v>24</v>
      </c>
      <c r="C13" s="79">
        <v>12268</v>
      </c>
      <c r="D13" s="79">
        <v>12791</v>
      </c>
      <c r="E13" s="79">
        <v>13956</v>
      </c>
      <c r="F13" s="79">
        <v>13758</v>
      </c>
      <c r="G13" s="79">
        <v>15028</v>
      </c>
      <c r="H13" s="79">
        <v>17472</v>
      </c>
      <c r="I13" s="80">
        <v>20628</v>
      </c>
      <c r="J13" s="81">
        <v>22021</v>
      </c>
      <c r="K13" s="83">
        <v>22544</v>
      </c>
      <c r="L13">
        <v>4151</v>
      </c>
      <c r="M13">
        <v>4628</v>
      </c>
      <c r="N13">
        <v>5165</v>
      </c>
      <c r="O13">
        <v>6104</v>
      </c>
      <c r="P13">
        <v>6259</v>
      </c>
      <c r="Q13">
        <v>7044</v>
      </c>
      <c r="R13">
        <v>7846</v>
      </c>
      <c r="S13">
        <v>9009</v>
      </c>
      <c r="T13">
        <v>9963</v>
      </c>
      <c r="U13">
        <v>11216</v>
      </c>
      <c r="V13">
        <v>11366</v>
      </c>
    </row>
    <row r="14" spans="2:22" ht="15" customHeight="1" x14ac:dyDescent="0.35">
      <c r="B14" s="4" t="s">
        <v>25</v>
      </c>
      <c r="C14" s="76">
        <v>25946</v>
      </c>
      <c r="D14" s="76">
        <v>27291</v>
      </c>
      <c r="E14" s="76">
        <v>29223</v>
      </c>
      <c r="F14" s="76">
        <v>30794</v>
      </c>
      <c r="G14" s="76">
        <v>32067</v>
      </c>
      <c r="H14" s="76">
        <v>40052</v>
      </c>
      <c r="I14" s="77">
        <v>44145</v>
      </c>
      <c r="J14" s="78">
        <v>47321</v>
      </c>
      <c r="K14" s="82">
        <v>48462</v>
      </c>
      <c r="L14">
        <v>10014</v>
      </c>
      <c r="M14">
        <v>11025</v>
      </c>
      <c r="N14">
        <v>12519</v>
      </c>
      <c r="O14">
        <v>14233</v>
      </c>
      <c r="P14">
        <v>14329</v>
      </c>
      <c r="Q14">
        <v>17917</v>
      </c>
      <c r="R14">
        <v>20281</v>
      </c>
      <c r="S14">
        <v>22275</v>
      </c>
      <c r="T14">
        <v>23697</v>
      </c>
      <c r="U14">
        <v>24917</v>
      </c>
      <c r="V14">
        <v>24885</v>
      </c>
    </row>
    <row r="15" spans="2:22" ht="15" customHeight="1" x14ac:dyDescent="0.35">
      <c r="B15" s="8" t="s">
        <v>26</v>
      </c>
      <c r="C15" s="79">
        <v>34258</v>
      </c>
      <c r="D15" s="79">
        <v>35529</v>
      </c>
      <c r="E15" s="79">
        <v>38926</v>
      </c>
      <c r="F15" s="79">
        <v>38483</v>
      </c>
      <c r="G15" s="79">
        <v>43649</v>
      </c>
      <c r="H15" s="79">
        <v>50086</v>
      </c>
      <c r="I15" s="80">
        <v>60358</v>
      </c>
      <c r="J15" s="81">
        <v>66885</v>
      </c>
      <c r="K15" s="83">
        <v>69436</v>
      </c>
      <c r="L15">
        <v>9561</v>
      </c>
      <c r="M15">
        <v>10592</v>
      </c>
      <c r="N15">
        <v>12411</v>
      </c>
      <c r="O15">
        <v>14188</v>
      </c>
      <c r="P15">
        <v>15407</v>
      </c>
      <c r="Q15">
        <v>19302</v>
      </c>
      <c r="R15">
        <v>22253</v>
      </c>
      <c r="S15">
        <v>24802</v>
      </c>
      <c r="T15">
        <v>26748</v>
      </c>
      <c r="U15">
        <v>30138</v>
      </c>
      <c r="V15">
        <v>31337</v>
      </c>
    </row>
    <row r="16" spans="2:22" ht="15" customHeight="1" x14ac:dyDescent="0.35">
      <c r="B16" s="4" t="s">
        <v>27</v>
      </c>
      <c r="C16" s="76">
        <v>37477</v>
      </c>
      <c r="D16" s="76">
        <v>37926</v>
      </c>
      <c r="E16" s="76">
        <v>39931</v>
      </c>
      <c r="F16" s="76">
        <v>40787</v>
      </c>
      <c r="G16" s="76">
        <v>50663</v>
      </c>
      <c r="H16" s="76">
        <v>65426</v>
      </c>
      <c r="I16" s="77">
        <v>69842</v>
      </c>
      <c r="J16" s="78">
        <v>74620</v>
      </c>
      <c r="K16" s="82">
        <v>75843</v>
      </c>
      <c r="L16">
        <v>13365</v>
      </c>
      <c r="M16">
        <v>12341</v>
      </c>
      <c r="N16">
        <v>14954</v>
      </c>
      <c r="O16">
        <v>18050</v>
      </c>
      <c r="P16">
        <v>19087</v>
      </c>
      <c r="Q16">
        <v>18649</v>
      </c>
      <c r="R16">
        <v>22482</v>
      </c>
      <c r="S16">
        <v>25572</v>
      </c>
      <c r="T16">
        <v>28036</v>
      </c>
      <c r="U16">
        <v>31397</v>
      </c>
      <c r="V16">
        <v>32895</v>
      </c>
    </row>
    <row r="17" spans="2:22" ht="15" customHeight="1" x14ac:dyDescent="0.35">
      <c r="B17" s="8" t="s">
        <v>28</v>
      </c>
      <c r="C17" s="79">
        <v>16694</v>
      </c>
      <c r="D17" s="79">
        <v>18554</v>
      </c>
      <c r="E17" s="79">
        <v>18952</v>
      </c>
      <c r="F17" s="79">
        <v>20735</v>
      </c>
      <c r="G17" s="79">
        <v>24847</v>
      </c>
      <c r="H17" s="79">
        <v>29953</v>
      </c>
      <c r="I17" s="80">
        <v>29081</v>
      </c>
      <c r="J17" s="81">
        <v>31348</v>
      </c>
      <c r="K17" s="83">
        <v>30179</v>
      </c>
      <c r="L17">
        <v>5612</v>
      </c>
      <c r="M17">
        <v>6240</v>
      </c>
      <c r="N17">
        <v>7007</v>
      </c>
      <c r="O17">
        <v>7993</v>
      </c>
      <c r="P17">
        <v>7859</v>
      </c>
      <c r="Q17">
        <v>10907</v>
      </c>
      <c r="R17">
        <v>12839</v>
      </c>
      <c r="S17">
        <v>13768</v>
      </c>
      <c r="T17">
        <v>15211</v>
      </c>
      <c r="U17">
        <v>15431</v>
      </c>
      <c r="V17">
        <v>16012</v>
      </c>
    </row>
    <row r="18" spans="2:22" ht="15" customHeight="1" x14ac:dyDescent="0.35">
      <c r="B18" s="4" t="s">
        <v>29</v>
      </c>
      <c r="C18" s="76">
        <v>14778</v>
      </c>
      <c r="D18" s="76">
        <v>15500</v>
      </c>
      <c r="E18" s="76">
        <v>16108</v>
      </c>
      <c r="F18" s="76">
        <v>16920</v>
      </c>
      <c r="G18" s="76">
        <v>17402</v>
      </c>
      <c r="H18" s="76">
        <v>19082</v>
      </c>
      <c r="I18" s="77">
        <v>21661</v>
      </c>
      <c r="J18" s="78">
        <v>24395</v>
      </c>
      <c r="K18" s="82">
        <v>25683</v>
      </c>
      <c r="L18">
        <v>4691</v>
      </c>
      <c r="M18">
        <v>5506</v>
      </c>
      <c r="N18">
        <v>6097</v>
      </c>
      <c r="O18">
        <v>6866</v>
      </c>
      <c r="P18">
        <v>7618</v>
      </c>
      <c r="Q18">
        <v>8900</v>
      </c>
      <c r="R18">
        <v>9788</v>
      </c>
      <c r="S18">
        <v>11137</v>
      </c>
      <c r="T18">
        <v>11848</v>
      </c>
      <c r="U18">
        <v>13422</v>
      </c>
      <c r="V18">
        <v>14134</v>
      </c>
    </row>
    <row r="19" spans="2:22" ht="15" customHeight="1" x14ac:dyDescent="0.35">
      <c r="B19" s="8" t="s">
        <v>30</v>
      </c>
      <c r="C19" s="79">
        <v>17783</v>
      </c>
      <c r="D19" s="79">
        <v>19171</v>
      </c>
      <c r="E19" s="79">
        <v>19624</v>
      </c>
      <c r="F19" s="79">
        <v>20702</v>
      </c>
      <c r="G19" s="79">
        <v>20101</v>
      </c>
      <c r="H19" s="79">
        <v>22824</v>
      </c>
      <c r="I19" s="80">
        <v>27137</v>
      </c>
      <c r="J19" s="81">
        <v>29857</v>
      </c>
      <c r="K19" s="83">
        <v>30956</v>
      </c>
      <c r="L19">
        <v>5933</v>
      </c>
      <c r="M19">
        <v>6527</v>
      </c>
      <c r="N19">
        <v>7336</v>
      </c>
      <c r="O19">
        <v>8065</v>
      </c>
      <c r="P19">
        <v>8902</v>
      </c>
      <c r="Q19">
        <v>11049</v>
      </c>
      <c r="R19">
        <v>12427</v>
      </c>
      <c r="S19">
        <v>14331</v>
      </c>
      <c r="T19">
        <v>15328</v>
      </c>
      <c r="U19">
        <v>16722</v>
      </c>
      <c r="V19">
        <v>16796</v>
      </c>
    </row>
    <row r="20" spans="2:22" ht="15" customHeight="1" x14ac:dyDescent="0.35">
      <c r="B20" s="4" t="s">
        <v>31</v>
      </c>
      <c r="C20" s="76">
        <v>12894</v>
      </c>
      <c r="D20" s="76">
        <v>14092</v>
      </c>
      <c r="E20" s="76">
        <v>15432</v>
      </c>
      <c r="F20" s="76">
        <v>16125</v>
      </c>
      <c r="G20" s="76">
        <v>17185</v>
      </c>
      <c r="H20" s="76">
        <v>19466</v>
      </c>
      <c r="I20" s="77">
        <v>22265</v>
      </c>
      <c r="J20" s="78">
        <v>24736</v>
      </c>
      <c r="K20" s="82">
        <v>26337</v>
      </c>
      <c r="L20">
        <v>3701</v>
      </c>
      <c r="M20">
        <v>4212</v>
      </c>
      <c r="N20">
        <v>4662</v>
      </c>
      <c r="O20">
        <v>5386</v>
      </c>
      <c r="P20">
        <v>6051</v>
      </c>
      <c r="Q20">
        <v>7141</v>
      </c>
      <c r="R20">
        <v>8261</v>
      </c>
      <c r="S20">
        <v>9060</v>
      </c>
      <c r="T20">
        <v>9825</v>
      </c>
      <c r="U20">
        <v>11808</v>
      </c>
      <c r="V20">
        <v>12219</v>
      </c>
    </row>
    <row r="21" spans="2:22" ht="15" customHeight="1" x14ac:dyDescent="0.35">
      <c r="B21" s="8" t="s">
        <v>32</v>
      </c>
      <c r="C21" s="79">
        <v>35740</v>
      </c>
      <c r="D21" s="79">
        <v>37232</v>
      </c>
      <c r="E21" s="79">
        <v>38773</v>
      </c>
      <c r="F21" s="79">
        <v>40789</v>
      </c>
      <c r="G21" s="79">
        <v>42367</v>
      </c>
      <c r="H21" s="79">
        <v>47422</v>
      </c>
      <c r="I21" s="80">
        <v>53704</v>
      </c>
      <c r="J21" s="81">
        <v>58624</v>
      </c>
      <c r="K21" s="83">
        <v>61827</v>
      </c>
      <c r="L21">
        <v>12344</v>
      </c>
      <c r="M21">
        <v>13152</v>
      </c>
      <c r="N21">
        <v>15711</v>
      </c>
      <c r="O21">
        <v>16927</v>
      </c>
      <c r="P21">
        <v>17779</v>
      </c>
      <c r="Q21">
        <v>21562</v>
      </c>
      <c r="R21">
        <v>24459</v>
      </c>
      <c r="S21">
        <v>27002</v>
      </c>
      <c r="T21">
        <v>30323</v>
      </c>
      <c r="U21">
        <v>31411</v>
      </c>
      <c r="V21">
        <v>33769</v>
      </c>
    </row>
    <row r="22" spans="2:22" ht="15" customHeight="1" x14ac:dyDescent="0.35">
      <c r="B22" s="4" t="s">
        <v>33</v>
      </c>
      <c r="C22" s="76">
        <v>38495</v>
      </c>
      <c r="D22" s="76">
        <v>40170</v>
      </c>
      <c r="E22" s="76">
        <v>44223</v>
      </c>
      <c r="F22" s="76">
        <v>45174</v>
      </c>
      <c r="G22" s="76">
        <v>43408</v>
      </c>
      <c r="H22" s="76">
        <v>54360</v>
      </c>
      <c r="I22" s="77">
        <v>71847</v>
      </c>
      <c r="J22" s="78">
        <v>73053</v>
      </c>
      <c r="K22" s="82">
        <v>74008</v>
      </c>
      <c r="L22">
        <v>16057</v>
      </c>
      <c r="M22">
        <v>17693</v>
      </c>
      <c r="N22">
        <v>19245</v>
      </c>
      <c r="O22">
        <v>21621</v>
      </c>
      <c r="P22">
        <v>22103</v>
      </c>
      <c r="Q22">
        <v>28134</v>
      </c>
      <c r="R22">
        <v>31824</v>
      </c>
      <c r="S22">
        <v>35418</v>
      </c>
      <c r="T22">
        <v>38379</v>
      </c>
      <c r="U22">
        <v>40767</v>
      </c>
      <c r="V22">
        <v>39827</v>
      </c>
    </row>
    <row r="23" spans="2:22" ht="15" customHeight="1" x14ac:dyDescent="0.35">
      <c r="B23" s="8" t="s">
        <v>34</v>
      </c>
      <c r="C23" s="79">
        <v>17173</v>
      </c>
      <c r="D23" s="79">
        <v>18336</v>
      </c>
      <c r="E23" s="79">
        <v>19250</v>
      </c>
      <c r="F23" s="79">
        <v>20342</v>
      </c>
      <c r="G23" s="79">
        <v>20253</v>
      </c>
      <c r="H23" s="79">
        <v>22517</v>
      </c>
      <c r="I23" s="80">
        <v>28407</v>
      </c>
      <c r="J23" s="81">
        <v>30805</v>
      </c>
      <c r="K23" s="83">
        <v>32670</v>
      </c>
      <c r="L23">
        <v>5951</v>
      </c>
      <c r="M23">
        <v>6753</v>
      </c>
      <c r="N23">
        <v>7607</v>
      </c>
      <c r="O23">
        <v>8203</v>
      </c>
      <c r="P23">
        <v>8894</v>
      </c>
      <c r="Q23">
        <v>11422</v>
      </c>
      <c r="R23">
        <v>12816</v>
      </c>
      <c r="S23">
        <v>14377</v>
      </c>
      <c r="T23">
        <v>15269</v>
      </c>
      <c r="U23">
        <v>15849</v>
      </c>
      <c r="V23">
        <v>16632</v>
      </c>
    </row>
    <row r="24" spans="2:22" ht="15" customHeight="1" x14ac:dyDescent="0.35">
      <c r="B24" s="4" t="s">
        <v>35</v>
      </c>
      <c r="C24" s="76">
        <v>22078</v>
      </c>
      <c r="D24" s="76">
        <v>24098</v>
      </c>
      <c r="E24" s="76">
        <v>25554</v>
      </c>
      <c r="F24" s="76">
        <v>26497</v>
      </c>
      <c r="G24" s="76">
        <v>28722</v>
      </c>
      <c r="H24" s="76">
        <v>32045</v>
      </c>
      <c r="I24" s="77">
        <v>42244</v>
      </c>
      <c r="J24" s="78">
        <v>48353</v>
      </c>
      <c r="K24" s="82">
        <v>48766</v>
      </c>
      <c r="L24">
        <v>8396</v>
      </c>
      <c r="M24">
        <v>8389</v>
      </c>
      <c r="N24">
        <v>10320</v>
      </c>
      <c r="O24">
        <v>11977</v>
      </c>
      <c r="P24">
        <v>13455</v>
      </c>
      <c r="Q24">
        <v>15302</v>
      </c>
      <c r="R24">
        <v>17492</v>
      </c>
      <c r="S24">
        <v>18939</v>
      </c>
      <c r="T24">
        <v>18008</v>
      </c>
      <c r="U24">
        <v>19463</v>
      </c>
      <c r="V24">
        <v>20678</v>
      </c>
    </row>
    <row r="25" spans="2:22" ht="15" customHeight="1" x14ac:dyDescent="0.35">
      <c r="B25" s="8" t="s">
        <v>36</v>
      </c>
      <c r="C25" s="79">
        <v>21417</v>
      </c>
      <c r="D25" s="79">
        <v>23161</v>
      </c>
      <c r="E25" s="79">
        <v>23189</v>
      </c>
      <c r="F25" s="79">
        <v>23594</v>
      </c>
      <c r="G25" s="79">
        <v>25388</v>
      </c>
      <c r="H25" s="79">
        <v>27888</v>
      </c>
      <c r="I25" s="80">
        <v>33132</v>
      </c>
      <c r="J25" s="81">
        <v>39461</v>
      </c>
      <c r="K25" s="83">
        <v>39946</v>
      </c>
      <c r="L25">
        <v>8124</v>
      </c>
      <c r="M25">
        <v>9074</v>
      </c>
      <c r="N25">
        <v>10535</v>
      </c>
      <c r="O25">
        <v>11844</v>
      </c>
      <c r="P25">
        <v>13269</v>
      </c>
      <c r="Q25">
        <v>14738</v>
      </c>
      <c r="R25">
        <v>15872</v>
      </c>
      <c r="S25">
        <v>16424</v>
      </c>
      <c r="T25">
        <v>18462</v>
      </c>
      <c r="U25">
        <v>19608</v>
      </c>
      <c r="V25">
        <v>20256</v>
      </c>
    </row>
    <row r="26" spans="2:22" ht="15" customHeight="1" x14ac:dyDescent="0.35">
      <c r="B26" s="4" t="s">
        <v>37</v>
      </c>
      <c r="C26" s="76">
        <v>36219</v>
      </c>
      <c r="D26" s="76">
        <v>37382</v>
      </c>
      <c r="E26" s="76">
        <v>40363</v>
      </c>
      <c r="F26" s="76">
        <v>42406</v>
      </c>
      <c r="G26" s="76">
        <v>41228</v>
      </c>
      <c r="H26" s="76">
        <v>50694</v>
      </c>
      <c r="I26" s="77">
        <v>54547</v>
      </c>
      <c r="J26" s="78">
        <v>59736</v>
      </c>
      <c r="K26" s="82">
        <v>61199</v>
      </c>
      <c r="L26">
        <v>13298</v>
      </c>
      <c r="M26">
        <v>14305</v>
      </c>
      <c r="N26">
        <v>16689</v>
      </c>
      <c r="O26">
        <v>18378</v>
      </c>
      <c r="P26">
        <v>19778</v>
      </c>
      <c r="Q26">
        <v>22559</v>
      </c>
      <c r="R26">
        <v>24695</v>
      </c>
      <c r="S26">
        <v>26707</v>
      </c>
      <c r="T26">
        <v>29765</v>
      </c>
      <c r="U26">
        <v>31927</v>
      </c>
      <c r="V26">
        <v>33961</v>
      </c>
    </row>
    <row r="27" spans="2:22" ht="15" customHeight="1" x14ac:dyDescent="0.35">
      <c r="B27" s="8" t="s">
        <v>38</v>
      </c>
      <c r="C27" s="79">
        <v>37154</v>
      </c>
      <c r="D27" s="79">
        <v>39603</v>
      </c>
      <c r="E27" s="79">
        <v>42149</v>
      </c>
      <c r="F27" s="79">
        <v>45118</v>
      </c>
      <c r="G27" s="79">
        <v>48159</v>
      </c>
      <c r="H27" s="79">
        <v>58401</v>
      </c>
      <c r="I27" s="80">
        <v>61268</v>
      </c>
      <c r="J27" s="81">
        <v>67460</v>
      </c>
      <c r="K27" s="83">
        <v>69506</v>
      </c>
      <c r="L27">
        <v>14543</v>
      </c>
      <c r="M27">
        <v>15633</v>
      </c>
      <c r="N27">
        <v>17834</v>
      </c>
      <c r="O27">
        <v>20368</v>
      </c>
      <c r="P27">
        <v>21214</v>
      </c>
      <c r="Q27">
        <v>24602</v>
      </c>
      <c r="R27">
        <v>27555</v>
      </c>
      <c r="S27">
        <v>30143</v>
      </c>
      <c r="T27">
        <v>32334</v>
      </c>
      <c r="U27">
        <v>36056</v>
      </c>
      <c r="V27">
        <v>36526</v>
      </c>
    </row>
    <row r="28" spans="2:22" ht="15" customHeight="1" x14ac:dyDescent="0.35">
      <c r="B28" s="4" t="s">
        <v>39</v>
      </c>
      <c r="C28" s="76">
        <v>17159</v>
      </c>
      <c r="D28" s="76">
        <v>17793</v>
      </c>
      <c r="E28" s="76">
        <v>18443</v>
      </c>
      <c r="F28" s="76">
        <v>19441</v>
      </c>
      <c r="G28" s="76">
        <v>19583</v>
      </c>
      <c r="H28" s="76">
        <v>22177</v>
      </c>
      <c r="I28" s="77">
        <v>25960</v>
      </c>
      <c r="J28" s="78">
        <v>27519</v>
      </c>
      <c r="K28" s="82">
        <v>28579</v>
      </c>
      <c r="L28">
        <v>6823</v>
      </c>
      <c r="M28">
        <v>7559</v>
      </c>
      <c r="N28">
        <v>8712</v>
      </c>
      <c r="O28">
        <v>9779</v>
      </c>
      <c r="P28">
        <v>9787</v>
      </c>
      <c r="Q28">
        <v>12768</v>
      </c>
      <c r="R28">
        <v>13929</v>
      </c>
      <c r="S28">
        <v>15564</v>
      </c>
      <c r="T28">
        <v>16094</v>
      </c>
      <c r="U28">
        <v>16883</v>
      </c>
      <c r="V28">
        <v>17190</v>
      </c>
    </row>
    <row r="29" spans="2:22" ht="15" customHeight="1" x14ac:dyDescent="0.35">
      <c r="B29" s="8" t="s">
        <v>40</v>
      </c>
      <c r="C29" s="79">
        <v>45559</v>
      </c>
      <c r="D29" s="79">
        <v>47029</v>
      </c>
      <c r="E29" s="79">
        <v>48542</v>
      </c>
      <c r="F29" s="79">
        <v>51141</v>
      </c>
      <c r="G29" s="79">
        <v>51365</v>
      </c>
      <c r="H29" s="79">
        <v>58302</v>
      </c>
      <c r="I29" s="80">
        <v>70485</v>
      </c>
      <c r="J29" s="81">
        <v>77566</v>
      </c>
      <c r="K29" s="83">
        <v>82767</v>
      </c>
      <c r="L29">
        <v>17976</v>
      </c>
      <c r="M29">
        <v>19550</v>
      </c>
      <c r="N29">
        <v>22667</v>
      </c>
      <c r="O29">
        <v>24457</v>
      </c>
      <c r="P29">
        <v>26202</v>
      </c>
      <c r="Q29">
        <v>31377</v>
      </c>
      <c r="R29">
        <v>34546</v>
      </c>
      <c r="S29">
        <v>37207</v>
      </c>
      <c r="T29">
        <v>39283</v>
      </c>
      <c r="U29">
        <v>42198</v>
      </c>
      <c r="V29">
        <v>43695</v>
      </c>
    </row>
    <row r="30" spans="2:22" ht="15" customHeight="1" x14ac:dyDescent="0.35">
      <c r="B30" s="4" t="s">
        <v>41</v>
      </c>
      <c r="C30" s="76">
        <v>20605</v>
      </c>
      <c r="D30" s="76">
        <v>22002</v>
      </c>
      <c r="E30" s="76">
        <v>22933</v>
      </c>
      <c r="F30" s="76">
        <v>25022</v>
      </c>
      <c r="G30" s="76">
        <v>27448</v>
      </c>
      <c r="H30" s="76">
        <v>32215</v>
      </c>
      <c r="I30" s="77">
        <v>38512</v>
      </c>
      <c r="J30" s="78">
        <v>42553</v>
      </c>
      <c r="K30" s="82">
        <v>45296</v>
      </c>
      <c r="L30">
        <v>6939</v>
      </c>
      <c r="M30">
        <v>7209</v>
      </c>
      <c r="N30">
        <v>8921</v>
      </c>
      <c r="O30">
        <v>10222</v>
      </c>
      <c r="P30">
        <v>11277</v>
      </c>
      <c r="Q30">
        <v>11858</v>
      </c>
      <c r="R30">
        <v>13096</v>
      </c>
      <c r="S30">
        <v>14590</v>
      </c>
      <c r="T30">
        <v>16099</v>
      </c>
      <c r="U30">
        <v>17496</v>
      </c>
      <c r="V30">
        <v>19094</v>
      </c>
    </row>
    <row r="31" spans="2:22" ht="15.75" customHeight="1" x14ac:dyDescent="0.35">
      <c r="B31" s="11" t="s">
        <v>42</v>
      </c>
      <c r="C31" s="12">
        <v>30422</v>
      </c>
      <c r="D31" s="12">
        <v>31713</v>
      </c>
      <c r="E31" s="12">
        <v>33594</v>
      </c>
      <c r="F31" s="12">
        <v>35162</v>
      </c>
      <c r="G31" s="12">
        <v>35936</v>
      </c>
      <c r="H31" s="12">
        <v>42248</v>
      </c>
      <c r="I31" s="12">
        <v>49634</v>
      </c>
      <c r="J31" s="12">
        <v>53887</v>
      </c>
    </row>
    <row r="32" spans="2:22" ht="24" customHeight="1" x14ac:dyDescent="0.35">
      <c r="B32" s="190" t="s">
        <v>128</v>
      </c>
      <c r="C32" s="186"/>
      <c r="D32" s="186"/>
      <c r="E32" s="186"/>
      <c r="F32" s="186"/>
      <c r="G32" s="186"/>
      <c r="H32" s="186"/>
      <c r="I32" s="186"/>
      <c r="J32" s="186"/>
    </row>
  </sheetData>
  <mergeCells count="3">
    <mergeCell ref="B2:J2"/>
    <mergeCell ref="B1:J1"/>
    <mergeCell ref="B32:J3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K3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2" customWidth="1"/>
    <col min="2" max="2" width="6" customWidth="1"/>
    <col min="3" max="11" width="9" customWidth="1"/>
  </cols>
  <sheetData>
    <row r="1" spans="2:11" ht="21.75" customHeight="1" x14ac:dyDescent="0.35">
      <c r="B1" s="192" t="s">
        <v>129</v>
      </c>
      <c r="C1" s="186"/>
      <c r="D1" s="186"/>
      <c r="E1" s="186"/>
      <c r="F1" s="186"/>
      <c r="G1" s="186"/>
      <c r="H1" s="186"/>
      <c r="I1" s="186"/>
      <c r="J1" s="186"/>
      <c r="K1" s="186"/>
    </row>
    <row r="2" spans="2:11" ht="12.75" customHeight="1" x14ac:dyDescent="0.35">
      <c r="B2" s="191" t="s">
        <v>130</v>
      </c>
      <c r="C2" s="186"/>
      <c r="D2" s="186"/>
      <c r="E2" s="186"/>
      <c r="F2" s="186"/>
      <c r="G2" s="186"/>
      <c r="H2" s="186"/>
      <c r="I2" s="186"/>
      <c r="J2" s="186"/>
      <c r="K2" s="186"/>
    </row>
    <row r="3" spans="2:11" ht="19.5" customHeight="1" x14ac:dyDescent="0.35"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4" t="s">
        <v>7</v>
      </c>
      <c r="H3" s="84" t="s">
        <v>8</v>
      </c>
      <c r="I3" s="54" t="s">
        <v>9</v>
      </c>
      <c r="J3" s="41" t="s">
        <v>10</v>
      </c>
      <c r="K3" s="2" t="s">
        <v>11</v>
      </c>
    </row>
    <row r="4" spans="2:11" ht="15" customHeight="1" x14ac:dyDescent="0.35">
      <c r="B4" s="4" t="s">
        <v>15</v>
      </c>
      <c r="C4" s="85">
        <v>10.9</v>
      </c>
      <c r="D4" s="85">
        <v>14.2</v>
      </c>
      <c r="E4" s="85">
        <v>13.7</v>
      </c>
      <c r="F4" s="85">
        <v>14.7</v>
      </c>
      <c r="G4" s="86">
        <v>15.2</v>
      </c>
      <c r="H4" s="86">
        <v>15.3</v>
      </c>
      <c r="I4" s="87">
        <v>11.6</v>
      </c>
      <c r="J4" s="88">
        <v>7.9</v>
      </c>
      <c r="K4" s="85">
        <v>7.9</v>
      </c>
    </row>
    <row r="5" spans="2:11" ht="15" customHeight="1" x14ac:dyDescent="0.35">
      <c r="B5" s="8" t="s">
        <v>16</v>
      </c>
      <c r="C5" s="89">
        <v>14.2</v>
      </c>
      <c r="D5" s="89">
        <v>16.899999999999999</v>
      </c>
      <c r="E5" s="89">
        <v>17.3</v>
      </c>
      <c r="F5" s="89">
        <v>15.1</v>
      </c>
      <c r="G5" s="86">
        <v>19.100000000000001</v>
      </c>
      <c r="H5" s="86">
        <v>17.8</v>
      </c>
      <c r="I5" s="90">
        <v>11.2</v>
      </c>
      <c r="J5" s="91">
        <v>9.6</v>
      </c>
      <c r="K5" s="89">
        <v>8.6</v>
      </c>
    </row>
    <row r="6" spans="2:11" ht="15" customHeight="1" x14ac:dyDescent="0.35">
      <c r="B6" s="4" t="s">
        <v>17</v>
      </c>
      <c r="C6" s="85">
        <v>13.8</v>
      </c>
      <c r="D6" s="85">
        <v>15.9</v>
      </c>
      <c r="E6" s="85">
        <v>14</v>
      </c>
      <c r="F6" s="85">
        <v>14.2</v>
      </c>
      <c r="G6" s="86">
        <v>16</v>
      </c>
      <c r="H6" s="86">
        <v>15</v>
      </c>
      <c r="I6" s="87">
        <v>10.8</v>
      </c>
      <c r="J6" s="88">
        <v>9.6999999999999993</v>
      </c>
      <c r="K6" s="85">
        <v>8.8000000000000007</v>
      </c>
    </row>
    <row r="7" spans="2:11" ht="15" customHeight="1" x14ac:dyDescent="0.35">
      <c r="B7" s="8" t="s">
        <v>18</v>
      </c>
      <c r="C7" s="89">
        <v>15.8</v>
      </c>
      <c r="D7" s="89">
        <v>18.100000000000001</v>
      </c>
      <c r="E7" s="89">
        <v>20.399999999999999</v>
      </c>
      <c r="F7" s="89">
        <v>17.600000000000001</v>
      </c>
      <c r="G7" s="86">
        <v>15</v>
      </c>
      <c r="H7" s="86">
        <v>16.600000000000001</v>
      </c>
      <c r="I7" s="90">
        <v>12.5</v>
      </c>
      <c r="J7" s="91">
        <v>12.8</v>
      </c>
      <c r="K7" s="89">
        <v>9.3000000000000007</v>
      </c>
    </row>
    <row r="8" spans="2:11" ht="15" customHeight="1" x14ac:dyDescent="0.35">
      <c r="B8" s="4" t="s">
        <v>19</v>
      </c>
      <c r="C8" s="85">
        <v>16</v>
      </c>
      <c r="D8" s="85">
        <v>17.100000000000001</v>
      </c>
      <c r="E8" s="85">
        <v>17.2</v>
      </c>
      <c r="F8" s="85">
        <v>17.399999999999999</v>
      </c>
      <c r="G8" s="86">
        <v>20.2</v>
      </c>
      <c r="H8" s="86">
        <v>19.5</v>
      </c>
      <c r="I8" s="87">
        <v>15.3</v>
      </c>
      <c r="J8" s="88">
        <v>13.4</v>
      </c>
      <c r="K8" s="85">
        <v>11.2</v>
      </c>
    </row>
    <row r="9" spans="2:11" ht="15" customHeight="1" x14ac:dyDescent="0.35">
      <c r="B9" s="8" t="s">
        <v>20</v>
      </c>
      <c r="C9" s="89">
        <v>12.1</v>
      </c>
      <c r="D9" s="89">
        <v>12.7</v>
      </c>
      <c r="E9" s="89">
        <v>11.4</v>
      </c>
      <c r="F9" s="89">
        <v>11.1</v>
      </c>
      <c r="G9" s="86">
        <v>13.3</v>
      </c>
      <c r="H9" s="86">
        <v>13.4</v>
      </c>
      <c r="I9" s="90">
        <v>9.5</v>
      </c>
      <c r="J9" s="91">
        <v>9.1</v>
      </c>
      <c r="K9" s="89">
        <v>7.3</v>
      </c>
    </row>
    <row r="10" spans="2:11" ht="15" customHeight="1" x14ac:dyDescent="0.35">
      <c r="B10" s="4" t="s">
        <v>21</v>
      </c>
      <c r="C10" s="85">
        <v>12.1</v>
      </c>
      <c r="D10" s="85">
        <v>13.3</v>
      </c>
      <c r="E10" s="85">
        <v>12.8</v>
      </c>
      <c r="F10" s="85">
        <v>13.4</v>
      </c>
      <c r="G10" s="86">
        <v>14.8</v>
      </c>
      <c r="H10" s="86">
        <v>14</v>
      </c>
      <c r="I10" s="87">
        <v>11.4</v>
      </c>
      <c r="J10" s="88">
        <v>9.8000000000000007</v>
      </c>
      <c r="K10" s="85">
        <v>9.1999999999999993</v>
      </c>
    </row>
    <row r="11" spans="2:11" ht="15" customHeight="1" x14ac:dyDescent="0.35">
      <c r="B11" s="8" t="s">
        <v>22</v>
      </c>
      <c r="C11" s="89">
        <v>12.4</v>
      </c>
      <c r="D11" s="89">
        <v>13.3</v>
      </c>
      <c r="E11" s="89">
        <v>11.7</v>
      </c>
      <c r="F11" s="89">
        <v>11.2</v>
      </c>
      <c r="G11" s="86">
        <v>12.9</v>
      </c>
      <c r="H11" s="86">
        <v>11.2</v>
      </c>
      <c r="I11" s="90">
        <v>8</v>
      </c>
      <c r="J11" s="91">
        <v>6.1</v>
      </c>
      <c r="K11" s="89">
        <v>4.7</v>
      </c>
    </row>
    <row r="12" spans="2:11" ht="15" customHeight="1" x14ac:dyDescent="0.35">
      <c r="B12" s="4" t="s">
        <v>23</v>
      </c>
      <c r="C12" s="85">
        <v>10.7</v>
      </c>
      <c r="D12" s="85">
        <v>10.7</v>
      </c>
      <c r="E12" s="85">
        <v>9.3000000000000007</v>
      </c>
      <c r="F12" s="85">
        <v>10.8</v>
      </c>
      <c r="G12" s="86">
        <v>12.8</v>
      </c>
      <c r="H12" s="86">
        <v>11.3</v>
      </c>
      <c r="I12" s="87">
        <v>7.2</v>
      </c>
      <c r="J12" s="88">
        <v>6.2</v>
      </c>
      <c r="K12" s="85">
        <v>5.4</v>
      </c>
    </row>
    <row r="13" spans="2:11" ht="15" customHeight="1" x14ac:dyDescent="0.35">
      <c r="B13" s="8" t="s">
        <v>24</v>
      </c>
      <c r="C13" s="89">
        <v>12.1</v>
      </c>
      <c r="D13" s="89">
        <v>14.5</v>
      </c>
      <c r="E13" s="89">
        <v>14.7</v>
      </c>
      <c r="F13" s="89">
        <v>14.7</v>
      </c>
      <c r="G13" s="86">
        <v>16.399999999999999</v>
      </c>
      <c r="H13" s="86">
        <v>16.100000000000001</v>
      </c>
      <c r="I13" s="90">
        <v>10.5</v>
      </c>
      <c r="J13" s="91">
        <v>8.1999999999999993</v>
      </c>
      <c r="K13" s="89">
        <v>7.7</v>
      </c>
    </row>
    <row r="14" spans="2:11" ht="15" customHeight="1" x14ac:dyDescent="0.35">
      <c r="B14" s="4" t="s">
        <v>25</v>
      </c>
      <c r="C14" s="85">
        <v>11.2</v>
      </c>
      <c r="D14" s="85">
        <v>12.2</v>
      </c>
      <c r="E14" s="85">
        <v>10.8</v>
      </c>
      <c r="F14" s="85">
        <v>10.1</v>
      </c>
      <c r="G14" s="86">
        <v>12.8</v>
      </c>
      <c r="H14" s="86">
        <v>11.7</v>
      </c>
      <c r="I14" s="87">
        <v>7.2</v>
      </c>
      <c r="J14" s="88">
        <v>6.1</v>
      </c>
      <c r="K14" s="85">
        <v>5.2</v>
      </c>
    </row>
    <row r="15" spans="2:11" ht="15" customHeight="1" x14ac:dyDescent="0.35">
      <c r="B15" s="8" t="s">
        <v>26</v>
      </c>
      <c r="C15" s="89">
        <v>7.7</v>
      </c>
      <c r="D15" s="89">
        <v>8.6</v>
      </c>
      <c r="E15" s="89">
        <v>7.6</v>
      </c>
      <c r="F15" s="89">
        <v>8.1</v>
      </c>
      <c r="G15" s="86">
        <v>10.199999999999999</v>
      </c>
      <c r="H15" s="86">
        <v>8.6999999999999993</v>
      </c>
      <c r="I15" s="90">
        <v>5</v>
      </c>
      <c r="J15" s="91">
        <v>4.2</v>
      </c>
      <c r="K15" s="89">
        <v>4</v>
      </c>
    </row>
    <row r="16" spans="2:11" ht="15" customHeight="1" x14ac:dyDescent="0.35">
      <c r="B16" s="4" t="s">
        <v>27</v>
      </c>
      <c r="C16" s="85">
        <v>9.5</v>
      </c>
      <c r="D16" s="85">
        <v>9.1</v>
      </c>
      <c r="E16" s="85">
        <v>8</v>
      </c>
      <c r="F16" s="85">
        <v>8</v>
      </c>
      <c r="G16" s="86">
        <v>9.9</v>
      </c>
      <c r="H16" s="86">
        <v>8</v>
      </c>
      <c r="I16" s="87">
        <v>4.3</v>
      </c>
      <c r="J16" s="88">
        <v>3.5</v>
      </c>
      <c r="K16" s="85">
        <v>2.9</v>
      </c>
    </row>
    <row r="17" spans="2:11" ht="15" customHeight="1" x14ac:dyDescent="0.35">
      <c r="B17" s="8" t="s">
        <v>28</v>
      </c>
      <c r="C17" s="89">
        <v>11.2</v>
      </c>
      <c r="D17" s="89">
        <v>11.8</v>
      </c>
      <c r="E17" s="89">
        <v>11.2</v>
      </c>
      <c r="F17" s="89">
        <v>10.8</v>
      </c>
      <c r="G17" s="86">
        <v>10.5</v>
      </c>
      <c r="H17" s="86">
        <v>12.5</v>
      </c>
      <c r="I17" s="90">
        <v>9.6</v>
      </c>
      <c r="J17" s="91">
        <v>8.5</v>
      </c>
      <c r="K17" s="89">
        <v>7.5</v>
      </c>
    </row>
    <row r="18" spans="2:11" ht="15" customHeight="1" x14ac:dyDescent="0.35">
      <c r="B18" s="4" t="s">
        <v>29</v>
      </c>
      <c r="C18" s="85">
        <v>11.6</v>
      </c>
      <c r="D18" s="85">
        <v>11.5</v>
      </c>
      <c r="E18" s="85">
        <v>11.3</v>
      </c>
      <c r="F18" s="85">
        <v>11.8</v>
      </c>
      <c r="G18" s="86">
        <v>15</v>
      </c>
      <c r="H18" s="86">
        <v>14.8</v>
      </c>
      <c r="I18" s="87">
        <v>12</v>
      </c>
      <c r="J18" s="88">
        <v>10.1</v>
      </c>
      <c r="K18" s="85">
        <v>8.6999999999999993</v>
      </c>
    </row>
    <row r="19" spans="2:11" ht="15" customHeight="1" x14ac:dyDescent="0.35">
      <c r="B19" s="8" t="s">
        <v>30</v>
      </c>
      <c r="C19" s="89">
        <v>14.8</v>
      </c>
      <c r="D19" s="89">
        <v>17.899999999999999</v>
      </c>
      <c r="E19" s="89">
        <v>16.899999999999999</v>
      </c>
      <c r="F19" s="89">
        <v>15.7</v>
      </c>
      <c r="G19" s="86">
        <v>17.2</v>
      </c>
      <c r="H19" s="86">
        <v>19.899999999999999</v>
      </c>
      <c r="I19" s="90">
        <v>14.2</v>
      </c>
      <c r="J19" s="91">
        <v>13.4</v>
      </c>
      <c r="K19" s="89">
        <v>11.1</v>
      </c>
    </row>
    <row r="20" spans="2:11" ht="15" customHeight="1" x14ac:dyDescent="0.35">
      <c r="B20" s="4" t="s">
        <v>31</v>
      </c>
      <c r="C20" s="85">
        <v>9.6</v>
      </c>
      <c r="D20" s="85">
        <v>13</v>
      </c>
      <c r="E20" s="85">
        <v>12.9</v>
      </c>
      <c r="F20" s="85">
        <v>13</v>
      </c>
      <c r="G20" s="86">
        <v>13.3</v>
      </c>
      <c r="H20" s="86">
        <v>13.6</v>
      </c>
      <c r="I20" s="87">
        <v>10.199999999999999</v>
      </c>
      <c r="J20" s="88">
        <v>10.3</v>
      </c>
      <c r="K20" s="85">
        <v>8.5</v>
      </c>
    </row>
    <row r="21" spans="2:11" ht="15" customHeight="1" x14ac:dyDescent="0.35">
      <c r="B21" s="8" t="s">
        <v>32</v>
      </c>
      <c r="C21" s="89">
        <v>8.3000000000000007</v>
      </c>
      <c r="D21" s="89">
        <v>9</v>
      </c>
      <c r="E21" s="89">
        <v>8.8000000000000007</v>
      </c>
      <c r="F21" s="89">
        <v>8.6999999999999993</v>
      </c>
      <c r="G21" s="86">
        <v>9.6</v>
      </c>
      <c r="H21" s="86">
        <v>8.4</v>
      </c>
      <c r="I21" s="90">
        <v>5.8</v>
      </c>
      <c r="J21" s="91">
        <v>4.9000000000000004</v>
      </c>
      <c r="K21" s="89">
        <v>4</v>
      </c>
    </row>
    <row r="22" spans="2:11" ht="15" customHeight="1" x14ac:dyDescent="0.35">
      <c r="B22" s="4" t="s">
        <v>33</v>
      </c>
      <c r="C22" s="85">
        <v>11.9</v>
      </c>
      <c r="D22" s="85">
        <v>15.1</v>
      </c>
      <c r="E22" s="85">
        <v>15.1</v>
      </c>
      <c r="F22" s="85">
        <v>14.8</v>
      </c>
      <c r="G22" s="86">
        <v>17.600000000000001</v>
      </c>
      <c r="H22" s="86">
        <v>16.899999999999999</v>
      </c>
      <c r="I22" s="87">
        <v>12.8</v>
      </c>
      <c r="J22" s="88">
        <v>11</v>
      </c>
      <c r="K22" s="85">
        <v>9</v>
      </c>
    </row>
    <row r="23" spans="2:11" ht="15" customHeight="1" x14ac:dyDescent="0.35">
      <c r="B23" s="8" t="s">
        <v>34</v>
      </c>
      <c r="C23" s="89">
        <v>14.3</v>
      </c>
      <c r="D23" s="89">
        <v>14.7</v>
      </c>
      <c r="E23" s="89">
        <v>13.7</v>
      </c>
      <c r="F23" s="89">
        <v>13.3</v>
      </c>
      <c r="G23" s="86">
        <v>16.100000000000001</v>
      </c>
      <c r="H23" s="86">
        <v>14.9</v>
      </c>
      <c r="I23" s="90">
        <v>11.7</v>
      </c>
      <c r="J23" s="91">
        <v>10.3</v>
      </c>
      <c r="K23" s="89">
        <v>9.1</v>
      </c>
    </row>
    <row r="24" spans="2:11" ht="15" customHeight="1" x14ac:dyDescent="0.35">
      <c r="B24" s="4" t="s">
        <v>35</v>
      </c>
      <c r="C24" s="85">
        <v>8</v>
      </c>
      <c r="D24" s="85">
        <v>8.1999999999999993</v>
      </c>
      <c r="E24" s="85">
        <v>9.1999999999999993</v>
      </c>
      <c r="F24" s="85">
        <v>8.1</v>
      </c>
      <c r="G24" s="86">
        <v>10.6</v>
      </c>
      <c r="H24" s="86">
        <v>8.9</v>
      </c>
      <c r="I24" s="87">
        <v>4.9000000000000004</v>
      </c>
      <c r="J24" s="88">
        <v>2.9</v>
      </c>
      <c r="K24" s="85">
        <v>2.9</v>
      </c>
    </row>
    <row r="25" spans="2:11" ht="15" customHeight="1" x14ac:dyDescent="0.35">
      <c r="B25" s="8" t="s">
        <v>36</v>
      </c>
      <c r="C25" s="89">
        <v>8.9</v>
      </c>
      <c r="D25" s="89">
        <v>10</v>
      </c>
      <c r="E25" s="89">
        <v>12.4</v>
      </c>
      <c r="F25" s="89">
        <v>15.1</v>
      </c>
      <c r="G25" s="86">
        <v>16.8</v>
      </c>
      <c r="H25" s="86">
        <v>12.1</v>
      </c>
      <c r="I25" s="90">
        <v>6.1</v>
      </c>
      <c r="J25" s="91">
        <v>6.7</v>
      </c>
      <c r="K25" s="89">
        <v>6.8</v>
      </c>
    </row>
    <row r="26" spans="2:11" ht="15" customHeight="1" x14ac:dyDescent="0.35">
      <c r="B26" s="4" t="s">
        <v>37</v>
      </c>
      <c r="C26" s="85">
        <v>8.3000000000000007</v>
      </c>
      <c r="D26" s="85">
        <v>8.5</v>
      </c>
      <c r="E26" s="85">
        <v>8.1999999999999993</v>
      </c>
      <c r="F26" s="85">
        <v>8.1999999999999993</v>
      </c>
      <c r="G26" s="86">
        <v>9.3000000000000007</v>
      </c>
      <c r="H26" s="86">
        <v>8.6999999999999993</v>
      </c>
      <c r="I26" s="87">
        <v>6.1</v>
      </c>
      <c r="J26" s="88">
        <v>5.3</v>
      </c>
      <c r="K26" s="85">
        <v>5.0999999999999996</v>
      </c>
    </row>
    <row r="27" spans="2:11" ht="15" customHeight="1" x14ac:dyDescent="0.35">
      <c r="B27" s="8" t="s">
        <v>38</v>
      </c>
      <c r="C27" s="89">
        <v>6.4</v>
      </c>
      <c r="D27" s="89">
        <v>7.2</v>
      </c>
      <c r="E27" s="89">
        <v>6.5</v>
      </c>
      <c r="F27" s="89">
        <v>6.2</v>
      </c>
      <c r="G27" s="86">
        <v>6.3</v>
      </c>
      <c r="H27" s="86">
        <v>5.5</v>
      </c>
      <c r="I27" s="90">
        <v>3.9</v>
      </c>
      <c r="J27" s="91">
        <v>3.5</v>
      </c>
      <c r="K27" s="89">
        <v>3.1</v>
      </c>
    </row>
    <row r="28" spans="2:11" ht="15" customHeight="1" x14ac:dyDescent="0.35">
      <c r="B28" s="4" t="s">
        <v>39</v>
      </c>
      <c r="C28" s="85">
        <v>13.6</v>
      </c>
      <c r="D28" s="85">
        <v>14.6</v>
      </c>
      <c r="E28" s="85">
        <v>16.8</v>
      </c>
      <c r="F28" s="85">
        <v>15.2</v>
      </c>
      <c r="G28" s="86">
        <v>18.899999999999999</v>
      </c>
      <c r="H28" s="86">
        <v>18</v>
      </c>
      <c r="I28" s="87">
        <v>13.1</v>
      </c>
      <c r="J28" s="88">
        <v>10.9</v>
      </c>
      <c r="K28" s="85">
        <v>8.9</v>
      </c>
    </row>
    <row r="29" spans="2:11" ht="15" customHeight="1" x14ac:dyDescent="0.35">
      <c r="B29" s="8" t="s">
        <v>40</v>
      </c>
      <c r="C29" s="89">
        <v>12.5</v>
      </c>
      <c r="D29" s="89">
        <v>13.5</v>
      </c>
      <c r="E29" s="89">
        <v>13.4</v>
      </c>
      <c r="F29" s="89">
        <v>12.6</v>
      </c>
      <c r="G29" s="86">
        <v>14.1</v>
      </c>
      <c r="H29" s="86">
        <v>13.5</v>
      </c>
      <c r="I29" s="90">
        <v>9.1</v>
      </c>
      <c r="J29" s="91">
        <v>7.6</v>
      </c>
      <c r="K29" s="89">
        <v>6.5</v>
      </c>
    </row>
    <row r="30" spans="2:11" ht="15" customHeight="1" x14ac:dyDescent="0.35">
      <c r="B30" s="4" t="s">
        <v>41</v>
      </c>
      <c r="C30" s="85">
        <v>11.5</v>
      </c>
      <c r="D30" s="85">
        <v>11.7</v>
      </c>
      <c r="E30" s="85">
        <v>10.7</v>
      </c>
      <c r="F30" s="85">
        <v>11</v>
      </c>
      <c r="G30" s="86">
        <v>12.1</v>
      </c>
      <c r="H30" s="86">
        <v>13.4</v>
      </c>
      <c r="I30" s="87">
        <v>6.4</v>
      </c>
      <c r="J30" s="88">
        <v>6.1</v>
      </c>
      <c r="K30" s="85">
        <v>5.4</v>
      </c>
    </row>
    <row r="31" spans="2:11" ht="15.75" customHeight="1" x14ac:dyDescent="0.35">
      <c r="B31" s="11" t="s">
        <v>42</v>
      </c>
      <c r="C31" s="61">
        <v>11.5</v>
      </c>
      <c r="D31" s="61">
        <v>12.7</v>
      </c>
      <c r="E31" s="61">
        <v>12.4</v>
      </c>
      <c r="F31" s="61">
        <v>12.3</v>
      </c>
      <c r="G31" s="61">
        <v>13.9</v>
      </c>
      <c r="H31" s="61">
        <v>13.3</v>
      </c>
      <c r="I31" s="61">
        <v>9.3000000000000007</v>
      </c>
      <c r="J31" s="61">
        <v>8.1</v>
      </c>
      <c r="K31" s="61">
        <v>7</v>
      </c>
    </row>
    <row r="32" spans="2:11" ht="24" customHeight="1" x14ac:dyDescent="0.35">
      <c r="B32" s="190" t="s">
        <v>131</v>
      </c>
      <c r="C32" s="186"/>
      <c r="D32" s="186"/>
      <c r="E32" s="186"/>
      <c r="F32" s="186"/>
      <c r="G32" s="186"/>
      <c r="H32" s="186"/>
      <c r="I32" s="186"/>
      <c r="J32" s="186"/>
      <c r="K32" s="186"/>
    </row>
  </sheetData>
  <mergeCells count="3">
    <mergeCell ref="B2:K2"/>
    <mergeCell ref="B1:K1"/>
    <mergeCell ref="B32:K3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O544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6328125" defaultRowHeight="14.5" x14ac:dyDescent="0.35"/>
  <cols>
    <col min="1" max="1" width="2" customWidth="1"/>
    <col min="2" max="3" width="6" customWidth="1"/>
    <col min="4" max="5" width="12" customWidth="1"/>
    <col min="6" max="7" width="10" customWidth="1"/>
    <col min="8" max="8" width="14" customWidth="1"/>
    <col min="9" max="9" width="10" customWidth="1"/>
    <col min="10" max="10" width="12" customWidth="1"/>
    <col min="11" max="11" width="10" customWidth="1"/>
    <col min="12" max="13" width="12" customWidth="1"/>
  </cols>
  <sheetData>
    <row r="1" spans="2:15" ht="21.75" customHeight="1" x14ac:dyDescent="0.35">
      <c r="B1" s="192" t="s">
        <v>132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</row>
    <row r="2" spans="2:15" ht="12.75" customHeight="1" x14ac:dyDescent="0.35">
      <c r="B2" s="191" t="s">
        <v>133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</row>
    <row r="3" spans="2:15" ht="42" customHeight="1" x14ac:dyDescent="0.35">
      <c r="B3" s="92" t="s">
        <v>2</v>
      </c>
      <c r="C3" s="92" t="s">
        <v>45</v>
      </c>
      <c r="D3" s="3" t="s">
        <v>134</v>
      </c>
      <c r="E3" s="93" t="s">
        <v>135</v>
      </c>
      <c r="F3" s="3" t="s">
        <v>136</v>
      </c>
      <c r="G3" s="93" t="s">
        <v>137</v>
      </c>
      <c r="H3" s="94" t="s">
        <v>138</v>
      </c>
      <c r="I3" s="94" t="s">
        <v>139</v>
      </c>
      <c r="J3" s="95" t="s">
        <v>140</v>
      </c>
      <c r="K3" s="96" t="s">
        <v>141</v>
      </c>
      <c r="L3" s="95" t="s">
        <v>142</v>
      </c>
      <c r="M3" s="55" t="s">
        <v>143</v>
      </c>
      <c r="N3" t="s">
        <v>144</v>
      </c>
      <c r="O3" t="s">
        <v>145</v>
      </c>
    </row>
    <row r="4" spans="2:15" ht="13.5" customHeight="1" x14ac:dyDescent="0.35">
      <c r="B4" s="97" t="s">
        <v>15</v>
      </c>
      <c r="C4" s="97">
        <v>2005</v>
      </c>
      <c r="D4" s="98">
        <v>5.38</v>
      </c>
      <c r="E4" s="99">
        <v>0</v>
      </c>
      <c r="F4" s="100">
        <v>3.5834999999999999</v>
      </c>
      <c r="G4" s="101"/>
      <c r="H4" s="77">
        <v>6694</v>
      </c>
      <c r="I4" s="102">
        <v>8.8089999999999993</v>
      </c>
      <c r="J4" s="85">
        <v>11.33</v>
      </c>
      <c r="K4" s="103">
        <v>0</v>
      </c>
      <c r="L4" s="103">
        <v>0</v>
      </c>
      <c r="M4" s="104">
        <v>72.89</v>
      </c>
      <c r="N4">
        <v>0</v>
      </c>
      <c r="O4">
        <v>669736</v>
      </c>
    </row>
    <row r="5" spans="2:15" ht="13.5" customHeight="1" x14ac:dyDescent="0.35">
      <c r="B5" s="105" t="s">
        <v>15</v>
      </c>
      <c r="C5" s="105">
        <v>2006</v>
      </c>
      <c r="D5" s="106">
        <v>6.7</v>
      </c>
      <c r="E5" s="107">
        <v>0.15</v>
      </c>
      <c r="F5" s="108">
        <v>3.8285999999999998</v>
      </c>
      <c r="G5" s="109">
        <v>0</v>
      </c>
      <c r="H5" s="110">
        <v>7041</v>
      </c>
      <c r="I5" s="111">
        <v>8.8595000000000006</v>
      </c>
      <c r="J5" s="89">
        <v>8.58</v>
      </c>
      <c r="K5" s="112">
        <v>0</v>
      </c>
      <c r="L5" s="112">
        <v>0</v>
      </c>
      <c r="M5" s="113">
        <v>72.89</v>
      </c>
      <c r="N5">
        <v>1</v>
      </c>
      <c r="O5">
        <v>686652</v>
      </c>
    </row>
    <row r="6" spans="2:15" ht="13.5" customHeight="1" x14ac:dyDescent="0.35">
      <c r="B6" s="97" t="s">
        <v>15</v>
      </c>
      <c r="C6" s="97">
        <v>2007</v>
      </c>
      <c r="D6" s="98">
        <v>7.48</v>
      </c>
      <c r="E6" s="99">
        <v>0</v>
      </c>
      <c r="F6" s="100">
        <v>3.8917999999999999</v>
      </c>
      <c r="G6" s="101"/>
      <c r="H6" s="77">
        <v>8790</v>
      </c>
      <c r="I6" s="102">
        <v>9.0814000000000004</v>
      </c>
      <c r="J6" s="85">
        <v>5.79</v>
      </c>
      <c r="K6" s="103">
        <v>0</v>
      </c>
      <c r="L6" s="103">
        <v>0</v>
      </c>
      <c r="M6" s="104">
        <v>72.89</v>
      </c>
      <c r="N6">
        <v>1</v>
      </c>
      <c r="O6">
        <v>655385</v>
      </c>
    </row>
    <row r="7" spans="2:15" ht="13.5" customHeight="1" x14ac:dyDescent="0.35">
      <c r="B7" s="105" t="s">
        <v>15</v>
      </c>
      <c r="C7" s="105">
        <v>2008</v>
      </c>
      <c r="D7" s="106">
        <v>5.73</v>
      </c>
      <c r="E7" s="107">
        <v>0</v>
      </c>
      <c r="F7" s="108">
        <v>3.6636000000000002</v>
      </c>
      <c r="G7" s="109"/>
      <c r="H7" s="110">
        <v>9896</v>
      </c>
      <c r="I7" s="111">
        <v>9.1998999999999995</v>
      </c>
      <c r="J7" s="89">
        <v>7.74</v>
      </c>
      <c r="K7" s="112">
        <v>0</v>
      </c>
      <c r="L7" s="112">
        <v>0</v>
      </c>
      <c r="M7" s="113">
        <v>72.89</v>
      </c>
      <c r="N7">
        <v>1</v>
      </c>
      <c r="O7">
        <v>680075</v>
      </c>
    </row>
    <row r="8" spans="2:15" ht="13.5" customHeight="1" x14ac:dyDescent="0.35">
      <c r="B8" s="97" t="s">
        <v>15</v>
      </c>
      <c r="C8" s="97">
        <v>2009</v>
      </c>
      <c r="D8" s="98">
        <v>8.68</v>
      </c>
      <c r="E8" s="99">
        <v>0</v>
      </c>
      <c r="F8" s="100">
        <v>4.0942999999999996</v>
      </c>
      <c r="G8" s="101"/>
      <c r="H8" s="77">
        <v>10687</v>
      </c>
      <c r="I8" s="102">
        <v>9.2767999999999997</v>
      </c>
      <c r="J8" s="86">
        <v>7.56</v>
      </c>
      <c r="K8" s="103">
        <v>0</v>
      </c>
      <c r="L8" s="114">
        <v>0</v>
      </c>
      <c r="M8" s="104">
        <v>72.89</v>
      </c>
      <c r="N8">
        <v>1</v>
      </c>
      <c r="O8">
        <v>691132</v>
      </c>
    </row>
    <row r="9" spans="2:15" ht="13.5" customHeight="1" x14ac:dyDescent="0.35">
      <c r="B9" s="105" t="s">
        <v>15</v>
      </c>
      <c r="C9" s="105">
        <v>2010</v>
      </c>
      <c r="D9" s="106">
        <v>8.4499999999999993</v>
      </c>
      <c r="E9" s="107">
        <v>0</v>
      </c>
      <c r="F9" s="108">
        <v>4.1271000000000004</v>
      </c>
      <c r="G9" s="109"/>
      <c r="H9" s="110">
        <v>11372</v>
      </c>
      <c r="I9" s="111">
        <v>9.3389000000000006</v>
      </c>
      <c r="J9" s="86">
        <v>6.46</v>
      </c>
      <c r="K9" s="112">
        <v>0</v>
      </c>
      <c r="L9" s="114">
        <v>0</v>
      </c>
      <c r="M9" s="113">
        <v>72.89</v>
      </c>
      <c r="N9">
        <v>1</v>
      </c>
      <c r="O9">
        <v>733559</v>
      </c>
    </row>
    <row r="10" spans="2:15" ht="13.5" customHeight="1" x14ac:dyDescent="0.35">
      <c r="B10" s="97" t="s">
        <v>15</v>
      </c>
      <c r="C10" s="97">
        <v>2011</v>
      </c>
      <c r="D10" s="98">
        <v>6.7</v>
      </c>
      <c r="E10" s="99">
        <v>0</v>
      </c>
      <c r="F10" s="100">
        <v>3.9119999999999999</v>
      </c>
      <c r="G10" s="101"/>
      <c r="H10" s="77">
        <v>11990</v>
      </c>
      <c r="I10" s="102">
        <v>9.3917999999999999</v>
      </c>
      <c r="J10" s="85">
        <v>5.36</v>
      </c>
      <c r="K10" s="103">
        <v>0</v>
      </c>
      <c r="L10" s="103">
        <v>0</v>
      </c>
      <c r="M10" s="104">
        <v>72.89</v>
      </c>
      <c r="N10">
        <v>1</v>
      </c>
      <c r="O10">
        <v>746386</v>
      </c>
    </row>
    <row r="11" spans="2:15" ht="13.5" customHeight="1" x14ac:dyDescent="0.35">
      <c r="B11" s="105" t="s">
        <v>15</v>
      </c>
      <c r="C11" s="105">
        <v>2012</v>
      </c>
      <c r="D11" s="106">
        <v>11.2</v>
      </c>
      <c r="E11" s="107">
        <v>0</v>
      </c>
      <c r="F11" s="108">
        <v>4.4427000000000003</v>
      </c>
      <c r="G11" s="109"/>
      <c r="H11" s="110">
        <v>13361</v>
      </c>
      <c r="I11" s="111">
        <v>9.5000999999999998</v>
      </c>
      <c r="J11" s="89">
        <v>8</v>
      </c>
      <c r="K11" s="115">
        <v>0</v>
      </c>
      <c r="L11" s="112">
        <v>0</v>
      </c>
      <c r="M11" s="113">
        <v>72.89</v>
      </c>
      <c r="N11">
        <v>1</v>
      </c>
      <c r="O11">
        <v>758786</v>
      </c>
    </row>
    <row r="12" spans="2:15" ht="13.5" customHeight="1" x14ac:dyDescent="0.35">
      <c r="B12" s="97" t="s">
        <v>15</v>
      </c>
      <c r="C12" s="97">
        <v>2013</v>
      </c>
      <c r="D12" s="98">
        <v>12.49</v>
      </c>
      <c r="E12" s="99">
        <v>0.26</v>
      </c>
      <c r="F12" s="100">
        <v>4.5747</v>
      </c>
      <c r="G12" s="101">
        <v>0.69310000000000005</v>
      </c>
      <c r="H12" s="77">
        <v>14777</v>
      </c>
      <c r="I12" s="102">
        <v>9.6007999999999996</v>
      </c>
      <c r="J12" s="85">
        <v>9.56</v>
      </c>
      <c r="K12" s="103">
        <v>0</v>
      </c>
      <c r="L12" s="103">
        <v>0</v>
      </c>
      <c r="M12" s="104">
        <v>72.89</v>
      </c>
      <c r="N12">
        <v>3</v>
      </c>
      <c r="O12">
        <v>776463</v>
      </c>
    </row>
    <row r="13" spans="2:15" ht="13.5" customHeight="1" x14ac:dyDescent="0.35">
      <c r="B13" s="105" t="s">
        <v>15</v>
      </c>
      <c r="C13" s="105">
        <v>2014</v>
      </c>
      <c r="D13" s="106">
        <v>14.68</v>
      </c>
      <c r="E13" s="107">
        <v>0</v>
      </c>
      <c r="F13" s="108">
        <v>4.7535999999999996</v>
      </c>
      <c r="G13" s="109"/>
      <c r="H13" s="110">
        <v>17034</v>
      </c>
      <c r="I13" s="111">
        <v>9.7430000000000003</v>
      </c>
      <c r="J13" s="89">
        <v>9.81</v>
      </c>
      <c r="K13" s="112">
        <v>0</v>
      </c>
      <c r="L13" s="112">
        <v>0</v>
      </c>
      <c r="M13" s="113">
        <v>72.89</v>
      </c>
      <c r="N13">
        <v>3</v>
      </c>
      <c r="O13">
        <v>790101</v>
      </c>
    </row>
    <row r="14" spans="2:15" ht="13.5" customHeight="1" x14ac:dyDescent="0.35">
      <c r="B14" s="97" t="s">
        <v>15</v>
      </c>
      <c r="C14" s="97">
        <v>2015</v>
      </c>
      <c r="D14" s="98">
        <v>14.44</v>
      </c>
      <c r="E14" s="99">
        <v>0</v>
      </c>
      <c r="F14" s="100">
        <v>4.7535999999999996</v>
      </c>
      <c r="G14" s="101"/>
      <c r="H14" s="77">
        <v>16954</v>
      </c>
      <c r="I14" s="102">
        <v>9.7383000000000006</v>
      </c>
      <c r="J14" s="85">
        <v>8.6</v>
      </c>
      <c r="K14" s="103">
        <v>0</v>
      </c>
      <c r="L14" s="103">
        <v>0</v>
      </c>
      <c r="M14" s="104">
        <v>72.89</v>
      </c>
      <c r="N14">
        <v>3</v>
      </c>
      <c r="O14">
        <v>803513</v>
      </c>
    </row>
    <row r="15" spans="2:15" ht="13.5" customHeight="1" x14ac:dyDescent="0.35">
      <c r="B15" s="105" t="s">
        <v>15</v>
      </c>
      <c r="C15" s="105">
        <v>2016</v>
      </c>
      <c r="D15" s="106">
        <v>27.55</v>
      </c>
      <c r="E15" s="107">
        <v>1.22</v>
      </c>
      <c r="F15" s="108">
        <v>5.4161000000000001</v>
      </c>
      <c r="G15" s="109">
        <v>2.3026</v>
      </c>
      <c r="H15" s="110">
        <v>16842</v>
      </c>
      <c r="I15" s="111">
        <v>9.7316000000000003</v>
      </c>
      <c r="J15" s="89">
        <v>10.9</v>
      </c>
      <c r="K15" s="112">
        <v>0</v>
      </c>
      <c r="L15" s="112">
        <v>0</v>
      </c>
      <c r="M15" s="113">
        <v>72.89</v>
      </c>
      <c r="N15">
        <v>13</v>
      </c>
      <c r="O15">
        <v>816687</v>
      </c>
    </row>
    <row r="16" spans="2:15" ht="13.5" customHeight="1" x14ac:dyDescent="0.35">
      <c r="B16" s="97" t="s">
        <v>15</v>
      </c>
      <c r="C16" s="97">
        <v>2017</v>
      </c>
      <c r="D16" s="98">
        <v>45.92</v>
      </c>
      <c r="E16" s="99">
        <v>2.77</v>
      </c>
      <c r="F16" s="100">
        <v>5.9428000000000001</v>
      </c>
      <c r="G16" s="101">
        <v>3.1355</v>
      </c>
      <c r="H16" s="77">
        <v>17204</v>
      </c>
      <c r="I16" s="102">
        <v>9.7529000000000003</v>
      </c>
      <c r="J16" s="86">
        <v>14.2</v>
      </c>
      <c r="K16" s="103">
        <v>0</v>
      </c>
      <c r="L16" s="114">
        <v>0</v>
      </c>
      <c r="M16" s="104">
        <v>72.89</v>
      </c>
      <c r="N16">
        <v>36</v>
      </c>
      <c r="O16">
        <v>829619</v>
      </c>
    </row>
    <row r="17" spans="2:15" ht="13.5" customHeight="1" x14ac:dyDescent="0.35">
      <c r="B17" s="105" t="s">
        <v>15</v>
      </c>
      <c r="C17" s="105">
        <v>2018</v>
      </c>
      <c r="D17" s="106">
        <v>35.549999999999997</v>
      </c>
      <c r="E17" s="107">
        <v>7.59</v>
      </c>
      <c r="F17" s="108">
        <v>5.7332999999999998</v>
      </c>
      <c r="G17" s="109">
        <v>4.1897000000000002</v>
      </c>
      <c r="H17" s="110">
        <v>17637</v>
      </c>
      <c r="I17" s="111">
        <v>9.7777999999999992</v>
      </c>
      <c r="J17" s="86">
        <v>13.7</v>
      </c>
      <c r="K17" s="112">
        <v>0</v>
      </c>
      <c r="L17" s="114">
        <v>0</v>
      </c>
      <c r="M17" s="113">
        <v>72.89</v>
      </c>
      <c r="N17">
        <v>102</v>
      </c>
      <c r="O17">
        <v>869265</v>
      </c>
    </row>
    <row r="18" spans="2:15" ht="13.5" customHeight="1" x14ac:dyDescent="0.35">
      <c r="B18" s="97" t="s">
        <v>15</v>
      </c>
      <c r="C18" s="97">
        <v>2019</v>
      </c>
      <c r="D18" s="98">
        <v>24.95</v>
      </c>
      <c r="E18" s="99">
        <v>18.03</v>
      </c>
      <c r="F18" s="100">
        <v>5.3936000000000002</v>
      </c>
      <c r="G18" s="101">
        <v>5.0689000000000002</v>
      </c>
      <c r="H18" s="77">
        <v>17722</v>
      </c>
      <c r="I18" s="102">
        <v>9.7826000000000004</v>
      </c>
      <c r="J18" s="85">
        <v>14.7</v>
      </c>
      <c r="K18" s="103">
        <v>0</v>
      </c>
      <c r="L18" s="103">
        <v>0</v>
      </c>
      <c r="M18" s="104">
        <v>72.89</v>
      </c>
      <c r="N18">
        <v>261</v>
      </c>
      <c r="O18">
        <v>881935</v>
      </c>
    </row>
    <row r="19" spans="2:15" ht="13.5" customHeight="1" x14ac:dyDescent="0.35">
      <c r="B19" s="105" t="s">
        <v>15</v>
      </c>
      <c r="C19" s="105">
        <v>2020</v>
      </c>
      <c r="D19" s="106">
        <v>25.15</v>
      </c>
      <c r="E19" s="107">
        <v>37.68</v>
      </c>
      <c r="F19" s="108">
        <v>5.4161000000000001</v>
      </c>
      <c r="G19" s="109">
        <v>5.8201000000000001</v>
      </c>
      <c r="H19" s="110">
        <v>18420</v>
      </c>
      <c r="I19" s="111">
        <v>9.8211999999999993</v>
      </c>
      <c r="J19" s="89">
        <v>15.2</v>
      </c>
      <c r="K19" s="115">
        <v>0</v>
      </c>
      <c r="L19" s="112">
        <v>1</v>
      </c>
      <c r="M19" s="113">
        <v>72.89</v>
      </c>
      <c r="N19">
        <v>598</v>
      </c>
      <c r="O19">
        <v>894470</v>
      </c>
    </row>
    <row r="20" spans="2:15" ht="13.5" customHeight="1" x14ac:dyDescent="0.35">
      <c r="B20" s="97" t="s">
        <v>15</v>
      </c>
      <c r="C20" s="97">
        <v>2021</v>
      </c>
      <c r="D20" s="98">
        <v>13.01</v>
      </c>
      <c r="E20" s="99">
        <v>59.99</v>
      </c>
      <c r="F20" s="100">
        <v>4.7706999999999997</v>
      </c>
      <c r="G20" s="101">
        <v>6.2988999999999997</v>
      </c>
      <c r="H20" s="77">
        <v>23569</v>
      </c>
      <c r="I20" s="102">
        <v>10.0677</v>
      </c>
      <c r="J20" s="85">
        <v>15.3</v>
      </c>
      <c r="K20" s="103">
        <v>0</v>
      </c>
      <c r="L20" s="103">
        <v>1</v>
      </c>
      <c r="M20" s="104">
        <v>72.89</v>
      </c>
      <c r="N20">
        <v>1142</v>
      </c>
      <c r="O20">
        <v>906876</v>
      </c>
    </row>
    <row r="21" spans="2:15" ht="13.5" customHeight="1" x14ac:dyDescent="0.35">
      <c r="B21" s="105" t="s">
        <v>15</v>
      </c>
      <c r="C21" s="105">
        <v>2022</v>
      </c>
      <c r="D21" s="106">
        <v>17.23</v>
      </c>
      <c r="E21" s="107">
        <v>72.89</v>
      </c>
      <c r="F21" s="108">
        <v>4.9627999999999997</v>
      </c>
      <c r="G21" s="109">
        <v>6.4051999999999998</v>
      </c>
      <c r="H21" s="110">
        <v>28525</v>
      </c>
      <c r="I21" s="111">
        <v>10.2585</v>
      </c>
      <c r="J21" s="89">
        <v>11.6</v>
      </c>
      <c r="K21" s="112">
        <v>0</v>
      </c>
      <c r="L21" s="112">
        <v>0</v>
      </c>
      <c r="M21" s="113">
        <v>72.89</v>
      </c>
      <c r="N21">
        <v>1747</v>
      </c>
      <c r="O21">
        <v>830018</v>
      </c>
    </row>
    <row r="22" spans="2:15" ht="13.5" customHeight="1" x14ac:dyDescent="0.35">
      <c r="B22" s="97" t="s">
        <v>15</v>
      </c>
      <c r="C22" s="97">
        <v>2023</v>
      </c>
      <c r="D22" s="98">
        <v>15.66</v>
      </c>
      <c r="E22" s="99">
        <v>0.12</v>
      </c>
      <c r="F22" s="100">
        <v>4.8674999999999997</v>
      </c>
      <c r="G22" s="101">
        <v>0</v>
      </c>
      <c r="H22" s="77">
        <v>31676</v>
      </c>
      <c r="I22" s="102">
        <v>10.363300000000001</v>
      </c>
      <c r="J22" s="85">
        <v>7.9</v>
      </c>
      <c r="K22" s="103">
        <v>1</v>
      </c>
      <c r="L22" s="103">
        <v>0</v>
      </c>
      <c r="M22" s="104">
        <v>72.89</v>
      </c>
      <c r="N22">
        <v>1748</v>
      </c>
      <c r="O22">
        <v>830018</v>
      </c>
    </row>
    <row r="23" spans="2:15" ht="13.5" customHeight="1" x14ac:dyDescent="0.35">
      <c r="B23" s="105" t="s">
        <v>15</v>
      </c>
      <c r="C23" s="105">
        <v>2024</v>
      </c>
      <c r="D23" s="106">
        <v>11.13</v>
      </c>
      <c r="E23" s="107">
        <v>4.43</v>
      </c>
      <c r="F23" s="108">
        <v>4.585</v>
      </c>
      <c r="G23" s="109">
        <v>3.6636000000000002</v>
      </c>
      <c r="H23" s="110">
        <v>32220</v>
      </c>
      <c r="I23" s="111">
        <v>10.3803</v>
      </c>
      <c r="J23" s="89">
        <v>7.9</v>
      </c>
      <c r="K23" s="112">
        <v>1</v>
      </c>
      <c r="L23" s="112">
        <v>0</v>
      </c>
      <c r="M23" s="113">
        <v>72.89</v>
      </c>
      <c r="N23">
        <v>1787</v>
      </c>
      <c r="O23">
        <v>880631</v>
      </c>
    </row>
    <row r="24" spans="2:15" ht="13.5" customHeight="1" x14ac:dyDescent="0.35">
      <c r="B24" s="97" t="s">
        <v>16</v>
      </c>
      <c r="C24" s="97">
        <v>2005</v>
      </c>
      <c r="D24" s="98">
        <v>30.31</v>
      </c>
      <c r="E24" s="99">
        <v>7.0000000000000007E-2</v>
      </c>
      <c r="F24" s="100">
        <v>6.8178000000000001</v>
      </c>
      <c r="G24" s="101">
        <v>0.69310000000000005</v>
      </c>
      <c r="H24" s="77">
        <v>4688</v>
      </c>
      <c r="I24" s="102">
        <v>8.4527999999999999</v>
      </c>
      <c r="J24" s="86">
        <v>9.7799999999999994</v>
      </c>
      <c r="K24" s="103">
        <v>0</v>
      </c>
      <c r="L24" s="114">
        <v>0</v>
      </c>
      <c r="M24" s="104">
        <v>111.52030000000001</v>
      </c>
      <c r="N24">
        <v>2</v>
      </c>
      <c r="O24">
        <v>3015912</v>
      </c>
    </row>
    <row r="25" spans="2:15" ht="13.5" customHeight="1" x14ac:dyDescent="0.35">
      <c r="B25" s="105" t="s">
        <v>16</v>
      </c>
      <c r="C25" s="105">
        <v>2006</v>
      </c>
      <c r="D25" s="106">
        <v>42.74</v>
      </c>
      <c r="E25" s="107">
        <v>0</v>
      </c>
      <c r="F25" s="108">
        <v>7.1731999999999996</v>
      </c>
      <c r="G25" s="109"/>
      <c r="H25" s="110">
        <v>5162</v>
      </c>
      <c r="I25" s="111">
        <v>8.5490999999999993</v>
      </c>
      <c r="J25" s="86">
        <v>10.64</v>
      </c>
      <c r="K25" s="112">
        <v>0</v>
      </c>
      <c r="L25" s="114">
        <v>0</v>
      </c>
      <c r="M25" s="113">
        <v>111.52030000000001</v>
      </c>
      <c r="N25">
        <v>2</v>
      </c>
      <c r="O25">
        <v>3050652</v>
      </c>
    </row>
    <row r="26" spans="2:15" ht="13.5" customHeight="1" x14ac:dyDescent="0.35">
      <c r="B26" s="97" t="s">
        <v>16</v>
      </c>
      <c r="C26" s="97">
        <v>2007</v>
      </c>
      <c r="D26" s="98">
        <v>51.2</v>
      </c>
      <c r="E26" s="99">
        <v>0</v>
      </c>
      <c r="F26" s="100">
        <v>7.3491999999999997</v>
      </c>
      <c r="G26" s="101"/>
      <c r="H26" s="77">
        <v>5858</v>
      </c>
      <c r="I26" s="102">
        <v>8.6755999999999993</v>
      </c>
      <c r="J26" s="85">
        <v>8.36</v>
      </c>
      <c r="K26" s="103">
        <v>0</v>
      </c>
      <c r="L26" s="103">
        <v>0</v>
      </c>
      <c r="M26" s="104">
        <v>111.52030000000001</v>
      </c>
      <c r="N26">
        <v>2</v>
      </c>
      <c r="O26">
        <v>3037231</v>
      </c>
    </row>
    <row r="27" spans="2:15" ht="13.5" customHeight="1" x14ac:dyDescent="0.35">
      <c r="B27" s="105" t="s">
        <v>16</v>
      </c>
      <c r="C27" s="105">
        <v>2008</v>
      </c>
      <c r="D27" s="106">
        <v>51.16</v>
      </c>
      <c r="E27" s="107">
        <v>0.06</v>
      </c>
      <c r="F27" s="108">
        <v>7.3777999999999997</v>
      </c>
      <c r="G27" s="109">
        <v>0.69310000000000005</v>
      </c>
      <c r="H27" s="110">
        <v>6228</v>
      </c>
      <c r="I27" s="111">
        <v>8.7368000000000006</v>
      </c>
      <c r="J27" s="89">
        <v>8.01</v>
      </c>
      <c r="K27" s="115">
        <v>0</v>
      </c>
      <c r="L27" s="112">
        <v>0</v>
      </c>
      <c r="M27" s="113">
        <v>111.52030000000001</v>
      </c>
      <c r="N27">
        <v>4</v>
      </c>
      <c r="O27">
        <v>3127560</v>
      </c>
    </row>
    <row r="28" spans="2:15" ht="13.5" customHeight="1" x14ac:dyDescent="0.35">
      <c r="B28" s="97" t="s">
        <v>16</v>
      </c>
      <c r="C28" s="97">
        <v>2009</v>
      </c>
      <c r="D28" s="98">
        <v>49.71</v>
      </c>
      <c r="E28" s="99">
        <v>0.1</v>
      </c>
      <c r="F28" s="100">
        <v>7.3582000000000001</v>
      </c>
      <c r="G28" s="101">
        <v>1.0986</v>
      </c>
      <c r="H28" s="77">
        <v>6728</v>
      </c>
      <c r="I28" s="102">
        <v>8.8140000000000001</v>
      </c>
      <c r="J28" s="85">
        <v>12.13</v>
      </c>
      <c r="K28" s="103">
        <v>0</v>
      </c>
      <c r="L28" s="103">
        <v>0</v>
      </c>
      <c r="M28" s="104">
        <v>111.52030000000001</v>
      </c>
      <c r="N28">
        <v>7</v>
      </c>
      <c r="O28">
        <v>3156108</v>
      </c>
    </row>
    <row r="29" spans="2:15" ht="13.5" customHeight="1" x14ac:dyDescent="0.35">
      <c r="B29" s="105" t="s">
        <v>16</v>
      </c>
      <c r="C29" s="105">
        <v>2010</v>
      </c>
      <c r="D29" s="106">
        <v>55.15</v>
      </c>
      <c r="E29" s="107">
        <v>0.26</v>
      </c>
      <c r="F29" s="108">
        <v>7.4507000000000003</v>
      </c>
      <c r="G29" s="109">
        <v>2.0794000000000001</v>
      </c>
      <c r="H29" s="110">
        <v>8695</v>
      </c>
      <c r="I29" s="111">
        <v>9.0704999999999991</v>
      </c>
      <c r="J29" s="89">
        <v>11.27</v>
      </c>
      <c r="K29" s="112">
        <v>0</v>
      </c>
      <c r="L29" s="112">
        <v>0</v>
      </c>
      <c r="M29" s="113">
        <v>111.52030000000001</v>
      </c>
      <c r="N29">
        <v>15</v>
      </c>
      <c r="O29">
        <v>3120494</v>
      </c>
    </row>
    <row r="30" spans="2:15" ht="13.5" customHeight="1" x14ac:dyDescent="0.35">
      <c r="B30" s="97" t="s">
        <v>16</v>
      </c>
      <c r="C30" s="97">
        <v>2011</v>
      </c>
      <c r="D30" s="98">
        <v>61.62</v>
      </c>
      <c r="E30" s="99">
        <v>0.35</v>
      </c>
      <c r="F30" s="100">
        <v>7.5689000000000002</v>
      </c>
      <c r="G30" s="101">
        <v>2.3978999999999999</v>
      </c>
      <c r="H30" s="77">
        <v>10071</v>
      </c>
      <c r="I30" s="102">
        <v>9.2173999999999996</v>
      </c>
      <c r="J30" s="85">
        <v>10.41</v>
      </c>
      <c r="K30" s="103">
        <v>0</v>
      </c>
      <c r="L30" s="103">
        <v>0</v>
      </c>
      <c r="M30" s="104">
        <v>111.52030000000001</v>
      </c>
      <c r="N30">
        <v>26</v>
      </c>
      <c r="O30">
        <v>3143384</v>
      </c>
    </row>
    <row r="31" spans="2:15" ht="13.5" customHeight="1" x14ac:dyDescent="0.35">
      <c r="B31" s="105" t="s">
        <v>16</v>
      </c>
      <c r="C31" s="105">
        <v>2012</v>
      </c>
      <c r="D31" s="106">
        <v>54.87</v>
      </c>
      <c r="E31" s="107">
        <v>0.47</v>
      </c>
      <c r="F31" s="108">
        <v>7.4599000000000002</v>
      </c>
      <c r="G31" s="109">
        <v>2.7081</v>
      </c>
      <c r="H31" s="110">
        <v>10946</v>
      </c>
      <c r="I31" s="111">
        <v>9.3007000000000009</v>
      </c>
      <c r="J31" s="89">
        <v>12.24</v>
      </c>
      <c r="K31" s="112">
        <v>0</v>
      </c>
      <c r="L31" s="112">
        <v>0</v>
      </c>
      <c r="M31" s="113">
        <v>111.52030000000001</v>
      </c>
      <c r="N31">
        <v>41</v>
      </c>
      <c r="O31">
        <v>3165472</v>
      </c>
    </row>
    <row r="32" spans="2:15" ht="13.5" customHeight="1" x14ac:dyDescent="0.35">
      <c r="B32" s="97" t="s">
        <v>16</v>
      </c>
      <c r="C32" s="97">
        <v>2013</v>
      </c>
      <c r="D32" s="98">
        <v>56.71</v>
      </c>
      <c r="E32" s="99">
        <v>0.27</v>
      </c>
      <c r="F32" s="100">
        <v>7.5347999999999997</v>
      </c>
      <c r="G32" s="101">
        <v>2.1972</v>
      </c>
      <c r="H32" s="77">
        <v>11295</v>
      </c>
      <c r="I32" s="102">
        <v>9.3321000000000005</v>
      </c>
      <c r="J32" s="86">
        <v>13.19</v>
      </c>
      <c r="K32" s="103">
        <v>0</v>
      </c>
      <c r="L32" s="114">
        <v>0</v>
      </c>
      <c r="M32" s="104">
        <v>111.52030000000001</v>
      </c>
      <c r="N32">
        <v>50</v>
      </c>
      <c r="O32">
        <v>3300935</v>
      </c>
    </row>
    <row r="33" spans="2:15" ht="13.5" customHeight="1" x14ac:dyDescent="0.35">
      <c r="B33" s="105" t="s">
        <v>16</v>
      </c>
      <c r="C33" s="105">
        <v>2014</v>
      </c>
      <c r="D33" s="106">
        <v>54.82</v>
      </c>
      <c r="E33" s="107">
        <v>0.18</v>
      </c>
      <c r="F33" s="108">
        <v>7.5071000000000003</v>
      </c>
      <c r="G33" s="109">
        <v>1.7918000000000001</v>
      </c>
      <c r="H33" s="110">
        <v>12335</v>
      </c>
      <c r="I33" s="111">
        <v>9.4201999999999995</v>
      </c>
      <c r="J33" s="86">
        <v>13.13</v>
      </c>
      <c r="K33" s="112">
        <v>0</v>
      </c>
      <c r="L33" s="114">
        <v>0</v>
      </c>
      <c r="M33" s="113">
        <v>111.52030000000001</v>
      </c>
      <c r="N33">
        <v>56</v>
      </c>
      <c r="O33">
        <v>3321730</v>
      </c>
    </row>
    <row r="34" spans="2:15" ht="13.5" customHeight="1" x14ac:dyDescent="0.35">
      <c r="B34" s="97" t="s">
        <v>16</v>
      </c>
      <c r="C34" s="97">
        <v>2015</v>
      </c>
      <c r="D34" s="98">
        <v>44.36</v>
      </c>
      <c r="E34" s="99">
        <v>0.03</v>
      </c>
      <c r="F34" s="100">
        <v>7.3010999999999999</v>
      </c>
      <c r="G34" s="101">
        <v>0</v>
      </c>
      <c r="H34" s="77">
        <v>13879</v>
      </c>
      <c r="I34" s="102">
        <v>9.5381</v>
      </c>
      <c r="J34" s="85">
        <v>11.3</v>
      </c>
      <c r="K34" s="103">
        <v>0</v>
      </c>
      <c r="L34" s="103">
        <v>0</v>
      </c>
      <c r="M34" s="104">
        <v>111.52030000000001</v>
      </c>
      <c r="N34">
        <v>57</v>
      </c>
      <c r="O34">
        <v>3340932</v>
      </c>
    </row>
    <row r="35" spans="2:15" ht="13.5" customHeight="1" x14ac:dyDescent="0.35">
      <c r="B35" s="105" t="s">
        <v>16</v>
      </c>
      <c r="C35" s="105">
        <v>2016</v>
      </c>
      <c r="D35" s="106">
        <v>46.03</v>
      </c>
      <c r="E35" s="107">
        <v>0.8</v>
      </c>
      <c r="F35" s="108">
        <v>7.3433999999999999</v>
      </c>
      <c r="G35" s="109">
        <v>3.2957999999999998</v>
      </c>
      <c r="H35" s="110">
        <v>14727</v>
      </c>
      <c r="I35" s="111">
        <v>9.5974000000000004</v>
      </c>
      <c r="J35" s="89">
        <v>14.2</v>
      </c>
      <c r="K35" s="115">
        <v>0</v>
      </c>
      <c r="L35" s="112">
        <v>0</v>
      </c>
      <c r="M35" s="113">
        <v>111.52030000000001</v>
      </c>
      <c r="N35">
        <v>84</v>
      </c>
      <c r="O35">
        <v>3358963</v>
      </c>
    </row>
    <row r="36" spans="2:15" ht="13.5" customHeight="1" x14ac:dyDescent="0.35">
      <c r="B36" s="97" t="s">
        <v>16</v>
      </c>
      <c r="C36" s="97">
        <v>2017</v>
      </c>
      <c r="D36" s="98">
        <v>45.56</v>
      </c>
      <c r="E36" s="99">
        <v>2.2799999999999998</v>
      </c>
      <c r="F36" s="100">
        <v>7.3381999999999996</v>
      </c>
      <c r="G36" s="101">
        <v>4.3437999999999999</v>
      </c>
      <c r="H36" s="77">
        <v>15656</v>
      </c>
      <c r="I36" s="102">
        <v>9.6585999999999999</v>
      </c>
      <c r="J36" s="85">
        <v>16.899999999999999</v>
      </c>
      <c r="K36" s="103">
        <v>0</v>
      </c>
      <c r="L36" s="103">
        <v>0</v>
      </c>
      <c r="M36" s="104">
        <v>111.52030000000001</v>
      </c>
      <c r="N36">
        <v>161</v>
      </c>
      <c r="O36">
        <v>3375823</v>
      </c>
    </row>
    <row r="37" spans="2:15" ht="13.5" customHeight="1" x14ac:dyDescent="0.35">
      <c r="B37" s="105" t="s">
        <v>16</v>
      </c>
      <c r="C37" s="105">
        <v>2018</v>
      </c>
      <c r="D37" s="106">
        <v>36.08</v>
      </c>
      <c r="E37" s="107">
        <v>3.64</v>
      </c>
      <c r="F37" s="108">
        <v>7.0891999999999999</v>
      </c>
      <c r="G37" s="109">
        <v>4.7957999999999998</v>
      </c>
      <c r="H37" s="110">
        <v>16376</v>
      </c>
      <c r="I37" s="111">
        <v>9.7035999999999998</v>
      </c>
      <c r="J37" s="89">
        <v>17.3</v>
      </c>
      <c r="K37" s="112">
        <v>0</v>
      </c>
      <c r="L37" s="112">
        <v>0</v>
      </c>
      <c r="M37" s="113">
        <v>111.52030000000001</v>
      </c>
      <c r="N37">
        <v>282</v>
      </c>
      <c r="O37">
        <v>3322820</v>
      </c>
    </row>
    <row r="38" spans="2:15" ht="13.5" customHeight="1" x14ac:dyDescent="0.35">
      <c r="B38" s="97" t="s">
        <v>16</v>
      </c>
      <c r="C38" s="97">
        <v>2019</v>
      </c>
      <c r="D38" s="98">
        <v>25.68</v>
      </c>
      <c r="E38" s="99">
        <v>21.63</v>
      </c>
      <c r="F38" s="100">
        <v>6.7534000000000001</v>
      </c>
      <c r="G38" s="101">
        <v>6.5819999999999999</v>
      </c>
      <c r="H38" s="77">
        <v>17668</v>
      </c>
      <c r="I38" s="102">
        <v>9.7795000000000005</v>
      </c>
      <c r="J38" s="85">
        <v>15.1</v>
      </c>
      <c r="K38" s="103">
        <v>0</v>
      </c>
      <c r="L38" s="103">
        <v>0</v>
      </c>
      <c r="M38" s="104">
        <v>111.52030000000001</v>
      </c>
      <c r="N38">
        <v>1004</v>
      </c>
      <c r="O38">
        <v>3337357</v>
      </c>
    </row>
    <row r="39" spans="2:15" ht="13.5" customHeight="1" x14ac:dyDescent="0.35">
      <c r="B39" s="105" t="s">
        <v>16</v>
      </c>
      <c r="C39" s="105">
        <v>2020</v>
      </c>
      <c r="D39" s="106">
        <v>25.78</v>
      </c>
      <c r="E39" s="107">
        <v>37.619999999999997</v>
      </c>
      <c r="F39" s="108">
        <v>6.7615999999999996</v>
      </c>
      <c r="G39" s="109">
        <v>7.1397000000000004</v>
      </c>
      <c r="H39" s="110">
        <v>18858</v>
      </c>
      <c r="I39" s="111">
        <v>9.8446999999999996</v>
      </c>
      <c r="J39" s="89">
        <v>19.100000000000001</v>
      </c>
      <c r="K39" s="112">
        <v>0</v>
      </c>
      <c r="L39" s="112">
        <v>1</v>
      </c>
      <c r="M39" s="113">
        <v>111.52030000000001</v>
      </c>
      <c r="N39">
        <v>2265</v>
      </c>
      <c r="O39">
        <v>3351543</v>
      </c>
    </row>
    <row r="40" spans="2:15" ht="13.5" customHeight="1" x14ac:dyDescent="0.35">
      <c r="B40" s="97" t="s">
        <v>16</v>
      </c>
      <c r="C40" s="97">
        <v>2021</v>
      </c>
      <c r="D40" s="98">
        <v>21.78</v>
      </c>
      <c r="E40" s="99">
        <v>76.87</v>
      </c>
      <c r="F40" s="100">
        <v>6.5971000000000002</v>
      </c>
      <c r="G40" s="101">
        <v>7.8582999999999998</v>
      </c>
      <c r="H40" s="77">
        <v>22662</v>
      </c>
      <c r="I40" s="102">
        <v>10.0284</v>
      </c>
      <c r="J40" s="86">
        <v>17.8</v>
      </c>
      <c r="K40" s="103">
        <v>0</v>
      </c>
      <c r="L40" s="114">
        <v>1</v>
      </c>
      <c r="M40" s="104">
        <v>111.52030000000001</v>
      </c>
      <c r="N40">
        <v>4852</v>
      </c>
      <c r="O40">
        <v>3365351</v>
      </c>
    </row>
    <row r="41" spans="2:15" ht="13.5" customHeight="1" x14ac:dyDescent="0.35">
      <c r="B41" s="105" t="s">
        <v>16</v>
      </c>
      <c r="C41" s="105">
        <v>2022</v>
      </c>
      <c r="D41" s="106">
        <v>26.47</v>
      </c>
      <c r="E41" s="107">
        <v>111.52</v>
      </c>
      <c r="F41" s="108">
        <v>6.7190000000000003</v>
      </c>
      <c r="G41" s="109">
        <v>8.1570999999999998</v>
      </c>
      <c r="H41" s="110">
        <v>24320</v>
      </c>
      <c r="I41" s="111">
        <v>10.0991</v>
      </c>
      <c r="J41" s="86">
        <v>11.2</v>
      </c>
      <c r="K41" s="112">
        <v>0</v>
      </c>
      <c r="L41" s="114">
        <v>0</v>
      </c>
      <c r="M41" s="113">
        <v>111.52030000000001</v>
      </c>
      <c r="N41">
        <v>8340</v>
      </c>
      <c r="O41">
        <v>3127683</v>
      </c>
    </row>
    <row r="42" spans="2:15" ht="13.5" customHeight="1" x14ac:dyDescent="0.35">
      <c r="B42" s="97" t="s">
        <v>16</v>
      </c>
      <c r="C42" s="97">
        <v>2023</v>
      </c>
      <c r="D42" s="98">
        <v>28.46</v>
      </c>
      <c r="E42" s="99">
        <v>0.13</v>
      </c>
      <c r="F42" s="100">
        <v>6.7911999999999999</v>
      </c>
      <c r="G42" s="101">
        <v>1.3863000000000001</v>
      </c>
      <c r="H42" s="77">
        <v>28676</v>
      </c>
      <c r="I42" s="102">
        <v>10.2638</v>
      </c>
      <c r="J42" s="85">
        <v>9.6</v>
      </c>
      <c r="K42" s="103">
        <v>1</v>
      </c>
      <c r="L42" s="103">
        <v>0</v>
      </c>
      <c r="M42" s="104">
        <v>111.52030000000001</v>
      </c>
      <c r="N42">
        <v>8344</v>
      </c>
      <c r="O42">
        <v>3127683</v>
      </c>
    </row>
    <row r="43" spans="2:15" ht="13.5" customHeight="1" x14ac:dyDescent="0.35">
      <c r="B43" s="105" t="s">
        <v>16</v>
      </c>
      <c r="C43" s="105">
        <v>2024</v>
      </c>
      <c r="D43" s="106">
        <v>27.61</v>
      </c>
      <c r="E43" s="107">
        <v>16.52</v>
      </c>
      <c r="F43" s="108">
        <v>6.7900999999999998</v>
      </c>
      <c r="G43" s="109">
        <v>6.2766000000000002</v>
      </c>
      <c r="H43" s="110">
        <v>30268</v>
      </c>
      <c r="I43" s="111">
        <v>10.3178</v>
      </c>
      <c r="J43" s="89">
        <v>8.6</v>
      </c>
      <c r="K43" s="115">
        <v>1</v>
      </c>
      <c r="L43" s="112">
        <v>0</v>
      </c>
      <c r="M43" s="113">
        <v>111.52030000000001</v>
      </c>
      <c r="N43">
        <v>8876</v>
      </c>
      <c r="O43">
        <v>3220104</v>
      </c>
    </row>
    <row r="44" spans="2:15" ht="13.5" customHeight="1" x14ac:dyDescent="0.35">
      <c r="B44" s="97" t="s">
        <v>17</v>
      </c>
      <c r="C44" s="97">
        <v>2005</v>
      </c>
      <c r="D44" s="98">
        <v>8.17</v>
      </c>
      <c r="E44" s="99">
        <v>0.34</v>
      </c>
      <c r="F44" s="100">
        <v>5.5758999999999999</v>
      </c>
      <c r="G44" s="101">
        <v>2.3978999999999999</v>
      </c>
      <c r="H44" s="77">
        <v>10318</v>
      </c>
      <c r="I44" s="102">
        <v>9.2416</v>
      </c>
      <c r="J44" s="85">
        <v>12.83</v>
      </c>
      <c r="K44" s="103">
        <v>0</v>
      </c>
      <c r="L44" s="103">
        <v>0</v>
      </c>
      <c r="M44" s="104">
        <v>101.60809999999999</v>
      </c>
      <c r="N44">
        <v>11</v>
      </c>
      <c r="O44">
        <v>3232330</v>
      </c>
    </row>
    <row r="45" spans="2:15" ht="13.5" customHeight="1" x14ac:dyDescent="0.35">
      <c r="B45" s="105" t="s">
        <v>17</v>
      </c>
      <c r="C45" s="105">
        <v>2006</v>
      </c>
      <c r="D45" s="106">
        <v>11.39</v>
      </c>
      <c r="E45" s="107">
        <v>0.18</v>
      </c>
      <c r="F45" s="108">
        <v>5.9321999999999999</v>
      </c>
      <c r="G45" s="109">
        <v>1.7918000000000001</v>
      </c>
      <c r="H45" s="110">
        <v>11826</v>
      </c>
      <c r="I45" s="111">
        <v>9.3780999999999999</v>
      </c>
      <c r="J45" s="89">
        <v>9.43</v>
      </c>
      <c r="K45" s="112">
        <v>0</v>
      </c>
      <c r="L45" s="112">
        <v>0</v>
      </c>
      <c r="M45" s="113">
        <v>101.60809999999999</v>
      </c>
      <c r="N45">
        <v>17</v>
      </c>
      <c r="O45">
        <v>3311026</v>
      </c>
    </row>
    <row r="46" spans="2:15" ht="13.5" customHeight="1" x14ac:dyDescent="0.35">
      <c r="B46" s="97" t="s">
        <v>17</v>
      </c>
      <c r="C46" s="97">
        <v>2007</v>
      </c>
      <c r="D46" s="98">
        <v>12.82</v>
      </c>
      <c r="E46" s="99">
        <v>0.43</v>
      </c>
      <c r="F46" s="100">
        <v>6.0233999999999996</v>
      </c>
      <c r="G46" s="101">
        <v>2.6391</v>
      </c>
      <c r="H46" s="77">
        <v>13043</v>
      </c>
      <c r="I46" s="102">
        <v>9.4760000000000009</v>
      </c>
      <c r="J46" s="85">
        <v>12.24</v>
      </c>
      <c r="K46" s="103">
        <v>0</v>
      </c>
      <c r="L46" s="103">
        <v>0</v>
      </c>
      <c r="M46" s="104">
        <v>101.60809999999999</v>
      </c>
      <c r="N46">
        <v>31</v>
      </c>
      <c r="O46">
        <v>3221940</v>
      </c>
    </row>
    <row r="47" spans="2:15" ht="13.5" customHeight="1" x14ac:dyDescent="0.35">
      <c r="B47" s="105" t="s">
        <v>17</v>
      </c>
      <c r="C47" s="105">
        <v>2008</v>
      </c>
      <c r="D47" s="106">
        <v>13.35</v>
      </c>
      <c r="E47" s="107">
        <v>0.27</v>
      </c>
      <c r="F47" s="108">
        <v>6.1002999999999998</v>
      </c>
      <c r="G47" s="109">
        <v>2.1972</v>
      </c>
      <c r="H47" s="110">
        <v>14014</v>
      </c>
      <c r="I47" s="111">
        <v>9.5478000000000005</v>
      </c>
      <c r="J47" s="89">
        <v>10.01</v>
      </c>
      <c r="K47" s="112">
        <v>0</v>
      </c>
      <c r="L47" s="112">
        <v>0</v>
      </c>
      <c r="M47" s="113">
        <v>101.60809999999999</v>
      </c>
      <c r="N47">
        <v>40</v>
      </c>
      <c r="O47">
        <v>3341094</v>
      </c>
    </row>
    <row r="48" spans="2:15" ht="13.5" customHeight="1" x14ac:dyDescent="0.35">
      <c r="B48" s="97" t="s">
        <v>17</v>
      </c>
      <c r="C48" s="97">
        <v>2009</v>
      </c>
      <c r="D48" s="98">
        <v>16.829999999999998</v>
      </c>
      <c r="E48" s="99">
        <v>0.74</v>
      </c>
      <c r="F48" s="100">
        <v>6.3474000000000004</v>
      </c>
      <c r="G48" s="101">
        <v>3.2189000000000001</v>
      </c>
      <c r="H48" s="77">
        <v>14621</v>
      </c>
      <c r="I48" s="102">
        <v>9.5901999999999994</v>
      </c>
      <c r="J48" s="86">
        <v>12.44</v>
      </c>
      <c r="K48" s="103">
        <v>0</v>
      </c>
      <c r="L48" s="114">
        <v>0</v>
      </c>
      <c r="M48" s="104">
        <v>101.60809999999999</v>
      </c>
      <c r="N48">
        <v>65</v>
      </c>
      <c r="O48">
        <v>3393369</v>
      </c>
    </row>
    <row r="49" spans="2:15" ht="13.5" customHeight="1" x14ac:dyDescent="0.35">
      <c r="B49" s="105" t="s">
        <v>17</v>
      </c>
      <c r="C49" s="105">
        <v>2010</v>
      </c>
      <c r="D49" s="106">
        <v>18.170000000000002</v>
      </c>
      <c r="E49" s="107">
        <v>0.46</v>
      </c>
      <c r="F49" s="108">
        <v>6.4504999999999999</v>
      </c>
      <c r="G49" s="109">
        <v>2.7726000000000002</v>
      </c>
      <c r="H49" s="110">
        <v>17473</v>
      </c>
      <c r="I49" s="111">
        <v>9.7683999999999997</v>
      </c>
      <c r="J49" s="86">
        <v>10.86</v>
      </c>
      <c r="K49" s="112">
        <v>0</v>
      </c>
      <c r="L49" s="114">
        <v>0</v>
      </c>
      <c r="M49" s="113">
        <v>101.60809999999999</v>
      </c>
      <c r="N49">
        <v>81</v>
      </c>
      <c r="O49">
        <v>3483985</v>
      </c>
    </row>
    <row r="50" spans="2:15" ht="13.5" customHeight="1" x14ac:dyDescent="0.35">
      <c r="B50" s="97" t="s">
        <v>17</v>
      </c>
      <c r="C50" s="97">
        <v>2011</v>
      </c>
      <c r="D50" s="98">
        <v>24.84</v>
      </c>
      <c r="E50" s="99">
        <v>0.54</v>
      </c>
      <c r="F50" s="100">
        <v>6.7788000000000004</v>
      </c>
      <c r="G50" s="101">
        <v>2.9443999999999999</v>
      </c>
      <c r="H50" s="77">
        <v>19991</v>
      </c>
      <c r="I50" s="102">
        <v>9.9030000000000005</v>
      </c>
      <c r="J50" s="85">
        <v>9.2799999999999994</v>
      </c>
      <c r="K50" s="103">
        <v>0</v>
      </c>
      <c r="L50" s="103">
        <v>0</v>
      </c>
      <c r="M50" s="104">
        <v>101.60809999999999</v>
      </c>
      <c r="N50">
        <v>100</v>
      </c>
      <c r="O50">
        <v>3538387</v>
      </c>
    </row>
    <row r="51" spans="2:15" ht="13.5" customHeight="1" x14ac:dyDescent="0.35">
      <c r="B51" s="105" t="s">
        <v>17</v>
      </c>
      <c r="C51" s="105">
        <v>2012</v>
      </c>
      <c r="D51" s="106">
        <v>23.75</v>
      </c>
      <c r="E51" s="107">
        <v>0.86</v>
      </c>
      <c r="F51" s="108">
        <v>6.7488000000000001</v>
      </c>
      <c r="G51" s="109">
        <v>3.4340000000000002</v>
      </c>
      <c r="H51" s="110">
        <v>20118</v>
      </c>
      <c r="I51" s="111">
        <v>9.9093999999999998</v>
      </c>
      <c r="J51" s="89">
        <v>9</v>
      </c>
      <c r="K51" s="115">
        <v>0</v>
      </c>
      <c r="L51" s="112">
        <v>0</v>
      </c>
      <c r="M51" s="113">
        <v>101.60809999999999</v>
      </c>
      <c r="N51">
        <v>131</v>
      </c>
      <c r="O51">
        <v>3590985</v>
      </c>
    </row>
    <row r="52" spans="2:15" ht="13.5" customHeight="1" x14ac:dyDescent="0.35">
      <c r="B52" s="97" t="s">
        <v>17</v>
      </c>
      <c r="C52" s="97">
        <v>2013</v>
      </c>
      <c r="D52" s="98">
        <v>18.170000000000002</v>
      </c>
      <c r="E52" s="99">
        <v>0.42</v>
      </c>
      <c r="F52" s="100">
        <v>6.5396000000000001</v>
      </c>
      <c r="G52" s="101">
        <v>2.7726000000000002</v>
      </c>
      <c r="H52" s="77">
        <v>21810</v>
      </c>
      <c r="I52" s="102">
        <v>9.9901</v>
      </c>
      <c r="J52" s="85">
        <v>10.19</v>
      </c>
      <c r="K52" s="103">
        <v>0</v>
      </c>
      <c r="L52" s="103">
        <v>0</v>
      </c>
      <c r="M52" s="104">
        <v>101.60809999999999</v>
      </c>
      <c r="N52">
        <v>147</v>
      </c>
      <c r="O52">
        <v>3807921</v>
      </c>
    </row>
    <row r="53" spans="2:15" ht="13.5" customHeight="1" x14ac:dyDescent="0.35">
      <c r="B53" s="105" t="s">
        <v>17</v>
      </c>
      <c r="C53" s="105">
        <v>2014</v>
      </c>
      <c r="D53" s="106">
        <v>19.59</v>
      </c>
      <c r="E53" s="107">
        <v>0.13</v>
      </c>
      <c r="F53" s="108">
        <v>6.6319999999999997</v>
      </c>
      <c r="G53" s="109">
        <v>1.6093999999999999</v>
      </c>
      <c r="H53" s="110">
        <v>22373</v>
      </c>
      <c r="I53" s="111">
        <v>10.015599999999999</v>
      </c>
      <c r="J53" s="89">
        <v>10.84</v>
      </c>
      <c r="K53" s="112">
        <v>0</v>
      </c>
      <c r="L53" s="112">
        <v>0</v>
      </c>
      <c r="M53" s="113">
        <v>101.60809999999999</v>
      </c>
      <c r="N53">
        <v>152</v>
      </c>
      <c r="O53">
        <v>3873743</v>
      </c>
    </row>
    <row r="54" spans="2:15" ht="13.5" customHeight="1" x14ac:dyDescent="0.35">
      <c r="B54" s="97" t="s">
        <v>17</v>
      </c>
      <c r="C54" s="97">
        <v>2015</v>
      </c>
      <c r="D54" s="98">
        <v>23.54</v>
      </c>
      <c r="E54" s="99">
        <v>0.41</v>
      </c>
      <c r="F54" s="100">
        <v>6.8319999999999999</v>
      </c>
      <c r="G54" s="101">
        <v>2.7726000000000002</v>
      </c>
      <c r="H54" s="77">
        <v>21981</v>
      </c>
      <c r="I54" s="102">
        <v>9.9978999999999996</v>
      </c>
      <c r="J54" s="85">
        <v>9.6999999999999993</v>
      </c>
      <c r="K54" s="103">
        <v>0</v>
      </c>
      <c r="L54" s="103">
        <v>0</v>
      </c>
      <c r="M54" s="104">
        <v>101.60809999999999</v>
      </c>
      <c r="N54">
        <v>168</v>
      </c>
      <c r="O54">
        <v>3938336</v>
      </c>
    </row>
    <row r="55" spans="2:15" ht="13.5" customHeight="1" x14ac:dyDescent="0.35">
      <c r="B55" s="105" t="s">
        <v>17</v>
      </c>
      <c r="C55" s="105">
        <v>2016</v>
      </c>
      <c r="D55" s="106">
        <v>19.79</v>
      </c>
      <c r="E55" s="107">
        <v>0.5</v>
      </c>
      <c r="F55" s="108">
        <v>6.6745999999999999</v>
      </c>
      <c r="G55" s="109">
        <v>2.9956999999999998</v>
      </c>
      <c r="H55" s="110">
        <v>22251</v>
      </c>
      <c r="I55" s="111">
        <v>10.0101</v>
      </c>
      <c r="J55" s="89">
        <v>13.8</v>
      </c>
      <c r="K55" s="112">
        <v>0</v>
      </c>
      <c r="L55" s="112">
        <v>0</v>
      </c>
      <c r="M55" s="113">
        <v>101.60809999999999</v>
      </c>
      <c r="N55">
        <v>188</v>
      </c>
      <c r="O55">
        <v>4001667</v>
      </c>
    </row>
    <row r="56" spans="2:15" ht="13.5" customHeight="1" x14ac:dyDescent="0.35">
      <c r="B56" s="97" t="s">
        <v>17</v>
      </c>
      <c r="C56" s="97">
        <v>2017</v>
      </c>
      <c r="D56" s="98">
        <v>23.85</v>
      </c>
      <c r="E56" s="99">
        <v>2.17</v>
      </c>
      <c r="F56" s="100">
        <v>6.8762999999999996</v>
      </c>
      <c r="G56" s="101">
        <v>4.4772999999999996</v>
      </c>
      <c r="H56" s="77">
        <v>22945</v>
      </c>
      <c r="I56" s="102">
        <v>10.040900000000001</v>
      </c>
      <c r="J56" s="86">
        <v>15.9</v>
      </c>
      <c r="K56" s="103">
        <v>0</v>
      </c>
      <c r="L56" s="114">
        <v>0</v>
      </c>
      <c r="M56" s="104">
        <v>101.60809999999999</v>
      </c>
      <c r="N56">
        <v>276</v>
      </c>
      <c r="O56">
        <v>4063614</v>
      </c>
    </row>
    <row r="57" spans="2:15" ht="13.5" customHeight="1" x14ac:dyDescent="0.35">
      <c r="B57" s="105" t="s">
        <v>17</v>
      </c>
      <c r="C57" s="105">
        <v>2018</v>
      </c>
      <c r="D57" s="106">
        <v>23.43</v>
      </c>
      <c r="E57" s="107">
        <v>4.71</v>
      </c>
      <c r="F57" s="108">
        <v>6.8628</v>
      </c>
      <c r="G57" s="109">
        <v>5.2575000000000003</v>
      </c>
      <c r="H57" s="110">
        <v>24533</v>
      </c>
      <c r="I57" s="111">
        <v>10.107799999999999</v>
      </c>
      <c r="J57" s="86">
        <v>14</v>
      </c>
      <c r="K57" s="112">
        <v>0</v>
      </c>
      <c r="L57" s="114">
        <v>0</v>
      </c>
      <c r="M57" s="113">
        <v>101.60809999999999</v>
      </c>
      <c r="N57">
        <v>468</v>
      </c>
      <c r="O57">
        <v>4080611</v>
      </c>
    </row>
    <row r="58" spans="2:15" ht="13.5" customHeight="1" x14ac:dyDescent="0.35">
      <c r="B58" s="97" t="s">
        <v>17</v>
      </c>
      <c r="C58" s="97">
        <v>2019</v>
      </c>
      <c r="D58" s="98">
        <v>23.65</v>
      </c>
      <c r="E58" s="99">
        <v>9.58</v>
      </c>
      <c r="F58" s="100">
        <v>6.8875999999999999</v>
      </c>
      <c r="G58" s="101">
        <v>5.9839000000000002</v>
      </c>
      <c r="H58" s="77">
        <v>26102</v>
      </c>
      <c r="I58" s="102">
        <v>10.1698</v>
      </c>
      <c r="J58" s="85">
        <v>14.2</v>
      </c>
      <c r="K58" s="103">
        <v>0</v>
      </c>
      <c r="L58" s="103">
        <v>0</v>
      </c>
      <c r="M58" s="104">
        <v>101.60809999999999</v>
      </c>
      <c r="N58">
        <v>865</v>
      </c>
      <c r="O58">
        <v>4144597</v>
      </c>
    </row>
    <row r="59" spans="2:15" ht="13.5" customHeight="1" x14ac:dyDescent="0.35">
      <c r="B59" s="105" t="s">
        <v>17</v>
      </c>
      <c r="C59" s="105">
        <v>2020</v>
      </c>
      <c r="D59" s="106">
        <v>18.579999999999998</v>
      </c>
      <c r="E59" s="107">
        <v>25.36</v>
      </c>
      <c r="F59" s="108">
        <v>6.6619000000000002</v>
      </c>
      <c r="G59" s="109">
        <v>6.9725999999999999</v>
      </c>
      <c r="H59" s="110">
        <v>27573</v>
      </c>
      <c r="I59" s="111">
        <v>10.224600000000001</v>
      </c>
      <c r="J59" s="89">
        <v>16</v>
      </c>
      <c r="K59" s="115">
        <v>0</v>
      </c>
      <c r="L59" s="112">
        <v>1</v>
      </c>
      <c r="M59" s="113">
        <v>101.60809999999999</v>
      </c>
      <c r="N59">
        <v>1932</v>
      </c>
      <c r="O59">
        <v>4207714</v>
      </c>
    </row>
    <row r="60" spans="2:15" ht="13.5" customHeight="1" x14ac:dyDescent="0.35">
      <c r="B60" s="97" t="s">
        <v>17</v>
      </c>
      <c r="C60" s="97">
        <v>2021</v>
      </c>
      <c r="D60" s="98">
        <v>29.93</v>
      </c>
      <c r="E60" s="99">
        <v>50.16</v>
      </c>
      <c r="F60" s="100">
        <v>7.1531000000000002</v>
      </c>
      <c r="G60" s="101">
        <v>7.6695000000000002</v>
      </c>
      <c r="H60" s="77">
        <v>30804</v>
      </c>
      <c r="I60" s="102">
        <v>10.3354</v>
      </c>
      <c r="J60" s="85">
        <v>15</v>
      </c>
      <c r="K60" s="103">
        <v>0</v>
      </c>
      <c r="L60" s="103">
        <v>1</v>
      </c>
      <c r="M60" s="104">
        <v>101.60809999999999</v>
      </c>
      <c r="N60">
        <v>4074</v>
      </c>
      <c r="O60">
        <v>4269995</v>
      </c>
    </row>
    <row r="61" spans="2:15" ht="13.5" customHeight="1" x14ac:dyDescent="0.35">
      <c r="B61" s="105" t="s">
        <v>17</v>
      </c>
      <c r="C61" s="105">
        <v>2022</v>
      </c>
      <c r="D61" s="106">
        <v>30.32</v>
      </c>
      <c r="E61" s="107">
        <v>101.61</v>
      </c>
      <c r="F61" s="108">
        <v>7.0858999999999996</v>
      </c>
      <c r="G61" s="109">
        <v>8.2952999999999992</v>
      </c>
      <c r="H61" s="110">
        <v>36823</v>
      </c>
      <c r="I61" s="111">
        <v>10.5139</v>
      </c>
      <c r="J61" s="89">
        <v>10.8</v>
      </c>
      <c r="K61" s="112">
        <v>0</v>
      </c>
      <c r="L61" s="112">
        <v>0</v>
      </c>
      <c r="M61" s="113">
        <v>101.60809999999999</v>
      </c>
      <c r="N61">
        <v>8079</v>
      </c>
      <c r="O61">
        <v>3941613</v>
      </c>
    </row>
    <row r="62" spans="2:15" ht="13.5" customHeight="1" x14ac:dyDescent="0.35">
      <c r="B62" s="97" t="s">
        <v>17</v>
      </c>
      <c r="C62" s="97">
        <v>2023</v>
      </c>
      <c r="D62" s="98">
        <v>26.69</v>
      </c>
      <c r="E62" s="99">
        <v>0.41</v>
      </c>
      <c r="F62" s="100">
        <v>6.9584000000000001</v>
      </c>
      <c r="G62" s="101">
        <v>2.7726000000000002</v>
      </c>
      <c r="H62" s="77">
        <v>41048</v>
      </c>
      <c r="I62" s="102">
        <v>10.6225</v>
      </c>
      <c r="J62" s="85">
        <v>9.6999999999999993</v>
      </c>
      <c r="K62" s="103">
        <v>1</v>
      </c>
      <c r="L62" s="103">
        <v>0</v>
      </c>
      <c r="M62" s="104">
        <v>101.60809999999999</v>
      </c>
      <c r="N62">
        <v>8095</v>
      </c>
      <c r="O62">
        <v>3941613</v>
      </c>
    </row>
    <row r="63" spans="2:15" ht="13.5" customHeight="1" x14ac:dyDescent="0.35">
      <c r="B63" s="105" t="s">
        <v>17</v>
      </c>
      <c r="C63" s="105">
        <v>2024</v>
      </c>
      <c r="D63" s="106">
        <v>17.71</v>
      </c>
      <c r="E63" s="107">
        <v>2.85</v>
      </c>
      <c r="F63" s="108">
        <v>6.6307</v>
      </c>
      <c r="G63" s="109">
        <v>4.8040000000000003</v>
      </c>
      <c r="H63" s="110">
        <v>41557</v>
      </c>
      <c r="I63" s="111">
        <v>10.6348</v>
      </c>
      <c r="J63" s="89">
        <v>8.8000000000000007</v>
      </c>
      <c r="K63" s="112">
        <v>1</v>
      </c>
      <c r="L63" s="112">
        <v>0</v>
      </c>
      <c r="M63" s="113">
        <v>101.60809999999999</v>
      </c>
      <c r="N63">
        <v>8217</v>
      </c>
      <c r="O63">
        <v>4281209</v>
      </c>
    </row>
    <row r="64" spans="2:15" ht="13.5" customHeight="1" x14ac:dyDescent="0.35">
      <c r="B64" s="97" t="s">
        <v>18</v>
      </c>
      <c r="C64" s="97">
        <v>2005</v>
      </c>
      <c r="D64" s="98">
        <v>9.08</v>
      </c>
      <c r="E64" s="99">
        <v>0</v>
      </c>
      <c r="F64" s="100">
        <v>3.9889999999999999</v>
      </c>
      <c r="G64" s="101"/>
      <c r="H64" s="77">
        <v>7335</v>
      </c>
      <c r="I64" s="102">
        <v>8.9003999999999994</v>
      </c>
      <c r="J64" s="86">
        <v>11.96</v>
      </c>
      <c r="K64" s="103">
        <v>0</v>
      </c>
      <c r="L64" s="114">
        <v>0</v>
      </c>
      <c r="M64" s="104">
        <v>75.092799999999997</v>
      </c>
      <c r="N64">
        <v>0</v>
      </c>
      <c r="O64">
        <v>594587</v>
      </c>
    </row>
    <row r="65" spans="2:15" ht="13.5" customHeight="1" x14ac:dyDescent="0.35">
      <c r="B65" s="105" t="s">
        <v>18</v>
      </c>
      <c r="C65" s="105">
        <v>2006</v>
      </c>
      <c r="D65" s="106">
        <v>12.02</v>
      </c>
      <c r="E65" s="107">
        <v>0</v>
      </c>
      <c r="F65" s="108">
        <v>4.3041</v>
      </c>
      <c r="G65" s="109"/>
      <c r="H65" s="110">
        <v>8543</v>
      </c>
      <c r="I65" s="111">
        <v>9.0528999999999993</v>
      </c>
      <c r="J65" s="86">
        <v>6.67</v>
      </c>
      <c r="K65" s="112">
        <v>0</v>
      </c>
      <c r="L65" s="114">
        <v>0</v>
      </c>
      <c r="M65" s="113">
        <v>75.092799999999997</v>
      </c>
      <c r="N65">
        <v>0</v>
      </c>
      <c r="O65">
        <v>615715</v>
      </c>
    </row>
    <row r="66" spans="2:15" ht="13.5" customHeight="1" x14ac:dyDescent="0.35">
      <c r="B66" s="97" t="s">
        <v>18</v>
      </c>
      <c r="C66" s="97">
        <v>2007</v>
      </c>
      <c r="D66" s="98">
        <v>10.050000000000001</v>
      </c>
      <c r="E66" s="99">
        <v>0</v>
      </c>
      <c r="F66" s="100">
        <v>4.0774999999999997</v>
      </c>
      <c r="G66" s="101"/>
      <c r="H66" s="77">
        <v>10254</v>
      </c>
      <c r="I66" s="102">
        <v>9.2354000000000003</v>
      </c>
      <c r="J66" s="85">
        <v>16.329999999999998</v>
      </c>
      <c r="K66" s="103">
        <v>0</v>
      </c>
      <c r="L66" s="103">
        <v>0</v>
      </c>
      <c r="M66" s="104">
        <v>75.092799999999997</v>
      </c>
      <c r="N66">
        <v>0</v>
      </c>
      <c r="O66">
        <v>587311</v>
      </c>
    </row>
    <row r="67" spans="2:15" ht="13.5" customHeight="1" x14ac:dyDescent="0.35">
      <c r="B67" s="105" t="s">
        <v>18</v>
      </c>
      <c r="C67" s="105">
        <v>2008</v>
      </c>
      <c r="D67" s="106">
        <v>10.76</v>
      </c>
      <c r="E67" s="107">
        <v>0</v>
      </c>
      <c r="F67" s="108">
        <v>4.1897000000000002</v>
      </c>
      <c r="G67" s="109"/>
      <c r="H67" s="110">
        <v>11033</v>
      </c>
      <c r="I67" s="111">
        <v>9.3086000000000002</v>
      </c>
      <c r="J67" s="89">
        <v>15.19</v>
      </c>
      <c r="K67" s="115">
        <v>0</v>
      </c>
      <c r="L67" s="112">
        <v>0</v>
      </c>
      <c r="M67" s="113">
        <v>75.092799999999997</v>
      </c>
      <c r="N67">
        <v>0</v>
      </c>
      <c r="O67">
        <v>613166</v>
      </c>
    </row>
    <row r="68" spans="2:15" ht="13.5" customHeight="1" x14ac:dyDescent="0.35">
      <c r="B68" s="97" t="s">
        <v>18</v>
      </c>
      <c r="C68" s="97">
        <v>2009</v>
      </c>
      <c r="D68" s="98">
        <v>11.01</v>
      </c>
      <c r="E68" s="99">
        <v>0</v>
      </c>
      <c r="F68" s="100">
        <v>4.2340999999999998</v>
      </c>
      <c r="G68" s="101"/>
      <c r="H68" s="77">
        <v>11816</v>
      </c>
      <c r="I68" s="102">
        <v>9.3772000000000002</v>
      </c>
      <c r="J68" s="85">
        <v>13.76</v>
      </c>
      <c r="K68" s="103">
        <v>0</v>
      </c>
      <c r="L68" s="103">
        <v>0</v>
      </c>
      <c r="M68" s="104">
        <v>75.092799999999997</v>
      </c>
      <c r="N68">
        <v>0</v>
      </c>
      <c r="O68">
        <v>626609</v>
      </c>
    </row>
    <row r="69" spans="2:15" ht="13.5" customHeight="1" x14ac:dyDescent="0.35">
      <c r="B69" s="105" t="s">
        <v>18</v>
      </c>
      <c r="C69" s="105">
        <v>2010</v>
      </c>
      <c r="D69" s="106">
        <v>15.38</v>
      </c>
      <c r="E69" s="107">
        <v>0</v>
      </c>
      <c r="F69" s="108">
        <v>4.6346999999999996</v>
      </c>
      <c r="G69" s="109"/>
      <c r="H69" s="110">
        <v>12304</v>
      </c>
      <c r="I69" s="111">
        <v>9.4177</v>
      </c>
      <c r="J69" s="89">
        <v>13.98</v>
      </c>
      <c r="K69" s="112">
        <v>0</v>
      </c>
      <c r="L69" s="112">
        <v>0</v>
      </c>
      <c r="M69" s="113">
        <v>75.092799999999997</v>
      </c>
      <c r="N69">
        <v>0</v>
      </c>
      <c r="O69">
        <v>669526</v>
      </c>
    </row>
    <row r="70" spans="2:15" ht="13.5" customHeight="1" x14ac:dyDescent="0.35">
      <c r="B70" s="97" t="s">
        <v>18</v>
      </c>
      <c r="C70" s="97">
        <v>2011</v>
      </c>
      <c r="D70" s="98">
        <v>11.4</v>
      </c>
      <c r="E70" s="99">
        <v>0.15</v>
      </c>
      <c r="F70" s="100">
        <v>4.3567</v>
      </c>
      <c r="G70" s="101">
        <v>0</v>
      </c>
      <c r="H70" s="77">
        <v>13750</v>
      </c>
      <c r="I70" s="102">
        <v>9.5288000000000004</v>
      </c>
      <c r="J70" s="85">
        <v>14.21</v>
      </c>
      <c r="K70" s="103">
        <v>0</v>
      </c>
      <c r="L70" s="103">
        <v>0</v>
      </c>
      <c r="M70" s="104">
        <v>75.092799999999997</v>
      </c>
      <c r="N70">
        <v>1</v>
      </c>
      <c r="O70">
        <v>684309</v>
      </c>
    </row>
    <row r="71" spans="2:15" ht="13.5" customHeight="1" x14ac:dyDescent="0.35">
      <c r="B71" s="105" t="s">
        <v>18</v>
      </c>
      <c r="C71" s="105">
        <v>2012</v>
      </c>
      <c r="D71" s="106">
        <v>16.600000000000001</v>
      </c>
      <c r="E71" s="107">
        <v>0.14000000000000001</v>
      </c>
      <c r="F71" s="108">
        <v>4.7535999999999996</v>
      </c>
      <c r="G71" s="109">
        <v>0</v>
      </c>
      <c r="H71" s="110">
        <v>15933</v>
      </c>
      <c r="I71" s="111">
        <v>9.6760999999999999</v>
      </c>
      <c r="J71" s="89">
        <v>10.91</v>
      </c>
      <c r="K71" s="112">
        <v>0</v>
      </c>
      <c r="L71" s="112">
        <v>0</v>
      </c>
      <c r="M71" s="113">
        <v>75.092799999999997</v>
      </c>
      <c r="N71">
        <v>2</v>
      </c>
      <c r="O71">
        <v>698602</v>
      </c>
    </row>
    <row r="72" spans="2:15" ht="13.5" customHeight="1" x14ac:dyDescent="0.35">
      <c r="B72" s="97" t="s">
        <v>18</v>
      </c>
      <c r="C72" s="97">
        <v>2013</v>
      </c>
      <c r="D72" s="98">
        <v>13.47</v>
      </c>
      <c r="E72" s="99">
        <v>0.14000000000000001</v>
      </c>
      <c r="F72" s="100">
        <v>4.5951000000000004</v>
      </c>
      <c r="G72" s="101">
        <v>0</v>
      </c>
      <c r="H72" s="77">
        <v>17365</v>
      </c>
      <c r="I72" s="102">
        <v>9.7622</v>
      </c>
      <c r="J72" s="86">
        <v>13.1</v>
      </c>
      <c r="K72" s="103">
        <v>0</v>
      </c>
      <c r="L72" s="114">
        <v>0</v>
      </c>
      <c r="M72" s="104">
        <v>75.092799999999997</v>
      </c>
      <c r="N72">
        <v>3</v>
      </c>
      <c r="O72">
        <v>734996</v>
      </c>
    </row>
    <row r="73" spans="2:15" ht="13.5" customHeight="1" x14ac:dyDescent="0.35">
      <c r="B73" s="105" t="s">
        <v>18</v>
      </c>
      <c r="C73" s="105">
        <v>2014</v>
      </c>
      <c r="D73" s="106">
        <v>19.71</v>
      </c>
      <c r="E73" s="107">
        <v>0</v>
      </c>
      <c r="F73" s="108">
        <v>4.9972000000000003</v>
      </c>
      <c r="G73" s="109"/>
      <c r="H73" s="110">
        <v>17845</v>
      </c>
      <c r="I73" s="111">
        <v>9.7895000000000003</v>
      </c>
      <c r="J73" s="86">
        <v>10.33</v>
      </c>
      <c r="K73" s="112">
        <v>0</v>
      </c>
      <c r="L73" s="114">
        <v>0</v>
      </c>
      <c r="M73" s="113">
        <v>75.092799999999997</v>
      </c>
      <c r="N73">
        <v>3</v>
      </c>
      <c r="O73">
        <v>750912</v>
      </c>
    </row>
    <row r="74" spans="2:15" ht="13.5" customHeight="1" x14ac:dyDescent="0.35">
      <c r="B74" s="97" t="s">
        <v>18</v>
      </c>
      <c r="C74" s="97">
        <v>2015</v>
      </c>
      <c r="D74" s="98">
        <v>19.829999999999998</v>
      </c>
      <c r="E74" s="99">
        <v>0.13</v>
      </c>
      <c r="F74" s="100">
        <v>5.0239000000000003</v>
      </c>
      <c r="G74" s="101">
        <v>0</v>
      </c>
      <c r="H74" s="77">
        <v>18080</v>
      </c>
      <c r="I74" s="102">
        <v>9.8026</v>
      </c>
      <c r="J74" s="85">
        <v>11.2</v>
      </c>
      <c r="K74" s="103">
        <v>0</v>
      </c>
      <c r="L74" s="103">
        <v>0</v>
      </c>
      <c r="M74" s="104">
        <v>75.092799999999997</v>
      </c>
      <c r="N74">
        <v>4</v>
      </c>
      <c r="O74">
        <v>766679</v>
      </c>
    </row>
    <row r="75" spans="2:15" ht="13.5" customHeight="1" x14ac:dyDescent="0.35">
      <c r="B75" s="105" t="s">
        <v>18</v>
      </c>
      <c r="C75" s="105">
        <v>2016</v>
      </c>
      <c r="D75" s="106">
        <v>27.61</v>
      </c>
      <c r="E75" s="107">
        <v>0</v>
      </c>
      <c r="F75" s="108">
        <v>5.3753000000000002</v>
      </c>
      <c r="G75" s="109"/>
      <c r="H75" s="110">
        <v>18333</v>
      </c>
      <c r="I75" s="111">
        <v>9.8164999999999996</v>
      </c>
      <c r="J75" s="89">
        <v>15.8</v>
      </c>
      <c r="K75" s="115">
        <v>0</v>
      </c>
      <c r="L75" s="112">
        <v>0</v>
      </c>
      <c r="M75" s="113">
        <v>75.092799999999997</v>
      </c>
      <c r="N75">
        <v>4</v>
      </c>
      <c r="O75">
        <v>782295</v>
      </c>
    </row>
    <row r="76" spans="2:15" ht="13.5" customHeight="1" x14ac:dyDescent="0.35">
      <c r="B76" s="97" t="s">
        <v>18</v>
      </c>
      <c r="C76" s="97">
        <v>2017</v>
      </c>
      <c r="D76" s="98">
        <v>22.31</v>
      </c>
      <c r="E76" s="99">
        <v>2.76</v>
      </c>
      <c r="F76" s="100">
        <v>5.1818</v>
      </c>
      <c r="G76" s="101">
        <v>3.0910000000000002</v>
      </c>
      <c r="H76" s="77">
        <v>19408</v>
      </c>
      <c r="I76" s="102">
        <v>9.8734000000000002</v>
      </c>
      <c r="J76" s="85">
        <v>18.100000000000001</v>
      </c>
      <c r="K76" s="103">
        <v>0</v>
      </c>
      <c r="L76" s="103">
        <v>0</v>
      </c>
      <c r="M76" s="104">
        <v>75.092799999999997</v>
      </c>
      <c r="N76">
        <v>26</v>
      </c>
      <c r="O76">
        <v>797722</v>
      </c>
    </row>
    <row r="77" spans="2:15" ht="13.5" customHeight="1" x14ac:dyDescent="0.35">
      <c r="B77" s="105" t="s">
        <v>18</v>
      </c>
      <c r="C77" s="105">
        <v>2018</v>
      </c>
      <c r="D77" s="106">
        <v>28.81</v>
      </c>
      <c r="E77" s="107">
        <v>2.5299999999999998</v>
      </c>
      <c r="F77" s="108">
        <v>5.4764999999999997</v>
      </c>
      <c r="G77" s="109">
        <v>3.0445000000000002</v>
      </c>
      <c r="H77" s="110">
        <v>20248</v>
      </c>
      <c r="I77" s="111">
        <v>9.9158000000000008</v>
      </c>
      <c r="J77" s="89">
        <v>20.399999999999999</v>
      </c>
      <c r="K77" s="112">
        <v>0</v>
      </c>
      <c r="L77" s="112">
        <v>0</v>
      </c>
      <c r="M77" s="113">
        <v>75.092799999999997</v>
      </c>
      <c r="N77">
        <v>47</v>
      </c>
      <c r="O77">
        <v>829494</v>
      </c>
    </row>
    <row r="78" spans="2:15" ht="13.5" customHeight="1" x14ac:dyDescent="0.35">
      <c r="B78" s="97" t="s">
        <v>18</v>
      </c>
      <c r="C78" s="97">
        <v>2019</v>
      </c>
      <c r="D78" s="98">
        <v>27.43</v>
      </c>
      <c r="E78" s="99">
        <v>13.12</v>
      </c>
      <c r="F78" s="100">
        <v>5.4466999999999999</v>
      </c>
      <c r="G78" s="101">
        <v>4.7095000000000002</v>
      </c>
      <c r="H78" s="77">
        <v>20688</v>
      </c>
      <c r="I78" s="102">
        <v>9.9373000000000005</v>
      </c>
      <c r="J78" s="85">
        <v>17.600000000000001</v>
      </c>
      <c r="K78" s="103">
        <v>0</v>
      </c>
      <c r="L78" s="103">
        <v>0</v>
      </c>
      <c r="M78" s="104">
        <v>75.092799999999997</v>
      </c>
      <c r="N78">
        <v>158</v>
      </c>
      <c r="O78">
        <v>845731</v>
      </c>
    </row>
    <row r="79" spans="2:15" ht="13.5" customHeight="1" x14ac:dyDescent="0.35">
      <c r="B79" s="105" t="s">
        <v>18</v>
      </c>
      <c r="C79" s="105">
        <v>2020</v>
      </c>
      <c r="D79" s="106">
        <v>25.76</v>
      </c>
      <c r="E79" s="107">
        <v>26.23</v>
      </c>
      <c r="F79" s="108">
        <v>5.4027000000000003</v>
      </c>
      <c r="G79" s="109">
        <v>5.4204999999999997</v>
      </c>
      <c r="H79" s="110">
        <v>21432</v>
      </c>
      <c r="I79" s="111">
        <v>9.9725999999999999</v>
      </c>
      <c r="J79" s="89">
        <v>15</v>
      </c>
      <c r="K79" s="112">
        <v>0</v>
      </c>
      <c r="L79" s="112">
        <v>1</v>
      </c>
      <c r="M79" s="113">
        <v>75.092799999999997</v>
      </c>
      <c r="N79">
        <v>384</v>
      </c>
      <c r="O79">
        <v>861773</v>
      </c>
    </row>
    <row r="80" spans="2:15" ht="13.5" customHeight="1" x14ac:dyDescent="0.35">
      <c r="B80" s="97" t="s">
        <v>18</v>
      </c>
      <c r="C80" s="97">
        <v>2021</v>
      </c>
      <c r="D80" s="98">
        <v>35.44</v>
      </c>
      <c r="E80" s="99">
        <v>40.450000000000003</v>
      </c>
      <c r="F80" s="100">
        <v>5.7397999999999998</v>
      </c>
      <c r="G80" s="101">
        <v>5.8720999999999997</v>
      </c>
      <c r="H80" s="77">
        <v>22903</v>
      </c>
      <c r="I80" s="102">
        <v>10.039</v>
      </c>
      <c r="J80" s="86">
        <v>16.600000000000001</v>
      </c>
      <c r="K80" s="103">
        <v>0</v>
      </c>
      <c r="L80" s="114">
        <v>1</v>
      </c>
      <c r="M80" s="104">
        <v>75.092799999999997</v>
      </c>
      <c r="N80">
        <v>739</v>
      </c>
      <c r="O80">
        <v>877613</v>
      </c>
    </row>
    <row r="81" spans="2:15" ht="13.5" customHeight="1" x14ac:dyDescent="0.35">
      <c r="B81" s="105" t="s">
        <v>18</v>
      </c>
      <c r="C81" s="105">
        <v>2022</v>
      </c>
      <c r="D81" s="106">
        <v>32.03</v>
      </c>
      <c r="E81" s="107">
        <v>75.09</v>
      </c>
      <c r="F81" s="108">
        <v>5.4596</v>
      </c>
      <c r="G81" s="109">
        <v>6.3117000000000001</v>
      </c>
      <c r="H81" s="110">
        <v>32183</v>
      </c>
      <c r="I81" s="111">
        <v>10.379200000000001</v>
      </c>
      <c r="J81" s="86">
        <v>12.5</v>
      </c>
      <c r="K81" s="112">
        <v>0</v>
      </c>
      <c r="L81" s="114">
        <v>0</v>
      </c>
      <c r="M81" s="113">
        <v>75.092799999999997</v>
      </c>
      <c r="N81">
        <v>1290</v>
      </c>
      <c r="O81">
        <v>733759</v>
      </c>
    </row>
    <row r="82" spans="2:15" ht="13.5" customHeight="1" x14ac:dyDescent="0.35">
      <c r="B82" s="97" t="s">
        <v>18</v>
      </c>
      <c r="C82" s="97">
        <v>2023</v>
      </c>
      <c r="D82" s="98">
        <v>41.29</v>
      </c>
      <c r="E82" s="99">
        <v>5.59</v>
      </c>
      <c r="F82" s="100">
        <v>5.7137000000000002</v>
      </c>
      <c r="G82" s="101">
        <v>3.7136</v>
      </c>
      <c r="H82" s="77">
        <v>38187</v>
      </c>
      <c r="I82" s="102">
        <v>10.5503</v>
      </c>
      <c r="J82" s="85">
        <v>12.8</v>
      </c>
      <c r="K82" s="103">
        <v>1</v>
      </c>
      <c r="L82" s="103">
        <v>0</v>
      </c>
      <c r="M82" s="104">
        <v>75.092799999999997</v>
      </c>
      <c r="N82">
        <v>1331</v>
      </c>
      <c r="O82">
        <v>733759</v>
      </c>
    </row>
    <row r="83" spans="2:15" ht="13.5" customHeight="1" x14ac:dyDescent="0.35">
      <c r="B83" s="105" t="s">
        <v>18</v>
      </c>
      <c r="C83" s="105">
        <v>2024</v>
      </c>
      <c r="D83" s="106">
        <v>24.41</v>
      </c>
      <c r="E83" s="107">
        <v>8.2200000000000006</v>
      </c>
      <c r="F83" s="108">
        <v>5.2781000000000002</v>
      </c>
      <c r="G83" s="109">
        <v>4.1897000000000002</v>
      </c>
      <c r="H83" s="110">
        <v>39592</v>
      </c>
      <c r="I83" s="111">
        <v>10.586399999999999</v>
      </c>
      <c r="J83" s="89">
        <v>9.3000000000000007</v>
      </c>
      <c r="K83" s="115">
        <v>1</v>
      </c>
      <c r="L83" s="112">
        <v>0</v>
      </c>
      <c r="M83" s="113">
        <v>75.092799999999997</v>
      </c>
      <c r="N83">
        <v>1397</v>
      </c>
      <c r="O83">
        <v>802837</v>
      </c>
    </row>
    <row r="84" spans="2:15" ht="13.5" customHeight="1" x14ac:dyDescent="0.35">
      <c r="B84" s="97" t="s">
        <v>19</v>
      </c>
      <c r="C84" s="97">
        <v>2005</v>
      </c>
      <c r="D84" s="98">
        <v>14.68</v>
      </c>
      <c r="E84" s="99">
        <v>0.04</v>
      </c>
      <c r="F84" s="100">
        <v>7.6147999999999998</v>
      </c>
      <c r="G84" s="101">
        <v>1.7918000000000001</v>
      </c>
      <c r="H84" s="77">
        <v>6581</v>
      </c>
      <c r="I84" s="102">
        <v>8.7919</v>
      </c>
      <c r="J84" s="85">
        <v>11.07</v>
      </c>
      <c r="K84" s="103">
        <v>0</v>
      </c>
      <c r="L84" s="103">
        <v>0</v>
      </c>
      <c r="M84" s="104">
        <v>83.590100000000007</v>
      </c>
      <c r="N84">
        <v>6</v>
      </c>
      <c r="O84">
        <v>13815334</v>
      </c>
    </row>
    <row r="85" spans="2:15" ht="13.5" customHeight="1" x14ac:dyDescent="0.35">
      <c r="B85" s="105" t="s">
        <v>19</v>
      </c>
      <c r="C85" s="105">
        <v>2006</v>
      </c>
      <c r="D85" s="106">
        <v>17.18</v>
      </c>
      <c r="E85" s="107">
        <v>0.08</v>
      </c>
      <c r="F85" s="108">
        <v>7.7816000000000001</v>
      </c>
      <c r="G85" s="109">
        <v>2.3978999999999999</v>
      </c>
      <c r="H85" s="110">
        <v>6919</v>
      </c>
      <c r="I85" s="111">
        <v>8.8420000000000005</v>
      </c>
      <c r="J85" s="89">
        <v>10.25</v>
      </c>
      <c r="K85" s="112">
        <v>0</v>
      </c>
      <c r="L85" s="112">
        <v>0</v>
      </c>
      <c r="M85" s="113">
        <v>83.590100000000007</v>
      </c>
      <c r="N85">
        <v>17</v>
      </c>
      <c r="O85">
        <v>13950146</v>
      </c>
    </row>
    <row r="86" spans="2:15" ht="13.5" customHeight="1" x14ac:dyDescent="0.35">
      <c r="B86" s="97" t="s">
        <v>19</v>
      </c>
      <c r="C86" s="97">
        <v>2007</v>
      </c>
      <c r="D86" s="98">
        <v>19.12</v>
      </c>
      <c r="E86" s="99">
        <v>0.11</v>
      </c>
      <c r="F86" s="100">
        <v>7.8979999999999997</v>
      </c>
      <c r="G86" s="101">
        <v>2.7726000000000002</v>
      </c>
      <c r="H86" s="77">
        <v>7787</v>
      </c>
      <c r="I86" s="102">
        <v>8.9602000000000004</v>
      </c>
      <c r="J86" s="85">
        <v>10.34</v>
      </c>
      <c r="K86" s="103">
        <v>0</v>
      </c>
      <c r="L86" s="103">
        <v>0</v>
      </c>
      <c r="M86" s="104">
        <v>83.590100000000007</v>
      </c>
      <c r="N86">
        <v>33</v>
      </c>
      <c r="O86">
        <v>14080670</v>
      </c>
    </row>
    <row r="87" spans="2:15" ht="13.5" customHeight="1" x14ac:dyDescent="0.35">
      <c r="B87" s="105" t="s">
        <v>19</v>
      </c>
      <c r="C87" s="105">
        <v>2008</v>
      </c>
      <c r="D87" s="106">
        <v>26.35</v>
      </c>
      <c r="E87" s="107">
        <v>0.22</v>
      </c>
      <c r="F87" s="108">
        <v>8.2484999999999999</v>
      </c>
      <c r="G87" s="109">
        <v>3.4657</v>
      </c>
      <c r="H87" s="110">
        <v>8378</v>
      </c>
      <c r="I87" s="111">
        <v>9.0334000000000003</v>
      </c>
      <c r="J87" s="89">
        <v>10.53</v>
      </c>
      <c r="K87" s="112">
        <v>0</v>
      </c>
      <c r="L87" s="112">
        <v>0</v>
      </c>
      <c r="M87" s="113">
        <v>83.590100000000007</v>
      </c>
      <c r="N87">
        <v>65</v>
      </c>
      <c r="O87">
        <v>14502563</v>
      </c>
    </row>
    <row r="88" spans="2:15" ht="13.5" customHeight="1" x14ac:dyDescent="0.35">
      <c r="B88" s="97" t="s">
        <v>19</v>
      </c>
      <c r="C88" s="97">
        <v>2009</v>
      </c>
      <c r="D88" s="98">
        <v>29.83</v>
      </c>
      <c r="E88" s="99">
        <v>0.4</v>
      </c>
      <c r="F88" s="100">
        <v>8.3818000000000001</v>
      </c>
      <c r="G88" s="101">
        <v>4.0603999999999996</v>
      </c>
      <c r="H88" s="77">
        <v>9365</v>
      </c>
      <c r="I88" s="102">
        <v>9.1447000000000003</v>
      </c>
      <c r="J88" s="86">
        <v>10.67</v>
      </c>
      <c r="K88" s="103">
        <v>0</v>
      </c>
      <c r="L88" s="114">
        <v>0</v>
      </c>
      <c r="M88" s="104">
        <v>83.590100000000007</v>
      </c>
      <c r="N88">
        <v>123</v>
      </c>
      <c r="O88">
        <v>14637364</v>
      </c>
    </row>
    <row r="89" spans="2:15" ht="13.5" customHeight="1" x14ac:dyDescent="0.35">
      <c r="B89" s="105" t="s">
        <v>19</v>
      </c>
      <c r="C89" s="105">
        <v>2010</v>
      </c>
      <c r="D89" s="106">
        <v>31.74</v>
      </c>
      <c r="E89" s="107">
        <v>0.44</v>
      </c>
      <c r="F89" s="108">
        <v>8.4003999999999994</v>
      </c>
      <c r="G89" s="109">
        <v>4.1271000000000004</v>
      </c>
      <c r="H89" s="110">
        <v>11017</v>
      </c>
      <c r="I89" s="111">
        <v>9.3071999999999999</v>
      </c>
      <c r="J89" s="86">
        <v>10.59</v>
      </c>
      <c r="K89" s="112">
        <v>0</v>
      </c>
      <c r="L89" s="114">
        <v>0</v>
      </c>
      <c r="M89" s="113">
        <v>83.590100000000007</v>
      </c>
      <c r="N89">
        <v>185</v>
      </c>
      <c r="O89">
        <v>14016906</v>
      </c>
    </row>
    <row r="90" spans="2:15" ht="13.5" customHeight="1" x14ac:dyDescent="0.35">
      <c r="B90" s="97" t="s">
        <v>19</v>
      </c>
      <c r="C90" s="97">
        <v>2011</v>
      </c>
      <c r="D90" s="98">
        <v>29.54</v>
      </c>
      <c r="E90" s="99">
        <v>1.0900000000000001</v>
      </c>
      <c r="F90" s="100">
        <v>8.3345000000000002</v>
      </c>
      <c r="G90" s="101">
        <v>5.0304000000000002</v>
      </c>
      <c r="H90" s="77">
        <v>11818</v>
      </c>
      <c r="I90" s="102">
        <v>9.3773999999999997</v>
      </c>
      <c r="J90" s="85">
        <v>10.51</v>
      </c>
      <c r="K90" s="103">
        <v>0</v>
      </c>
      <c r="L90" s="103">
        <v>0</v>
      </c>
      <c r="M90" s="104">
        <v>83.590100000000007</v>
      </c>
      <c r="N90">
        <v>338</v>
      </c>
      <c r="O90">
        <v>14097534</v>
      </c>
    </row>
    <row r="91" spans="2:15" ht="13.5" customHeight="1" x14ac:dyDescent="0.35">
      <c r="B91" s="105" t="s">
        <v>19</v>
      </c>
      <c r="C91" s="105">
        <v>2012</v>
      </c>
      <c r="D91" s="106">
        <v>32.450000000000003</v>
      </c>
      <c r="E91" s="107">
        <v>1.1000000000000001</v>
      </c>
      <c r="F91" s="108">
        <v>8.4337999999999997</v>
      </c>
      <c r="G91" s="109">
        <v>5.0499000000000001</v>
      </c>
      <c r="H91" s="110">
        <v>12880</v>
      </c>
      <c r="I91" s="111">
        <v>9.4634</v>
      </c>
      <c r="J91" s="89">
        <v>10.18</v>
      </c>
      <c r="K91" s="115">
        <v>0</v>
      </c>
      <c r="L91" s="112">
        <v>0</v>
      </c>
      <c r="M91" s="113">
        <v>83.590100000000007</v>
      </c>
      <c r="N91">
        <v>494</v>
      </c>
      <c r="O91">
        <v>14175341</v>
      </c>
    </row>
    <row r="92" spans="2:15" ht="13.5" customHeight="1" x14ac:dyDescent="0.35">
      <c r="B92" s="97" t="s">
        <v>19</v>
      </c>
      <c r="C92" s="97">
        <v>2013</v>
      </c>
      <c r="D92" s="98">
        <v>28.51</v>
      </c>
      <c r="E92" s="99">
        <v>0.57999999999999996</v>
      </c>
      <c r="F92" s="100">
        <v>8.3637999999999995</v>
      </c>
      <c r="G92" s="101">
        <v>4.4772999999999996</v>
      </c>
      <c r="H92" s="77">
        <v>13616</v>
      </c>
      <c r="I92" s="102">
        <v>9.5190000000000001</v>
      </c>
      <c r="J92" s="85">
        <v>9.8699999999999992</v>
      </c>
      <c r="K92" s="103">
        <v>0</v>
      </c>
      <c r="L92" s="103">
        <v>0</v>
      </c>
      <c r="M92" s="104">
        <v>83.590100000000007</v>
      </c>
      <c r="N92">
        <v>582</v>
      </c>
      <c r="O92">
        <v>15044137</v>
      </c>
    </row>
    <row r="93" spans="2:15" ht="13.5" customHeight="1" x14ac:dyDescent="0.35">
      <c r="B93" s="105" t="s">
        <v>19</v>
      </c>
      <c r="C93" s="105">
        <v>2014</v>
      </c>
      <c r="D93" s="106">
        <v>30.75</v>
      </c>
      <c r="E93" s="107">
        <v>0.17</v>
      </c>
      <c r="F93" s="108">
        <v>8.4451000000000001</v>
      </c>
      <c r="G93" s="109">
        <v>3.2581000000000002</v>
      </c>
      <c r="H93" s="110">
        <v>14804</v>
      </c>
      <c r="I93" s="111">
        <v>9.6027000000000005</v>
      </c>
      <c r="J93" s="89">
        <v>9.98</v>
      </c>
      <c r="K93" s="112">
        <v>0</v>
      </c>
      <c r="L93" s="112">
        <v>0</v>
      </c>
      <c r="M93" s="113">
        <v>83.590100000000007</v>
      </c>
      <c r="N93">
        <v>608</v>
      </c>
      <c r="O93">
        <v>15126371</v>
      </c>
    </row>
    <row r="94" spans="2:15" ht="13.5" customHeight="1" x14ac:dyDescent="0.35">
      <c r="B94" s="97" t="s">
        <v>19</v>
      </c>
      <c r="C94" s="97">
        <v>2015</v>
      </c>
      <c r="D94" s="98">
        <v>29.95</v>
      </c>
      <c r="E94" s="99">
        <v>0.97</v>
      </c>
      <c r="F94" s="100">
        <v>8.4235000000000007</v>
      </c>
      <c r="G94" s="101">
        <v>4.9972000000000003</v>
      </c>
      <c r="H94" s="77">
        <v>16118</v>
      </c>
      <c r="I94" s="102">
        <v>9.6876999999999995</v>
      </c>
      <c r="J94" s="85">
        <v>12.4</v>
      </c>
      <c r="K94" s="103">
        <v>0</v>
      </c>
      <c r="L94" s="103">
        <v>0</v>
      </c>
      <c r="M94" s="104">
        <v>83.590100000000007</v>
      </c>
      <c r="N94">
        <v>756</v>
      </c>
      <c r="O94">
        <v>15203334</v>
      </c>
    </row>
    <row r="95" spans="2:15" ht="13.5" customHeight="1" x14ac:dyDescent="0.35">
      <c r="B95" s="105" t="s">
        <v>19</v>
      </c>
      <c r="C95" s="105">
        <v>2016</v>
      </c>
      <c r="D95" s="106">
        <v>35.619999999999997</v>
      </c>
      <c r="E95" s="107">
        <v>1.6</v>
      </c>
      <c r="F95" s="108">
        <v>8.6019000000000005</v>
      </c>
      <c r="G95" s="109">
        <v>5.5012999999999996</v>
      </c>
      <c r="H95" s="110">
        <v>16937</v>
      </c>
      <c r="I95" s="111">
        <v>9.7372999999999994</v>
      </c>
      <c r="J95" s="89">
        <v>16</v>
      </c>
      <c r="K95" s="112">
        <v>0</v>
      </c>
      <c r="L95" s="112">
        <v>0</v>
      </c>
      <c r="M95" s="113">
        <v>83.590100000000007</v>
      </c>
      <c r="N95">
        <v>1001</v>
      </c>
      <c r="O95">
        <v>15276566</v>
      </c>
    </row>
    <row r="96" spans="2:15" ht="13.5" customHeight="1" x14ac:dyDescent="0.35">
      <c r="B96" s="97" t="s">
        <v>19</v>
      </c>
      <c r="C96" s="97">
        <v>2017</v>
      </c>
      <c r="D96" s="98">
        <v>35.299999999999997</v>
      </c>
      <c r="E96" s="99">
        <v>2.97</v>
      </c>
      <c r="F96" s="100">
        <v>8.5970999999999993</v>
      </c>
      <c r="G96" s="101">
        <v>6.1203000000000003</v>
      </c>
      <c r="H96" s="77">
        <v>17513</v>
      </c>
      <c r="I96" s="102">
        <v>9.7706999999999997</v>
      </c>
      <c r="J96" s="86">
        <v>17.100000000000001</v>
      </c>
      <c r="K96" s="103">
        <v>0</v>
      </c>
      <c r="L96" s="114">
        <v>0</v>
      </c>
      <c r="M96" s="104">
        <v>83.590100000000007</v>
      </c>
      <c r="N96">
        <v>1456</v>
      </c>
      <c r="O96">
        <v>15344447</v>
      </c>
    </row>
    <row r="97" spans="2:15" ht="13.5" customHeight="1" x14ac:dyDescent="0.35">
      <c r="B97" s="105" t="s">
        <v>19</v>
      </c>
      <c r="C97" s="105">
        <v>2018</v>
      </c>
      <c r="D97" s="106">
        <v>33.47</v>
      </c>
      <c r="E97" s="107">
        <v>5.33</v>
      </c>
      <c r="F97" s="108">
        <v>8.5088000000000008</v>
      </c>
      <c r="G97" s="109">
        <v>6.6719999999999997</v>
      </c>
      <c r="H97" s="110">
        <v>19324</v>
      </c>
      <c r="I97" s="111">
        <v>9.8690999999999995</v>
      </c>
      <c r="J97" s="86">
        <v>17.2</v>
      </c>
      <c r="K97" s="112">
        <v>0</v>
      </c>
      <c r="L97" s="114">
        <v>0</v>
      </c>
      <c r="M97" s="113">
        <v>83.590100000000007</v>
      </c>
      <c r="N97">
        <v>2246</v>
      </c>
      <c r="O97">
        <v>14812617</v>
      </c>
    </row>
    <row r="98" spans="2:15" ht="13.5" customHeight="1" x14ac:dyDescent="0.35">
      <c r="B98" s="97" t="s">
        <v>19</v>
      </c>
      <c r="C98" s="97">
        <v>2019</v>
      </c>
      <c r="D98" s="98">
        <v>30.83</v>
      </c>
      <c r="E98" s="99">
        <v>19.63</v>
      </c>
      <c r="F98" s="100">
        <v>8.4307999999999996</v>
      </c>
      <c r="G98" s="101">
        <v>7.9793000000000003</v>
      </c>
      <c r="H98" s="77">
        <v>19716</v>
      </c>
      <c r="I98" s="102">
        <v>9.8892000000000007</v>
      </c>
      <c r="J98" s="85">
        <v>17.399999999999999</v>
      </c>
      <c r="K98" s="103">
        <v>0</v>
      </c>
      <c r="L98" s="103">
        <v>0</v>
      </c>
      <c r="M98" s="104">
        <v>83.590100000000007</v>
      </c>
      <c r="N98">
        <v>5166</v>
      </c>
      <c r="O98">
        <v>14873064</v>
      </c>
    </row>
    <row r="99" spans="2:15" ht="13.5" customHeight="1" x14ac:dyDescent="0.35">
      <c r="B99" s="105" t="s">
        <v>19</v>
      </c>
      <c r="C99" s="105">
        <v>2020</v>
      </c>
      <c r="D99" s="106">
        <v>34.04</v>
      </c>
      <c r="E99" s="107">
        <v>41.26</v>
      </c>
      <c r="F99" s="108">
        <v>8.5335000000000001</v>
      </c>
      <c r="G99" s="109">
        <v>8.7260000000000009</v>
      </c>
      <c r="H99" s="110">
        <v>20449</v>
      </c>
      <c r="I99" s="111">
        <v>9.9257000000000009</v>
      </c>
      <c r="J99" s="89">
        <v>20.2</v>
      </c>
      <c r="K99" s="115">
        <v>0</v>
      </c>
      <c r="L99" s="112">
        <v>1</v>
      </c>
      <c r="M99" s="113">
        <v>83.590100000000007</v>
      </c>
      <c r="N99">
        <v>11327</v>
      </c>
      <c r="O99">
        <v>14930634</v>
      </c>
    </row>
    <row r="100" spans="2:15" ht="13.5" customHeight="1" x14ac:dyDescent="0.35">
      <c r="B100" s="97" t="s">
        <v>19</v>
      </c>
      <c r="C100" s="97">
        <v>2021</v>
      </c>
      <c r="D100" s="98">
        <v>35.299999999999997</v>
      </c>
      <c r="E100" s="99">
        <v>56.73</v>
      </c>
      <c r="F100" s="100">
        <v>8.5736000000000008</v>
      </c>
      <c r="G100" s="101">
        <v>9.0479000000000003</v>
      </c>
      <c r="H100" s="77">
        <v>23531</v>
      </c>
      <c r="I100" s="102">
        <v>10.0661</v>
      </c>
      <c r="J100" s="85">
        <v>19.5</v>
      </c>
      <c r="K100" s="103">
        <v>0</v>
      </c>
      <c r="L100" s="103">
        <v>1</v>
      </c>
      <c r="M100" s="104">
        <v>83.590100000000007</v>
      </c>
      <c r="N100">
        <v>19828</v>
      </c>
      <c r="O100">
        <v>14985284</v>
      </c>
    </row>
    <row r="101" spans="2:15" ht="13.5" customHeight="1" x14ac:dyDescent="0.35">
      <c r="B101" s="105" t="s">
        <v>19</v>
      </c>
      <c r="C101" s="105">
        <v>2022</v>
      </c>
      <c r="D101" s="106">
        <v>34.119999999999997</v>
      </c>
      <c r="E101" s="107">
        <v>83.59</v>
      </c>
      <c r="F101" s="108">
        <v>8.4816000000000003</v>
      </c>
      <c r="G101" s="109">
        <v>9.3775999999999993</v>
      </c>
      <c r="H101" s="110">
        <v>28472</v>
      </c>
      <c r="I101" s="111">
        <v>10.2567</v>
      </c>
      <c r="J101" s="89">
        <v>15.3</v>
      </c>
      <c r="K101" s="112">
        <v>0</v>
      </c>
      <c r="L101" s="112">
        <v>0</v>
      </c>
      <c r="M101" s="113">
        <v>83.590100000000007</v>
      </c>
      <c r="N101">
        <v>31649</v>
      </c>
      <c r="O101">
        <v>14141626</v>
      </c>
    </row>
    <row r="102" spans="2:15" ht="13.5" customHeight="1" x14ac:dyDescent="0.35">
      <c r="B102" s="97" t="s">
        <v>19</v>
      </c>
      <c r="C102" s="97">
        <v>2023</v>
      </c>
      <c r="D102" s="98">
        <v>33.58</v>
      </c>
      <c r="E102" s="99">
        <v>0.51</v>
      </c>
      <c r="F102" s="100">
        <v>8.4657</v>
      </c>
      <c r="G102" s="101">
        <v>4.2766999999999999</v>
      </c>
      <c r="H102" s="77">
        <v>30477</v>
      </c>
      <c r="I102" s="102">
        <v>10.3247</v>
      </c>
      <c r="J102" s="85">
        <v>13.4</v>
      </c>
      <c r="K102" s="103">
        <v>1</v>
      </c>
      <c r="L102" s="103">
        <v>0</v>
      </c>
      <c r="M102" s="104">
        <v>83.590100000000007</v>
      </c>
      <c r="N102">
        <v>31721</v>
      </c>
      <c r="O102">
        <v>14141626</v>
      </c>
    </row>
    <row r="103" spans="2:15" ht="13.5" customHeight="1" x14ac:dyDescent="0.35">
      <c r="B103" s="105" t="s">
        <v>19</v>
      </c>
      <c r="C103" s="105">
        <v>2024</v>
      </c>
      <c r="D103" s="106">
        <v>25.43</v>
      </c>
      <c r="E103" s="107">
        <v>10.38</v>
      </c>
      <c r="F103" s="108">
        <v>8.2367000000000008</v>
      </c>
      <c r="G103" s="109">
        <v>7.3402000000000003</v>
      </c>
      <c r="H103" s="110">
        <v>31312</v>
      </c>
      <c r="I103" s="111">
        <v>10.351800000000001</v>
      </c>
      <c r="J103" s="89">
        <v>11.2</v>
      </c>
      <c r="K103" s="112">
        <v>1</v>
      </c>
      <c r="L103" s="112">
        <v>0</v>
      </c>
      <c r="M103" s="113">
        <v>83.590100000000007</v>
      </c>
      <c r="N103">
        <v>33262</v>
      </c>
      <c r="O103">
        <v>14850513</v>
      </c>
    </row>
    <row r="104" spans="2:15" ht="13.5" customHeight="1" x14ac:dyDescent="0.35">
      <c r="B104" s="97" t="s">
        <v>20</v>
      </c>
      <c r="C104" s="97">
        <v>2005</v>
      </c>
      <c r="D104" s="98">
        <v>12.49</v>
      </c>
      <c r="E104" s="99">
        <v>0.21</v>
      </c>
      <c r="F104" s="100">
        <v>6.9187000000000003</v>
      </c>
      <c r="G104" s="101">
        <v>2.8332000000000002</v>
      </c>
      <c r="H104" s="77">
        <v>5055</v>
      </c>
      <c r="I104" s="102">
        <v>8.5281000000000002</v>
      </c>
      <c r="J104" s="86">
        <v>9.1199999999999992</v>
      </c>
      <c r="K104" s="103">
        <v>0</v>
      </c>
      <c r="L104" s="114">
        <v>0</v>
      </c>
      <c r="M104" s="104">
        <v>73.200999999999993</v>
      </c>
      <c r="N104">
        <v>17</v>
      </c>
      <c r="O104">
        <v>8097276</v>
      </c>
    </row>
    <row r="105" spans="2:15" ht="13.5" customHeight="1" x14ac:dyDescent="0.35">
      <c r="B105" s="105" t="s">
        <v>20</v>
      </c>
      <c r="C105" s="105">
        <v>2006</v>
      </c>
      <c r="D105" s="106">
        <v>12.9</v>
      </c>
      <c r="E105" s="107">
        <v>0.27</v>
      </c>
      <c r="F105" s="108">
        <v>6.9660000000000002</v>
      </c>
      <c r="G105" s="109">
        <v>3.0910000000000002</v>
      </c>
      <c r="H105" s="110">
        <v>5635</v>
      </c>
      <c r="I105" s="111">
        <v>8.6367999999999991</v>
      </c>
      <c r="J105" s="86">
        <v>8.36</v>
      </c>
      <c r="K105" s="112">
        <v>0</v>
      </c>
      <c r="L105" s="114">
        <v>0</v>
      </c>
      <c r="M105" s="113">
        <v>73.200999999999993</v>
      </c>
      <c r="N105">
        <v>39</v>
      </c>
      <c r="O105">
        <v>8217085</v>
      </c>
    </row>
    <row r="106" spans="2:15" ht="13.5" customHeight="1" x14ac:dyDescent="0.35">
      <c r="B106" s="97" t="s">
        <v>20</v>
      </c>
      <c r="C106" s="97">
        <v>2007</v>
      </c>
      <c r="D106" s="98">
        <v>15.04</v>
      </c>
      <c r="E106" s="99">
        <v>0.45</v>
      </c>
      <c r="F106" s="100">
        <v>7.1155999999999997</v>
      </c>
      <c r="G106" s="101">
        <v>3.6109</v>
      </c>
      <c r="H106" s="77">
        <v>6149</v>
      </c>
      <c r="I106" s="102">
        <v>8.7240000000000002</v>
      </c>
      <c r="J106" s="85">
        <v>7.88</v>
      </c>
      <c r="K106" s="103">
        <v>0</v>
      </c>
      <c r="L106" s="103">
        <v>0</v>
      </c>
      <c r="M106" s="104">
        <v>73.200999999999993</v>
      </c>
      <c r="N106">
        <v>76</v>
      </c>
      <c r="O106">
        <v>8185250</v>
      </c>
    </row>
    <row r="107" spans="2:15" ht="13.5" customHeight="1" x14ac:dyDescent="0.35">
      <c r="B107" s="105" t="s">
        <v>20</v>
      </c>
      <c r="C107" s="105">
        <v>2008</v>
      </c>
      <c r="D107" s="106">
        <v>15.89</v>
      </c>
      <c r="E107" s="107">
        <v>0.51</v>
      </c>
      <c r="F107" s="108">
        <v>7.2027000000000001</v>
      </c>
      <c r="G107" s="109">
        <v>3.7612000000000001</v>
      </c>
      <c r="H107" s="110">
        <v>7112</v>
      </c>
      <c r="I107" s="111">
        <v>8.8695000000000004</v>
      </c>
      <c r="J107" s="89">
        <v>7</v>
      </c>
      <c r="K107" s="115">
        <v>0</v>
      </c>
      <c r="L107" s="112">
        <v>0</v>
      </c>
      <c r="M107" s="113">
        <v>73.200999999999993</v>
      </c>
      <c r="N107">
        <v>119</v>
      </c>
      <c r="O107">
        <v>8450528</v>
      </c>
    </row>
    <row r="108" spans="2:15" ht="13.5" customHeight="1" x14ac:dyDescent="0.35">
      <c r="B108" s="97" t="s">
        <v>20</v>
      </c>
      <c r="C108" s="97">
        <v>2009</v>
      </c>
      <c r="D108" s="98">
        <v>17.72</v>
      </c>
      <c r="E108" s="99">
        <v>1.5</v>
      </c>
      <c r="F108" s="100">
        <v>7.3231999999999999</v>
      </c>
      <c r="G108" s="101">
        <v>4.8520000000000003</v>
      </c>
      <c r="H108" s="77">
        <v>7687</v>
      </c>
      <c r="I108" s="102">
        <v>8.9473000000000003</v>
      </c>
      <c r="J108" s="85">
        <v>7.91</v>
      </c>
      <c r="K108" s="103">
        <v>0</v>
      </c>
      <c r="L108" s="103">
        <v>0</v>
      </c>
      <c r="M108" s="104">
        <v>73.200999999999993</v>
      </c>
      <c r="N108">
        <v>247</v>
      </c>
      <c r="O108">
        <v>8547809</v>
      </c>
    </row>
    <row r="109" spans="2:15" ht="13.5" customHeight="1" x14ac:dyDescent="0.35">
      <c r="B109" s="105" t="s">
        <v>20</v>
      </c>
      <c r="C109" s="105">
        <v>2010</v>
      </c>
      <c r="D109" s="106">
        <v>24.32</v>
      </c>
      <c r="E109" s="107">
        <v>1.59</v>
      </c>
      <c r="F109" s="108">
        <v>7.6284999999999998</v>
      </c>
      <c r="G109" s="109">
        <v>4.8978000000000002</v>
      </c>
      <c r="H109" s="110">
        <v>9386</v>
      </c>
      <c r="I109" s="111">
        <v>9.1470000000000002</v>
      </c>
      <c r="J109" s="89">
        <v>7.02</v>
      </c>
      <c r="K109" s="112">
        <v>0</v>
      </c>
      <c r="L109" s="112">
        <v>0</v>
      </c>
      <c r="M109" s="113">
        <v>73.200999999999993</v>
      </c>
      <c r="N109">
        <v>381</v>
      </c>
      <c r="O109">
        <v>8452381</v>
      </c>
    </row>
    <row r="110" spans="2:15" ht="13.5" customHeight="1" x14ac:dyDescent="0.35">
      <c r="B110" s="97" t="s">
        <v>20</v>
      </c>
      <c r="C110" s="97">
        <v>2011</v>
      </c>
      <c r="D110" s="98">
        <v>24.18</v>
      </c>
      <c r="E110" s="99">
        <v>2.59</v>
      </c>
      <c r="F110" s="100">
        <v>7.6318999999999999</v>
      </c>
      <c r="G110" s="101">
        <v>5.3982000000000001</v>
      </c>
      <c r="H110" s="77">
        <v>10515</v>
      </c>
      <c r="I110" s="102">
        <v>9.2606000000000002</v>
      </c>
      <c r="J110" s="85">
        <v>6.12</v>
      </c>
      <c r="K110" s="103">
        <v>0</v>
      </c>
      <c r="L110" s="103">
        <v>0</v>
      </c>
      <c r="M110" s="104">
        <v>73.200999999999993</v>
      </c>
      <c r="N110">
        <v>602</v>
      </c>
      <c r="O110">
        <v>8530155</v>
      </c>
    </row>
    <row r="111" spans="2:15" ht="13.5" customHeight="1" x14ac:dyDescent="0.35">
      <c r="B111" s="105" t="s">
        <v>20</v>
      </c>
      <c r="C111" s="105">
        <v>2012</v>
      </c>
      <c r="D111" s="106">
        <v>36.39</v>
      </c>
      <c r="E111" s="107">
        <v>3.32</v>
      </c>
      <c r="F111" s="108">
        <v>8.0494000000000003</v>
      </c>
      <c r="G111" s="109">
        <v>5.6559999999999997</v>
      </c>
      <c r="H111" s="110">
        <v>11268</v>
      </c>
      <c r="I111" s="111">
        <v>9.3297000000000008</v>
      </c>
      <c r="J111" s="89">
        <v>6.58</v>
      </c>
      <c r="K111" s="112">
        <v>0</v>
      </c>
      <c r="L111" s="112">
        <v>0</v>
      </c>
      <c r="M111" s="113">
        <v>73.200999999999993</v>
      </c>
      <c r="N111">
        <v>888</v>
      </c>
      <c r="O111">
        <v>8606005</v>
      </c>
    </row>
    <row r="112" spans="2:15" ht="13.5" customHeight="1" x14ac:dyDescent="0.35">
      <c r="B112" s="97" t="s">
        <v>20</v>
      </c>
      <c r="C112" s="97">
        <v>2013</v>
      </c>
      <c r="D112" s="98">
        <v>41.6</v>
      </c>
      <c r="E112" s="99">
        <v>4.28</v>
      </c>
      <c r="F112" s="100">
        <v>8.2029999999999994</v>
      </c>
      <c r="G112" s="101">
        <v>5.9295999999999998</v>
      </c>
      <c r="H112" s="77">
        <v>12421</v>
      </c>
      <c r="I112" s="102">
        <v>9.4270999999999994</v>
      </c>
      <c r="J112" s="86">
        <v>7.42</v>
      </c>
      <c r="K112" s="103">
        <v>0</v>
      </c>
      <c r="L112" s="114">
        <v>0</v>
      </c>
      <c r="M112" s="104">
        <v>73.200999999999993</v>
      </c>
      <c r="N112">
        <v>1264</v>
      </c>
      <c r="O112">
        <v>8778576</v>
      </c>
    </row>
    <row r="113" spans="2:15" ht="13.5" customHeight="1" x14ac:dyDescent="0.35">
      <c r="B113" s="105" t="s">
        <v>20</v>
      </c>
      <c r="C113" s="105">
        <v>2014</v>
      </c>
      <c r="D113" s="106">
        <v>42.97</v>
      </c>
      <c r="E113" s="107">
        <v>1.83</v>
      </c>
      <c r="F113" s="108">
        <v>8.2428000000000008</v>
      </c>
      <c r="G113" s="109">
        <v>5.0876000000000001</v>
      </c>
      <c r="H113" s="110">
        <v>14255</v>
      </c>
      <c r="I113" s="111">
        <v>9.5648999999999997</v>
      </c>
      <c r="J113" s="86">
        <v>8.23</v>
      </c>
      <c r="K113" s="112">
        <v>0</v>
      </c>
      <c r="L113" s="114">
        <v>0</v>
      </c>
      <c r="M113" s="113">
        <v>73.200999999999993</v>
      </c>
      <c r="N113">
        <v>1426</v>
      </c>
      <c r="O113">
        <v>8842791</v>
      </c>
    </row>
    <row r="114" spans="2:15" ht="13.5" customHeight="1" x14ac:dyDescent="0.35">
      <c r="B114" s="97" t="s">
        <v>20</v>
      </c>
      <c r="C114" s="97">
        <v>2015</v>
      </c>
      <c r="D114" s="98">
        <v>38.15</v>
      </c>
      <c r="E114" s="99">
        <v>2.81</v>
      </c>
      <c r="F114" s="100">
        <v>8.1305999999999994</v>
      </c>
      <c r="G114" s="101">
        <v>5.5214999999999996</v>
      </c>
      <c r="H114" s="77">
        <v>14670</v>
      </c>
      <c r="I114" s="102">
        <v>9.5936000000000003</v>
      </c>
      <c r="J114" s="85">
        <v>8.9</v>
      </c>
      <c r="K114" s="103">
        <v>0</v>
      </c>
      <c r="L114" s="103">
        <v>0</v>
      </c>
      <c r="M114" s="104">
        <v>73.200999999999993</v>
      </c>
      <c r="N114">
        <v>1676</v>
      </c>
      <c r="O114">
        <v>8904459</v>
      </c>
    </row>
    <row r="115" spans="2:15" ht="13.5" customHeight="1" x14ac:dyDescent="0.35">
      <c r="B115" s="105" t="s">
        <v>20</v>
      </c>
      <c r="C115" s="105">
        <v>2016</v>
      </c>
      <c r="D115" s="106">
        <v>32.26</v>
      </c>
      <c r="E115" s="107">
        <v>4.33</v>
      </c>
      <c r="F115" s="108">
        <v>7.9696999999999996</v>
      </c>
      <c r="G115" s="109">
        <v>5.9610000000000003</v>
      </c>
      <c r="H115" s="110">
        <v>15443</v>
      </c>
      <c r="I115" s="111">
        <v>9.6448999999999998</v>
      </c>
      <c r="J115" s="89">
        <v>12.1</v>
      </c>
      <c r="K115" s="115">
        <v>0</v>
      </c>
      <c r="L115" s="112">
        <v>0</v>
      </c>
      <c r="M115" s="113">
        <v>73.200999999999993</v>
      </c>
      <c r="N115">
        <v>2064</v>
      </c>
      <c r="O115">
        <v>8963663</v>
      </c>
    </row>
    <row r="116" spans="2:15" ht="13.5" customHeight="1" x14ac:dyDescent="0.35">
      <c r="B116" s="97" t="s">
        <v>20</v>
      </c>
      <c r="C116" s="97">
        <v>2017</v>
      </c>
      <c r="D116" s="98">
        <v>52.05</v>
      </c>
      <c r="E116" s="99">
        <v>7.67</v>
      </c>
      <c r="F116" s="100">
        <v>8.4542999999999999</v>
      </c>
      <c r="G116" s="101">
        <v>6.5396000000000001</v>
      </c>
      <c r="H116" s="77">
        <v>16398</v>
      </c>
      <c r="I116" s="102">
        <v>9.7049000000000003</v>
      </c>
      <c r="J116" s="85">
        <v>12.7</v>
      </c>
      <c r="K116" s="103">
        <v>0</v>
      </c>
      <c r="L116" s="103">
        <v>0</v>
      </c>
      <c r="M116" s="104">
        <v>73.200999999999993</v>
      </c>
      <c r="N116">
        <v>2756</v>
      </c>
      <c r="O116">
        <v>9020460</v>
      </c>
    </row>
    <row r="117" spans="2:15" ht="13.5" customHeight="1" x14ac:dyDescent="0.35">
      <c r="B117" s="105" t="s">
        <v>20</v>
      </c>
      <c r="C117" s="105">
        <v>2018</v>
      </c>
      <c r="D117" s="106">
        <v>46.5</v>
      </c>
      <c r="E117" s="107">
        <v>10.94</v>
      </c>
      <c r="F117" s="108">
        <v>8.3475999999999999</v>
      </c>
      <c r="G117" s="109">
        <v>6.9006999999999996</v>
      </c>
      <c r="H117" s="110">
        <v>17178</v>
      </c>
      <c r="I117" s="111">
        <v>9.7514000000000003</v>
      </c>
      <c r="J117" s="89">
        <v>11.4</v>
      </c>
      <c r="K117" s="112">
        <v>0</v>
      </c>
      <c r="L117" s="112">
        <v>0</v>
      </c>
      <c r="M117" s="113">
        <v>73.200999999999993</v>
      </c>
      <c r="N117">
        <v>3749</v>
      </c>
      <c r="O117">
        <v>9075649</v>
      </c>
    </row>
    <row r="118" spans="2:15" ht="13.5" customHeight="1" x14ac:dyDescent="0.35">
      <c r="B118" s="97" t="s">
        <v>20</v>
      </c>
      <c r="C118" s="97">
        <v>2019</v>
      </c>
      <c r="D118" s="98">
        <v>20.64</v>
      </c>
      <c r="E118" s="99">
        <v>23.02</v>
      </c>
      <c r="F118" s="100">
        <v>7.5416999999999996</v>
      </c>
      <c r="G118" s="101">
        <v>7.6505999999999998</v>
      </c>
      <c r="H118" s="77">
        <v>17912</v>
      </c>
      <c r="I118" s="102">
        <v>9.7932000000000006</v>
      </c>
      <c r="J118" s="85">
        <v>11.1</v>
      </c>
      <c r="K118" s="103">
        <v>0</v>
      </c>
      <c r="L118" s="103">
        <v>0</v>
      </c>
      <c r="M118" s="104">
        <v>73.200999999999993</v>
      </c>
      <c r="N118">
        <v>5851</v>
      </c>
      <c r="O118">
        <v>9132078</v>
      </c>
    </row>
    <row r="119" spans="2:15" ht="13.5" customHeight="1" x14ac:dyDescent="0.35">
      <c r="B119" s="105" t="s">
        <v>20</v>
      </c>
      <c r="C119" s="105">
        <v>2020</v>
      </c>
      <c r="D119" s="106">
        <v>37.380000000000003</v>
      </c>
      <c r="E119" s="107">
        <v>33.93</v>
      </c>
      <c r="F119" s="108">
        <v>8.1415000000000006</v>
      </c>
      <c r="G119" s="109">
        <v>8.0446000000000009</v>
      </c>
      <c r="H119" s="110">
        <v>18168</v>
      </c>
      <c r="I119" s="111">
        <v>9.8073999999999995</v>
      </c>
      <c r="J119" s="89">
        <v>13.3</v>
      </c>
      <c r="K119" s="112">
        <v>0</v>
      </c>
      <c r="L119" s="112">
        <v>1</v>
      </c>
      <c r="M119" s="113">
        <v>73.200999999999993</v>
      </c>
      <c r="N119">
        <v>8968</v>
      </c>
      <c r="O119">
        <v>9187103</v>
      </c>
    </row>
    <row r="120" spans="2:15" ht="13.5" customHeight="1" x14ac:dyDescent="0.35">
      <c r="B120" s="97" t="s">
        <v>20</v>
      </c>
      <c r="C120" s="97">
        <v>2021</v>
      </c>
      <c r="D120" s="98">
        <v>32.1</v>
      </c>
      <c r="E120" s="99">
        <v>66.87</v>
      </c>
      <c r="F120" s="100">
        <v>7.9950000000000001</v>
      </c>
      <c r="G120" s="101">
        <v>8.7288999999999994</v>
      </c>
      <c r="H120" s="77">
        <v>21090</v>
      </c>
      <c r="I120" s="102">
        <v>9.9565999999999999</v>
      </c>
      <c r="J120" s="86">
        <v>13.4</v>
      </c>
      <c r="K120" s="103">
        <v>0</v>
      </c>
      <c r="L120" s="114">
        <v>1</v>
      </c>
      <c r="M120" s="104">
        <v>73.200999999999993</v>
      </c>
      <c r="N120">
        <v>15147</v>
      </c>
      <c r="O120">
        <v>9240580</v>
      </c>
    </row>
    <row r="121" spans="2:15" ht="13.5" customHeight="1" x14ac:dyDescent="0.35">
      <c r="B121" s="105" t="s">
        <v>20</v>
      </c>
      <c r="C121" s="105">
        <v>2022</v>
      </c>
      <c r="D121" s="106">
        <v>28.13</v>
      </c>
      <c r="E121" s="107">
        <v>73.2</v>
      </c>
      <c r="F121" s="108">
        <v>7.8136000000000001</v>
      </c>
      <c r="G121" s="109">
        <v>8.77</v>
      </c>
      <c r="H121" s="110">
        <v>24287</v>
      </c>
      <c r="I121" s="111">
        <v>10.0977</v>
      </c>
      <c r="J121" s="86">
        <v>9.5</v>
      </c>
      <c r="K121" s="112">
        <v>0</v>
      </c>
      <c r="L121" s="114">
        <v>0</v>
      </c>
      <c r="M121" s="113">
        <v>73.200999999999993</v>
      </c>
      <c r="N121">
        <v>21585</v>
      </c>
      <c r="O121">
        <v>8794957</v>
      </c>
    </row>
    <row r="122" spans="2:15" ht="13.5" customHeight="1" x14ac:dyDescent="0.35">
      <c r="B122" s="97" t="s">
        <v>20</v>
      </c>
      <c r="C122" s="97">
        <v>2023</v>
      </c>
      <c r="D122" s="98">
        <v>28.57</v>
      </c>
      <c r="E122" s="99">
        <v>0.2</v>
      </c>
      <c r="F122" s="100">
        <v>7.8292000000000002</v>
      </c>
      <c r="G122" s="101">
        <v>2.8904000000000001</v>
      </c>
      <c r="H122" s="77">
        <v>26406</v>
      </c>
      <c r="I122" s="102">
        <v>10.1813</v>
      </c>
      <c r="J122" s="85">
        <v>9.1</v>
      </c>
      <c r="K122" s="103">
        <v>1</v>
      </c>
      <c r="L122" s="103">
        <v>0</v>
      </c>
      <c r="M122" s="104">
        <v>73.200999999999993</v>
      </c>
      <c r="N122">
        <v>21603</v>
      </c>
      <c r="O122">
        <v>8794957</v>
      </c>
    </row>
    <row r="123" spans="2:15" ht="13.5" customHeight="1" x14ac:dyDescent="0.35">
      <c r="B123" s="105" t="s">
        <v>20</v>
      </c>
      <c r="C123" s="105">
        <v>2024</v>
      </c>
      <c r="D123" s="106">
        <v>29.3</v>
      </c>
      <c r="E123" s="107">
        <v>14.34</v>
      </c>
      <c r="F123" s="108">
        <v>7.9028999999999998</v>
      </c>
      <c r="G123" s="109">
        <v>7.1883999999999997</v>
      </c>
      <c r="H123" s="110">
        <v>27101</v>
      </c>
      <c r="I123" s="111">
        <v>10.2073</v>
      </c>
      <c r="J123" s="89">
        <v>7.3</v>
      </c>
      <c r="K123" s="115">
        <v>1</v>
      </c>
      <c r="L123" s="112">
        <v>0</v>
      </c>
      <c r="M123" s="113">
        <v>73.200999999999993</v>
      </c>
      <c r="N123">
        <v>22927</v>
      </c>
      <c r="O123">
        <v>9233656</v>
      </c>
    </row>
    <row r="124" spans="2:15" ht="13.5" customHeight="1" x14ac:dyDescent="0.35">
      <c r="B124" s="97" t="s">
        <v>21</v>
      </c>
      <c r="C124" s="97">
        <v>2005</v>
      </c>
      <c r="D124" s="98">
        <v>21.94</v>
      </c>
      <c r="E124" s="99">
        <v>3.21</v>
      </c>
      <c r="F124" s="100">
        <v>6.2382999999999997</v>
      </c>
      <c r="G124" s="101">
        <v>4.3174999999999999</v>
      </c>
      <c r="H124" s="77">
        <v>34515</v>
      </c>
      <c r="I124" s="102">
        <v>10.4491</v>
      </c>
      <c r="J124" s="85">
        <v>13.51</v>
      </c>
      <c r="K124" s="103">
        <v>0</v>
      </c>
      <c r="L124" s="103">
        <v>0</v>
      </c>
      <c r="M124" s="104">
        <v>385.49990000000003</v>
      </c>
      <c r="N124">
        <v>75</v>
      </c>
      <c r="O124">
        <v>2333108</v>
      </c>
    </row>
    <row r="125" spans="2:15" ht="13.5" customHeight="1" x14ac:dyDescent="0.35">
      <c r="B125" s="105" t="s">
        <v>21</v>
      </c>
      <c r="C125" s="105">
        <v>2006</v>
      </c>
      <c r="D125" s="106">
        <v>21.06</v>
      </c>
      <c r="E125" s="107">
        <v>2.64</v>
      </c>
      <c r="F125" s="108">
        <v>6.2186000000000003</v>
      </c>
      <c r="G125" s="109">
        <v>4.1430999999999996</v>
      </c>
      <c r="H125" s="110">
        <v>37599</v>
      </c>
      <c r="I125" s="111">
        <v>10.534700000000001</v>
      </c>
      <c r="J125" s="89">
        <v>11.63</v>
      </c>
      <c r="K125" s="112">
        <v>0</v>
      </c>
      <c r="L125" s="112">
        <v>0</v>
      </c>
      <c r="M125" s="113">
        <v>385.49990000000003</v>
      </c>
      <c r="N125">
        <v>138</v>
      </c>
      <c r="O125">
        <v>2383784</v>
      </c>
    </row>
    <row r="126" spans="2:15" ht="13.5" customHeight="1" x14ac:dyDescent="0.35">
      <c r="B126" s="97" t="s">
        <v>21</v>
      </c>
      <c r="C126" s="97">
        <v>2007</v>
      </c>
      <c r="D126" s="98">
        <v>24.06</v>
      </c>
      <c r="E126" s="99">
        <v>2.16</v>
      </c>
      <c r="F126" s="100">
        <v>6.3818000000000001</v>
      </c>
      <c r="G126" s="101">
        <v>3.9702999999999999</v>
      </c>
      <c r="H126" s="77">
        <v>40696</v>
      </c>
      <c r="I126" s="102">
        <v>10.613899999999999</v>
      </c>
      <c r="J126" s="85">
        <v>11.95</v>
      </c>
      <c r="K126" s="103">
        <v>0</v>
      </c>
      <c r="L126" s="103">
        <v>0</v>
      </c>
      <c r="M126" s="104">
        <v>385.49990000000003</v>
      </c>
      <c r="N126">
        <v>191</v>
      </c>
      <c r="O126">
        <v>2455903</v>
      </c>
    </row>
    <row r="127" spans="2:15" ht="13.5" customHeight="1" x14ac:dyDescent="0.35">
      <c r="B127" s="105" t="s">
        <v>21</v>
      </c>
      <c r="C127" s="105">
        <v>2008</v>
      </c>
      <c r="D127" s="106">
        <v>24.13</v>
      </c>
      <c r="E127" s="107">
        <v>2.54</v>
      </c>
      <c r="F127" s="108">
        <v>6.4249000000000001</v>
      </c>
      <c r="G127" s="109">
        <v>4.1744000000000003</v>
      </c>
      <c r="H127" s="110">
        <v>45978</v>
      </c>
      <c r="I127" s="111">
        <v>10.735900000000001</v>
      </c>
      <c r="J127" s="89">
        <v>11.24</v>
      </c>
      <c r="K127" s="112">
        <v>0</v>
      </c>
      <c r="L127" s="112">
        <v>0</v>
      </c>
      <c r="M127" s="113">
        <v>385.49990000000003</v>
      </c>
      <c r="N127">
        <v>256</v>
      </c>
      <c r="O127">
        <v>2557159</v>
      </c>
    </row>
    <row r="128" spans="2:15" ht="13.5" customHeight="1" x14ac:dyDescent="0.35">
      <c r="B128" s="97" t="s">
        <v>21</v>
      </c>
      <c r="C128" s="97">
        <v>2009</v>
      </c>
      <c r="D128" s="98">
        <v>28.58</v>
      </c>
      <c r="E128" s="99">
        <v>2.4900000000000002</v>
      </c>
      <c r="F128" s="100">
        <v>6.6134000000000004</v>
      </c>
      <c r="G128" s="101">
        <v>4.1744000000000003</v>
      </c>
      <c r="H128" s="77">
        <v>50438</v>
      </c>
      <c r="I128" s="102">
        <v>10.8285</v>
      </c>
      <c r="J128" s="86">
        <v>11.46</v>
      </c>
      <c r="K128" s="103">
        <v>0</v>
      </c>
      <c r="L128" s="114">
        <v>0</v>
      </c>
      <c r="M128" s="104">
        <v>385.49990000000003</v>
      </c>
      <c r="N128">
        <v>321</v>
      </c>
      <c r="O128">
        <v>2606885</v>
      </c>
    </row>
    <row r="129" spans="2:15" ht="13.5" customHeight="1" x14ac:dyDescent="0.35">
      <c r="B129" s="105" t="s">
        <v>21</v>
      </c>
      <c r="C129" s="105">
        <v>2010</v>
      </c>
      <c r="D129" s="106">
        <v>24.51</v>
      </c>
      <c r="E129" s="107">
        <v>2.33</v>
      </c>
      <c r="F129" s="108">
        <v>6.4457000000000004</v>
      </c>
      <c r="G129" s="109">
        <v>4.0942999999999996</v>
      </c>
      <c r="H129" s="110">
        <v>56095</v>
      </c>
      <c r="I129" s="111">
        <v>10.934799999999999</v>
      </c>
      <c r="J129" s="86">
        <v>9.67</v>
      </c>
      <c r="K129" s="112">
        <v>0</v>
      </c>
      <c r="L129" s="114">
        <v>0</v>
      </c>
      <c r="M129" s="113">
        <v>385.49990000000003</v>
      </c>
      <c r="N129">
        <v>381</v>
      </c>
      <c r="O129">
        <v>2570160</v>
      </c>
    </row>
    <row r="130" spans="2:15" ht="13.5" customHeight="1" x14ac:dyDescent="0.35">
      <c r="B130" s="97" t="s">
        <v>21</v>
      </c>
      <c r="C130" s="97">
        <v>2011</v>
      </c>
      <c r="D130" s="98">
        <v>27.2</v>
      </c>
      <c r="E130" s="99">
        <v>6.02</v>
      </c>
      <c r="F130" s="100">
        <v>6.5652999999999997</v>
      </c>
      <c r="G130" s="101">
        <v>5.0561999999999996</v>
      </c>
      <c r="H130" s="77">
        <v>59222</v>
      </c>
      <c r="I130" s="102">
        <v>10.989000000000001</v>
      </c>
      <c r="J130" s="85">
        <v>7.88</v>
      </c>
      <c r="K130" s="103">
        <v>0</v>
      </c>
      <c r="L130" s="103">
        <v>0</v>
      </c>
      <c r="M130" s="104">
        <v>385.49990000000003</v>
      </c>
      <c r="N130">
        <v>538</v>
      </c>
      <c r="O130">
        <v>2609998</v>
      </c>
    </row>
    <row r="131" spans="2:15" ht="13.5" customHeight="1" x14ac:dyDescent="0.35">
      <c r="B131" s="105" t="s">
        <v>21</v>
      </c>
      <c r="C131" s="105">
        <v>2012</v>
      </c>
      <c r="D131" s="106">
        <v>29.68</v>
      </c>
      <c r="E131" s="107">
        <v>4.1500000000000004</v>
      </c>
      <c r="F131" s="108">
        <v>6.6669999999999998</v>
      </c>
      <c r="G131" s="109">
        <v>4.7004999999999999</v>
      </c>
      <c r="H131" s="110">
        <v>61959</v>
      </c>
      <c r="I131" s="111">
        <v>11.0342</v>
      </c>
      <c r="J131" s="89">
        <v>8.39</v>
      </c>
      <c r="K131" s="115">
        <v>0</v>
      </c>
      <c r="L131" s="112">
        <v>0</v>
      </c>
      <c r="M131" s="113">
        <v>385.49990000000003</v>
      </c>
      <c r="N131">
        <v>648</v>
      </c>
      <c r="O131">
        <v>2648532</v>
      </c>
    </row>
    <row r="132" spans="2:15" ht="13.5" customHeight="1" x14ac:dyDescent="0.35">
      <c r="B132" s="97" t="s">
        <v>21</v>
      </c>
      <c r="C132" s="97">
        <v>2013</v>
      </c>
      <c r="D132" s="98">
        <v>23.51</v>
      </c>
      <c r="E132" s="99">
        <v>2.4700000000000002</v>
      </c>
      <c r="F132" s="100">
        <v>6.4862000000000002</v>
      </c>
      <c r="G132" s="101">
        <v>4.2340999999999998</v>
      </c>
      <c r="H132" s="77">
        <v>63054</v>
      </c>
      <c r="I132" s="102">
        <v>11.0517</v>
      </c>
      <c r="J132" s="85">
        <v>9.32</v>
      </c>
      <c r="K132" s="103">
        <v>0</v>
      </c>
      <c r="L132" s="103">
        <v>0</v>
      </c>
      <c r="M132" s="104">
        <v>385.49990000000003</v>
      </c>
      <c r="N132">
        <v>717</v>
      </c>
      <c r="O132">
        <v>2789761</v>
      </c>
    </row>
    <row r="133" spans="2:15" ht="13.5" customHeight="1" x14ac:dyDescent="0.35">
      <c r="B133" s="105" t="s">
        <v>21</v>
      </c>
      <c r="C133" s="105">
        <v>2014</v>
      </c>
      <c r="D133" s="106">
        <v>24.75</v>
      </c>
      <c r="E133" s="107">
        <v>1.65</v>
      </c>
      <c r="F133" s="108">
        <v>6.5595999999999997</v>
      </c>
      <c r="G133" s="109">
        <v>3.8500999999999999</v>
      </c>
      <c r="H133" s="110">
        <v>69217</v>
      </c>
      <c r="I133" s="111">
        <v>11.145</v>
      </c>
      <c r="J133" s="89">
        <v>9.48</v>
      </c>
      <c r="K133" s="112">
        <v>0</v>
      </c>
      <c r="L133" s="112">
        <v>0</v>
      </c>
      <c r="M133" s="113">
        <v>385.49990000000003</v>
      </c>
      <c r="N133">
        <v>764</v>
      </c>
      <c r="O133">
        <v>2852372</v>
      </c>
    </row>
    <row r="134" spans="2:15" ht="13.5" customHeight="1" x14ac:dyDescent="0.35">
      <c r="B134" s="97" t="s">
        <v>21</v>
      </c>
      <c r="C134" s="97">
        <v>2015</v>
      </c>
      <c r="D134" s="98">
        <v>18.350000000000001</v>
      </c>
      <c r="E134" s="99">
        <v>1.65</v>
      </c>
      <c r="F134" s="100">
        <v>6.2823000000000002</v>
      </c>
      <c r="G134" s="101">
        <v>3.8712</v>
      </c>
      <c r="H134" s="77">
        <v>73971</v>
      </c>
      <c r="I134" s="102">
        <v>11.211399999999999</v>
      </c>
      <c r="J134" s="85">
        <v>10.199999999999999</v>
      </c>
      <c r="K134" s="103">
        <v>0</v>
      </c>
      <c r="L134" s="103">
        <v>0</v>
      </c>
      <c r="M134" s="104">
        <v>385.49990000000003</v>
      </c>
      <c r="N134">
        <v>812</v>
      </c>
      <c r="O134">
        <v>2914830</v>
      </c>
    </row>
    <row r="135" spans="2:15" ht="13.5" customHeight="1" x14ac:dyDescent="0.35">
      <c r="B135" s="105" t="s">
        <v>21</v>
      </c>
      <c r="C135" s="105">
        <v>2016</v>
      </c>
      <c r="D135" s="106">
        <v>18.170000000000002</v>
      </c>
      <c r="E135" s="107">
        <v>6.35</v>
      </c>
      <c r="F135" s="108">
        <v>6.2934000000000001</v>
      </c>
      <c r="G135" s="109">
        <v>5.2416999999999998</v>
      </c>
      <c r="H135" s="110">
        <v>79114</v>
      </c>
      <c r="I135" s="111">
        <v>11.278600000000001</v>
      </c>
      <c r="J135" s="89">
        <v>12.1</v>
      </c>
      <c r="K135" s="112">
        <v>0</v>
      </c>
      <c r="L135" s="112">
        <v>0</v>
      </c>
      <c r="M135" s="113">
        <v>385.49990000000003</v>
      </c>
      <c r="N135">
        <v>1001</v>
      </c>
      <c r="O135">
        <v>2977216</v>
      </c>
    </row>
    <row r="136" spans="2:15" ht="13.5" customHeight="1" x14ac:dyDescent="0.35">
      <c r="B136" s="97" t="s">
        <v>21</v>
      </c>
      <c r="C136" s="97">
        <v>2017</v>
      </c>
      <c r="D136" s="98">
        <v>13.32</v>
      </c>
      <c r="E136" s="99">
        <v>10.5</v>
      </c>
      <c r="F136" s="100">
        <v>6.0038999999999998</v>
      </c>
      <c r="G136" s="101">
        <v>5.7652000000000001</v>
      </c>
      <c r="H136" s="77">
        <v>80515</v>
      </c>
      <c r="I136" s="102">
        <v>11.296200000000001</v>
      </c>
      <c r="J136" s="86">
        <v>13.3</v>
      </c>
      <c r="K136" s="103">
        <v>0</v>
      </c>
      <c r="L136" s="114">
        <v>0</v>
      </c>
      <c r="M136" s="104">
        <v>385.49990000000003</v>
      </c>
      <c r="N136">
        <v>1320</v>
      </c>
      <c r="O136">
        <v>3039444</v>
      </c>
    </row>
    <row r="137" spans="2:15" ht="13.5" customHeight="1" x14ac:dyDescent="0.35">
      <c r="B137" s="105" t="s">
        <v>21</v>
      </c>
      <c r="C137" s="105">
        <v>2018</v>
      </c>
      <c r="D137" s="106">
        <v>11.43</v>
      </c>
      <c r="E137" s="107">
        <v>16.809999999999999</v>
      </c>
      <c r="F137" s="108">
        <v>5.8289</v>
      </c>
      <c r="G137" s="109">
        <v>6.2145999999999999</v>
      </c>
      <c r="H137" s="110">
        <v>85661</v>
      </c>
      <c r="I137" s="111">
        <v>11.3582</v>
      </c>
      <c r="J137" s="86">
        <v>12.8</v>
      </c>
      <c r="K137" s="112">
        <v>0</v>
      </c>
      <c r="L137" s="114">
        <v>0</v>
      </c>
      <c r="M137" s="113">
        <v>385.49990000000003</v>
      </c>
      <c r="N137">
        <v>1820</v>
      </c>
      <c r="O137">
        <v>2974703</v>
      </c>
    </row>
    <row r="138" spans="2:15" ht="13.5" customHeight="1" x14ac:dyDescent="0.35">
      <c r="B138" s="97" t="s">
        <v>21</v>
      </c>
      <c r="C138" s="97">
        <v>2019</v>
      </c>
      <c r="D138" s="98">
        <v>8.85</v>
      </c>
      <c r="E138" s="99">
        <v>82.35</v>
      </c>
      <c r="F138" s="100">
        <v>5.5872000000000002</v>
      </c>
      <c r="G138" s="101">
        <v>7.8171999999999997</v>
      </c>
      <c r="H138" s="77">
        <v>90743</v>
      </c>
      <c r="I138" s="102">
        <v>11.415800000000001</v>
      </c>
      <c r="J138" s="85">
        <v>13.4</v>
      </c>
      <c r="K138" s="103">
        <v>0</v>
      </c>
      <c r="L138" s="103">
        <v>0</v>
      </c>
      <c r="M138" s="104">
        <v>385.49990000000003</v>
      </c>
      <c r="N138">
        <v>4303</v>
      </c>
      <c r="O138">
        <v>3015268</v>
      </c>
    </row>
    <row r="139" spans="2:15" ht="13.5" customHeight="1" x14ac:dyDescent="0.35">
      <c r="B139" s="105" t="s">
        <v>21</v>
      </c>
      <c r="C139" s="105">
        <v>2020</v>
      </c>
      <c r="D139" s="106">
        <v>8.2799999999999994</v>
      </c>
      <c r="E139" s="107">
        <v>165.13</v>
      </c>
      <c r="F139" s="108">
        <v>5.5334000000000003</v>
      </c>
      <c r="G139" s="109">
        <v>8.5261999999999993</v>
      </c>
      <c r="H139" s="110">
        <v>87016</v>
      </c>
      <c r="I139" s="111">
        <v>11.373799999999999</v>
      </c>
      <c r="J139" s="89">
        <v>14.8</v>
      </c>
      <c r="K139" s="115">
        <v>0</v>
      </c>
      <c r="L139" s="112">
        <v>1</v>
      </c>
      <c r="M139" s="113">
        <v>385.49990000000003</v>
      </c>
      <c r="N139">
        <v>9348</v>
      </c>
      <c r="O139">
        <v>3055149</v>
      </c>
    </row>
    <row r="140" spans="2:15" ht="13.5" customHeight="1" x14ac:dyDescent="0.35">
      <c r="B140" s="97" t="s">
        <v>21</v>
      </c>
      <c r="C140" s="97">
        <v>2021</v>
      </c>
      <c r="D140" s="98">
        <v>6.24</v>
      </c>
      <c r="E140" s="99">
        <v>267.88</v>
      </c>
      <c r="F140" s="100">
        <v>5.2626999999999997</v>
      </c>
      <c r="G140" s="101">
        <v>9.0227000000000004</v>
      </c>
      <c r="H140" s="77">
        <v>92732</v>
      </c>
      <c r="I140" s="102">
        <v>11.4375</v>
      </c>
      <c r="J140" s="85">
        <v>14</v>
      </c>
      <c r="K140" s="103">
        <v>0</v>
      </c>
      <c r="L140" s="103">
        <v>1</v>
      </c>
      <c r="M140" s="104">
        <v>385.49990000000003</v>
      </c>
      <c r="N140">
        <v>17637</v>
      </c>
      <c r="O140">
        <v>3094325</v>
      </c>
    </row>
    <row r="141" spans="2:15" ht="13.5" customHeight="1" x14ac:dyDescent="0.35">
      <c r="B141" s="105" t="s">
        <v>21</v>
      </c>
      <c r="C141" s="105">
        <v>2022</v>
      </c>
      <c r="D141" s="106">
        <v>6.35</v>
      </c>
      <c r="E141" s="107">
        <v>385.5</v>
      </c>
      <c r="F141" s="108">
        <v>5.1874000000000002</v>
      </c>
      <c r="G141" s="109">
        <v>9.2928999999999995</v>
      </c>
      <c r="H141" s="110">
        <v>116700</v>
      </c>
      <c r="I141" s="111">
        <v>11.667400000000001</v>
      </c>
      <c r="J141" s="89">
        <v>11.4</v>
      </c>
      <c r="K141" s="112">
        <v>0</v>
      </c>
      <c r="L141" s="112">
        <v>0</v>
      </c>
      <c r="M141" s="113">
        <v>385.49990000000003</v>
      </c>
      <c r="N141">
        <v>28498</v>
      </c>
      <c r="O141">
        <v>2817381</v>
      </c>
    </row>
    <row r="142" spans="2:15" ht="13.5" customHeight="1" x14ac:dyDescent="0.35">
      <c r="B142" s="97" t="s">
        <v>21</v>
      </c>
      <c r="C142" s="97">
        <v>2023</v>
      </c>
      <c r="D142" s="98">
        <v>4.6900000000000004</v>
      </c>
      <c r="E142" s="99">
        <v>0.64</v>
      </c>
      <c r="F142" s="100">
        <v>4.8827999999999996</v>
      </c>
      <c r="G142" s="101">
        <v>2.8904000000000001</v>
      </c>
      <c r="H142" s="77">
        <v>129790</v>
      </c>
      <c r="I142" s="102">
        <v>11.7737</v>
      </c>
      <c r="J142" s="85">
        <v>9.8000000000000007</v>
      </c>
      <c r="K142" s="103">
        <v>1</v>
      </c>
      <c r="L142" s="103">
        <v>0</v>
      </c>
      <c r="M142" s="104">
        <v>385.49990000000003</v>
      </c>
      <c r="N142">
        <v>28516</v>
      </c>
      <c r="O142">
        <v>2817381</v>
      </c>
    </row>
    <row r="143" spans="2:15" ht="13.5" customHeight="1" x14ac:dyDescent="0.35">
      <c r="B143" s="105" t="s">
        <v>21</v>
      </c>
      <c r="C143" s="105">
        <v>2024</v>
      </c>
      <c r="D143" s="106">
        <v>3.69</v>
      </c>
      <c r="E143" s="107">
        <v>38.49</v>
      </c>
      <c r="F143" s="108">
        <v>4.7004999999999999</v>
      </c>
      <c r="G143" s="109">
        <v>7.0457999999999998</v>
      </c>
      <c r="H143" s="110">
        <v>136149</v>
      </c>
      <c r="I143" s="111">
        <v>11.8215</v>
      </c>
      <c r="J143" s="89">
        <v>9.1999999999999993</v>
      </c>
      <c r="K143" s="112">
        <v>1</v>
      </c>
      <c r="L143" s="112">
        <v>0</v>
      </c>
      <c r="M143" s="113">
        <v>385.49990000000003</v>
      </c>
      <c r="N143">
        <v>29664</v>
      </c>
      <c r="O143">
        <v>2982818</v>
      </c>
    </row>
    <row r="144" spans="2:15" ht="13.5" customHeight="1" x14ac:dyDescent="0.35">
      <c r="B144" s="97" t="s">
        <v>22</v>
      </c>
      <c r="C144" s="97">
        <v>2005</v>
      </c>
      <c r="D144" s="98">
        <v>34.86</v>
      </c>
      <c r="E144" s="99">
        <v>1.1399999999999999</v>
      </c>
      <c r="F144" s="100">
        <v>7.08</v>
      </c>
      <c r="G144" s="101">
        <v>3.6636000000000002</v>
      </c>
      <c r="H144" s="77">
        <v>13855</v>
      </c>
      <c r="I144" s="102">
        <v>9.5364000000000004</v>
      </c>
      <c r="J144" s="86">
        <v>10.33</v>
      </c>
      <c r="K144" s="103">
        <v>0</v>
      </c>
      <c r="L144" s="114">
        <v>0</v>
      </c>
      <c r="M144" s="104">
        <v>78.644400000000005</v>
      </c>
      <c r="N144">
        <v>39</v>
      </c>
      <c r="O144">
        <v>3408365</v>
      </c>
    </row>
    <row r="145" spans="2:15" ht="13.5" customHeight="1" x14ac:dyDescent="0.35">
      <c r="B145" s="105" t="s">
        <v>22</v>
      </c>
      <c r="C145" s="105">
        <v>2006</v>
      </c>
      <c r="D145" s="106">
        <v>37.5</v>
      </c>
      <c r="E145" s="107">
        <v>0.84</v>
      </c>
      <c r="F145" s="108">
        <v>7.1694000000000004</v>
      </c>
      <c r="G145" s="109">
        <v>3.3673000000000002</v>
      </c>
      <c r="H145" s="110">
        <v>15235</v>
      </c>
      <c r="I145" s="111">
        <v>9.6313999999999993</v>
      </c>
      <c r="J145" s="86">
        <v>7.5</v>
      </c>
      <c r="K145" s="112">
        <v>0</v>
      </c>
      <c r="L145" s="114">
        <v>0</v>
      </c>
      <c r="M145" s="113">
        <v>78.644400000000005</v>
      </c>
      <c r="N145">
        <v>68</v>
      </c>
      <c r="O145">
        <v>3464285</v>
      </c>
    </row>
    <row r="146" spans="2:15" ht="13.5" customHeight="1" x14ac:dyDescent="0.35">
      <c r="B146" s="97" t="s">
        <v>22</v>
      </c>
      <c r="C146" s="97">
        <v>2007</v>
      </c>
      <c r="D146" s="98">
        <v>40.93</v>
      </c>
      <c r="E146" s="99">
        <v>0.39</v>
      </c>
      <c r="F146" s="100">
        <v>7.2240000000000002</v>
      </c>
      <c r="G146" s="101">
        <v>2.5649000000000002</v>
      </c>
      <c r="H146" s="77">
        <v>18003</v>
      </c>
      <c r="I146" s="102">
        <v>9.7982999999999993</v>
      </c>
      <c r="J146" s="85">
        <v>10.81</v>
      </c>
      <c r="K146" s="103">
        <v>0</v>
      </c>
      <c r="L146" s="103">
        <v>0</v>
      </c>
      <c r="M146" s="104">
        <v>78.644400000000005</v>
      </c>
      <c r="N146">
        <v>81</v>
      </c>
      <c r="O146">
        <v>3351669</v>
      </c>
    </row>
    <row r="147" spans="2:15" ht="13.5" customHeight="1" x14ac:dyDescent="0.35">
      <c r="B147" s="105" t="s">
        <v>22</v>
      </c>
      <c r="C147" s="105">
        <v>2008</v>
      </c>
      <c r="D147" s="106">
        <v>43.26</v>
      </c>
      <c r="E147" s="107">
        <v>0.55000000000000004</v>
      </c>
      <c r="F147" s="108">
        <v>7.3091999999999997</v>
      </c>
      <c r="G147" s="109">
        <v>2.9443999999999999</v>
      </c>
      <c r="H147" s="110">
        <v>20231</v>
      </c>
      <c r="I147" s="111">
        <v>9.9149999999999991</v>
      </c>
      <c r="J147" s="89">
        <v>6.24</v>
      </c>
      <c r="K147" s="115">
        <v>0</v>
      </c>
      <c r="L147" s="112">
        <v>0</v>
      </c>
      <c r="M147" s="113">
        <v>78.644400000000005</v>
      </c>
      <c r="N147">
        <v>100</v>
      </c>
      <c r="O147">
        <v>3453646</v>
      </c>
    </row>
    <row r="148" spans="2:15" ht="13.5" customHeight="1" x14ac:dyDescent="0.35">
      <c r="B148" s="97" t="s">
        <v>22</v>
      </c>
      <c r="C148" s="97">
        <v>2009</v>
      </c>
      <c r="D148" s="98">
        <v>44.65</v>
      </c>
      <c r="E148" s="99">
        <v>0.46</v>
      </c>
      <c r="F148" s="100">
        <v>7.3505000000000003</v>
      </c>
      <c r="G148" s="101">
        <v>2.7726000000000002</v>
      </c>
      <c r="H148" s="77">
        <v>19145</v>
      </c>
      <c r="I148" s="102">
        <v>9.8597999999999999</v>
      </c>
      <c r="J148" s="85">
        <v>8.48</v>
      </c>
      <c r="K148" s="103">
        <v>0</v>
      </c>
      <c r="L148" s="103">
        <v>0</v>
      </c>
      <c r="M148" s="104">
        <v>78.644400000000005</v>
      </c>
      <c r="N148">
        <v>116</v>
      </c>
      <c r="O148">
        <v>3487199</v>
      </c>
    </row>
    <row r="149" spans="2:15" ht="13.5" customHeight="1" x14ac:dyDescent="0.35">
      <c r="B149" s="105" t="s">
        <v>22</v>
      </c>
      <c r="C149" s="105">
        <v>2010</v>
      </c>
      <c r="D149" s="106">
        <v>38.659999999999997</v>
      </c>
      <c r="E149" s="107">
        <v>0.54</v>
      </c>
      <c r="F149" s="108">
        <v>7.2145000000000001</v>
      </c>
      <c r="G149" s="109">
        <v>2.9443999999999999</v>
      </c>
      <c r="H149" s="110">
        <v>24271</v>
      </c>
      <c r="I149" s="111">
        <v>10.097</v>
      </c>
      <c r="J149" s="89">
        <v>8.2200000000000006</v>
      </c>
      <c r="K149" s="112">
        <v>0</v>
      </c>
      <c r="L149" s="112">
        <v>0</v>
      </c>
      <c r="M149" s="113">
        <v>78.644400000000005</v>
      </c>
      <c r="N149">
        <v>135</v>
      </c>
      <c r="O149">
        <v>3514952</v>
      </c>
    </row>
    <row r="150" spans="2:15" ht="13.5" customHeight="1" x14ac:dyDescent="0.35">
      <c r="B150" s="97" t="s">
        <v>22</v>
      </c>
      <c r="C150" s="97">
        <v>2011</v>
      </c>
      <c r="D150" s="98">
        <v>38.29</v>
      </c>
      <c r="E150" s="99">
        <v>1.3</v>
      </c>
      <c r="F150" s="100">
        <v>7.2138</v>
      </c>
      <c r="G150" s="101">
        <v>3.8285999999999998</v>
      </c>
      <c r="H150" s="77">
        <v>29877</v>
      </c>
      <c r="I150" s="102">
        <v>10.3048</v>
      </c>
      <c r="J150" s="85">
        <v>7.97</v>
      </c>
      <c r="K150" s="103">
        <v>0</v>
      </c>
      <c r="L150" s="103">
        <v>0</v>
      </c>
      <c r="M150" s="104">
        <v>78.644400000000005</v>
      </c>
      <c r="N150">
        <v>181</v>
      </c>
      <c r="O150">
        <v>3547055</v>
      </c>
    </row>
    <row r="151" spans="2:15" ht="13.5" customHeight="1" x14ac:dyDescent="0.35">
      <c r="B151" s="105" t="s">
        <v>22</v>
      </c>
      <c r="C151" s="105">
        <v>2012</v>
      </c>
      <c r="D151" s="106">
        <v>37.729999999999997</v>
      </c>
      <c r="E151" s="107">
        <v>1.03</v>
      </c>
      <c r="F151" s="108">
        <v>7.2079000000000004</v>
      </c>
      <c r="G151" s="109">
        <v>3.6109</v>
      </c>
      <c r="H151" s="110">
        <v>32657</v>
      </c>
      <c r="I151" s="111">
        <v>10.393800000000001</v>
      </c>
      <c r="J151" s="89">
        <v>5.78</v>
      </c>
      <c r="K151" s="112">
        <v>0</v>
      </c>
      <c r="L151" s="112">
        <v>0</v>
      </c>
      <c r="M151" s="113">
        <v>78.644400000000005</v>
      </c>
      <c r="N151">
        <v>218</v>
      </c>
      <c r="O151">
        <v>3578067</v>
      </c>
    </row>
    <row r="152" spans="2:15" ht="13.5" customHeight="1" x14ac:dyDescent="0.35">
      <c r="B152" s="97" t="s">
        <v>22</v>
      </c>
      <c r="C152" s="97">
        <v>2013</v>
      </c>
      <c r="D152" s="98">
        <v>33.57</v>
      </c>
      <c r="E152" s="99">
        <v>0.63</v>
      </c>
      <c r="F152" s="100">
        <v>7.1616</v>
      </c>
      <c r="G152" s="101">
        <v>3.1781000000000001</v>
      </c>
      <c r="H152" s="77">
        <v>30545</v>
      </c>
      <c r="I152" s="102">
        <v>10.327</v>
      </c>
      <c r="J152" s="86">
        <v>6.19</v>
      </c>
      <c r="K152" s="103">
        <v>0</v>
      </c>
      <c r="L152" s="114">
        <v>0</v>
      </c>
      <c r="M152" s="104">
        <v>78.644400000000005</v>
      </c>
      <c r="N152">
        <v>242</v>
      </c>
      <c r="O152">
        <v>3839366</v>
      </c>
    </row>
    <row r="153" spans="2:15" ht="13.5" customHeight="1" x14ac:dyDescent="0.35">
      <c r="B153" s="105" t="s">
        <v>22</v>
      </c>
      <c r="C153" s="105">
        <v>2014</v>
      </c>
      <c r="D153" s="106">
        <v>33.229999999999997</v>
      </c>
      <c r="E153" s="107">
        <v>0.21</v>
      </c>
      <c r="F153" s="108">
        <v>7.1631999999999998</v>
      </c>
      <c r="G153" s="109">
        <v>2.0794000000000001</v>
      </c>
      <c r="H153" s="110">
        <v>33149</v>
      </c>
      <c r="I153" s="111">
        <v>10.408799999999999</v>
      </c>
      <c r="J153" s="86">
        <v>7.14</v>
      </c>
      <c r="K153" s="112">
        <v>0</v>
      </c>
      <c r="L153" s="114">
        <v>0</v>
      </c>
      <c r="M153" s="113">
        <v>78.644400000000005</v>
      </c>
      <c r="N153">
        <v>250</v>
      </c>
      <c r="O153">
        <v>3885049</v>
      </c>
    </row>
    <row r="154" spans="2:15" ht="13.5" customHeight="1" x14ac:dyDescent="0.35">
      <c r="B154" s="97" t="s">
        <v>22</v>
      </c>
      <c r="C154" s="97">
        <v>2015</v>
      </c>
      <c r="D154" s="98">
        <v>27.99</v>
      </c>
      <c r="E154" s="99">
        <v>0.61</v>
      </c>
      <c r="F154" s="100">
        <v>7.0030999999999999</v>
      </c>
      <c r="G154" s="101">
        <v>3.1781000000000001</v>
      </c>
      <c r="H154" s="77">
        <v>30628</v>
      </c>
      <c r="I154" s="102">
        <v>10.329700000000001</v>
      </c>
      <c r="J154" s="85">
        <v>7.8</v>
      </c>
      <c r="K154" s="103">
        <v>0</v>
      </c>
      <c r="L154" s="103">
        <v>0</v>
      </c>
      <c r="M154" s="104">
        <v>78.644400000000005</v>
      </c>
      <c r="N154">
        <v>274</v>
      </c>
      <c r="O154">
        <v>3929911</v>
      </c>
    </row>
    <row r="155" spans="2:15" ht="13.5" customHeight="1" x14ac:dyDescent="0.35">
      <c r="B155" s="105" t="s">
        <v>22</v>
      </c>
      <c r="C155" s="105">
        <v>2016</v>
      </c>
      <c r="D155" s="106">
        <v>24.28</v>
      </c>
      <c r="E155" s="107">
        <v>1.01</v>
      </c>
      <c r="F155" s="108">
        <v>6.8720999999999997</v>
      </c>
      <c r="G155" s="109">
        <v>3.6888999999999998</v>
      </c>
      <c r="H155" s="110">
        <v>27497</v>
      </c>
      <c r="I155" s="111">
        <v>10.2218</v>
      </c>
      <c r="J155" s="89">
        <v>12.4</v>
      </c>
      <c r="K155" s="115">
        <v>0</v>
      </c>
      <c r="L155" s="112">
        <v>0</v>
      </c>
      <c r="M155" s="113">
        <v>78.644400000000005</v>
      </c>
      <c r="N155">
        <v>314</v>
      </c>
      <c r="O155">
        <v>3973697</v>
      </c>
    </row>
    <row r="156" spans="2:15" ht="13.5" customHeight="1" x14ac:dyDescent="0.35">
      <c r="B156" s="97" t="s">
        <v>22</v>
      </c>
      <c r="C156" s="97">
        <v>2017</v>
      </c>
      <c r="D156" s="98">
        <v>30.72</v>
      </c>
      <c r="E156" s="99">
        <v>3.36</v>
      </c>
      <c r="F156" s="100">
        <v>7.1180000000000003</v>
      </c>
      <c r="G156" s="101">
        <v>4.9053000000000004</v>
      </c>
      <c r="H156" s="77">
        <v>28235</v>
      </c>
      <c r="I156" s="102">
        <v>10.2483</v>
      </c>
      <c r="J156" s="85">
        <v>13.3</v>
      </c>
      <c r="K156" s="103">
        <v>0</v>
      </c>
      <c r="L156" s="103">
        <v>0</v>
      </c>
      <c r="M156" s="104">
        <v>78.644400000000005</v>
      </c>
      <c r="N156">
        <v>449</v>
      </c>
      <c r="O156">
        <v>4016356</v>
      </c>
    </row>
    <row r="157" spans="2:15" ht="13.5" customHeight="1" x14ac:dyDescent="0.35">
      <c r="B157" s="105" t="s">
        <v>22</v>
      </c>
      <c r="C157" s="105">
        <v>2018</v>
      </c>
      <c r="D157" s="106">
        <v>22.28</v>
      </c>
      <c r="E157" s="107">
        <v>8.08</v>
      </c>
      <c r="F157" s="108">
        <v>6.7855999999999996</v>
      </c>
      <c r="G157" s="109">
        <v>5.7713999999999999</v>
      </c>
      <c r="H157" s="110">
        <v>34493</v>
      </c>
      <c r="I157" s="111">
        <v>10.448499999999999</v>
      </c>
      <c r="J157" s="89">
        <v>11.7</v>
      </c>
      <c r="K157" s="112">
        <v>0</v>
      </c>
      <c r="L157" s="112">
        <v>0</v>
      </c>
      <c r="M157" s="113">
        <v>78.644400000000005</v>
      </c>
      <c r="N157">
        <v>770</v>
      </c>
      <c r="O157">
        <v>3972388</v>
      </c>
    </row>
    <row r="158" spans="2:15" ht="13.5" customHeight="1" x14ac:dyDescent="0.35">
      <c r="B158" s="97" t="s">
        <v>22</v>
      </c>
      <c r="C158" s="97">
        <v>2019</v>
      </c>
      <c r="D158" s="98">
        <v>19.329999999999998</v>
      </c>
      <c r="E158" s="99">
        <v>16.37</v>
      </c>
      <c r="F158" s="100">
        <v>6.6554000000000002</v>
      </c>
      <c r="G158" s="101">
        <v>6.4892000000000003</v>
      </c>
      <c r="H158" s="77">
        <v>34177</v>
      </c>
      <c r="I158" s="102">
        <v>10.439299999999999</v>
      </c>
      <c r="J158" s="85">
        <v>11.2</v>
      </c>
      <c r="K158" s="103">
        <v>0</v>
      </c>
      <c r="L158" s="103">
        <v>0</v>
      </c>
      <c r="M158" s="104">
        <v>78.644400000000005</v>
      </c>
      <c r="N158">
        <v>1428</v>
      </c>
      <c r="O158">
        <v>4018650</v>
      </c>
    </row>
    <row r="159" spans="2:15" ht="13.5" customHeight="1" x14ac:dyDescent="0.35">
      <c r="B159" s="105" t="s">
        <v>22</v>
      </c>
      <c r="C159" s="105">
        <v>2020</v>
      </c>
      <c r="D159" s="106">
        <v>22.98</v>
      </c>
      <c r="E159" s="107">
        <v>18.45</v>
      </c>
      <c r="F159" s="108">
        <v>6.8395000000000001</v>
      </c>
      <c r="G159" s="109">
        <v>6.6200999999999999</v>
      </c>
      <c r="H159" s="110">
        <v>34066</v>
      </c>
      <c r="I159" s="111">
        <v>10.4361</v>
      </c>
      <c r="J159" s="89">
        <v>12.9</v>
      </c>
      <c r="K159" s="112">
        <v>0</v>
      </c>
      <c r="L159" s="112">
        <v>1</v>
      </c>
      <c r="M159" s="113">
        <v>78.644400000000005</v>
      </c>
      <c r="N159">
        <v>2178</v>
      </c>
      <c r="O159">
        <v>4064052</v>
      </c>
    </row>
    <row r="160" spans="2:15" ht="13.5" customHeight="1" x14ac:dyDescent="0.35">
      <c r="B160" s="97" t="s">
        <v>22</v>
      </c>
      <c r="C160" s="97">
        <v>2021</v>
      </c>
      <c r="D160" s="98">
        <v>22.1</v>
      </c>
      <c r="E160" s="99">
        <v>56.47</v>
      </c>
      <c r="F160" s="100">
        <v>6.8112000000000004</v>
      </c>
      <c r="G160" s="101">
        <v>7.7492999999999999</v>
      </c>
      <c r="H160" s="77">
        <v>45354</v>
      </c>
      <c r="I160" s="102">
        <v>10.722300000000001</v>
      </c>
      <c r="J160" s="86">
        <v>11.2</v>
      </c>
      <c r="K160" s="103">
        <v>0</v>
      </c>
      <c r="L160" s="114">
        <v>1</v>
      </c>
      <c r="M160" s="104">
        <v>78.644400000000005</v>
      </c>
      <c r="N160">
        <v>4498</v>
      </c>
      <c r="O160">
        <v>4108508</v>
      </c>
    </row>
    <row r="161" spans="2:15" ht="13.5" customHeight="1" x14ac:dyDescent="0.35">
      <c r="B161" s="105" t="s">
        <v>22</v>
      </c>
      <c r="C161" s="105">
        <v>2022</v>
      </c>
      <c r="D161" s="106">
        <v>22.43</v>
      </c>
      <c r="E161" s="107">
        <v>78.64</v>
      </c>
      <c r="F161" s="108">
        <v>6.7568999999999999</v>
      </c>
      <c r="G161" s="109">
        <v>8.0114000000000001</v>
      </c>
      <c r="H161" s="110">
        <v>47617</v>
      </c>
      <c r="I161" s="111">
        <v>10.770899999999999</v>
      </c>
      <c r="J161" s="86">
        <v>8</v>
      </c>
      <c r="K161" s="112">
        <v>0</v>
      </c>
      <c r="L161" s="114">
        <v>0</v>
      </c>
      <c r="M161" s="113">
        <v>78.644400000000005</v>
      </c>
      <c r="N161">
        <v>7513</v>
      </c>
      <c r="O161">
        <v>3833712</v>
      </c>
    </row>
    <row r="162" spans="2:15" ht="13.5" customHeight="1" x14ac:dyDescent="0.35">
      <c r="B162" s="97" t="s">
        <v>22</v>
      </c>
      <c r="C162" s="97">
        <v>2023</v>
      </c>
      <c r="D162" s="98">
        <v>21.96</v>
      </c>
      <c r="E162" s="99">
        <v>1.02</v>
      </c>
      <c r="F162" s="100">
        <v>6.7358000000000002</v>
      </c>
      <c r="G162" s="101">
        <v>3.6636000000000002</v>
      </c>
      <c r="H162" s="77">
        <v>54733</v>
      </c>
      <c r="I162" s="102">
        <v>10.9102</v>
      </c>
      <c r="J162" s="85">
        <v>6.1</v>
      </c>
      <c r="K162" s="103">
        <v>1</v>
      </c>
      <c r="L162" s="103">
        <v>0</v>
      </c>
      <c r="M162" s="104">
        <v>78.644400000000005</v>
      </c>
      <c r="N162">
        <v>7552</v>
      </c>
      <c r="O162">
        <v>3833712</v>
      </c>
    </row>
    <row r="163" spans="2:15" ht="13.5" customHeight="1" x14ac:dyDescent="0.35">
      <c r="B163" s="105" t="s">
        <v>22</v>
      </c>
      <c r="C163" s="105">
        <v>2024</v>
      </c>
      <c r="D163" s="106">
        <v>18.14</v>
      </c>
      <c r="E163" s="107">
        <v>12.55</v>
      </c>
      <c r="F163" s="108">
        <v>6.6120000000000001</v>
      </c>
      <c r="G163" s="109">
        <v>6.2442000000000002</v>
      </c>
      <c r="H163" s="110">
        <v>53393</v>
      </c>
      <c r="I163" s="111">
        <v>10.885400000000001</v>
      </c>
      <c r="J163" s="89">
        <v>4.7</v>
      </c>
      <c r="K163" s="115">
        <v>1</v>
      </c>
      <c r="L163" s="112">
        <v>0</v>
      </c>
      <c r="M163" s="113">
        <v>78.644400000000005</v>
      </c>
      <c r="N163">
        <v>8067</v>
      </c>
      <c r="O163">
        <v>4102129</v>
      </c>
    </row>
    <row r="164" spans="2:15" ht="13.5" customHeight="1" x14ac:dyDescent="0.35">
      <c r="B164" s="97" t="s">
        <v>23</v>
      </c>
      <c r="C164" s="97">
        <v>2005</v>
      </c>
      <c r="D164" s="98">
        <v>15.85</v>
      </c>
      <c r="E164" s="99">
        <v>0.8</v>
      </c>
      <c r="F164" s="100">
        <v>6.7923</v>
      </c>
      <c r="G164" s="101">
        <v>3.8067000000000002</v>
      </c>
      <c r="H164" s="77">
        <v>8992</v>
      </c>
      <c r="I164" s="102">
        <v>9.1041000000000007</v>
      </c>
      <c r="J164" s="85">
        <v>9.81</v>
      </c>
      <c r="K164" s="103">
        <v>0</v>
      </c>
      <c r="L164" s="103">
        <v>0</v>
      </c>
      <c r="M164" s="104">
        <v>412.65530000000001</v>
      </c>
      <c r="N164">
        <v>45</v>
      </c>
      <c r="O164">
        <v>5619917</v>
      </c>
    </row>
    <row r="165" spans="2:15" ht="13.5" customHeight="1" x14ac:dyDescent="0.35">
      <c r="B165" s="105" t="s">
        <v>23</v>
      </c>
      <c r="C165" s="105">
        <v>2006</v>
      </c>
      <c r="D165" s="106">
        <v>16.11</v>
      </c>
      <c r="E165" s="107">
        <v>0.54</v>
      </c>
      <c r="F165" s="108">
        <v>6.8276000000000003</v>
      </c>
      <c r="G165" s="109">
        <v>3.4340000000000002</v>
      </c>
      <c r="H165" s="110">
        <v>9956</v>
      </c>
      <c r="I165" s="111">
        <v>9.2058999999999997</v>
      </c>
      <c r="J165" s="89">
        <v>7.65</v>
      </c>
      <c r="K165" s="112">
        <v>0</v>
      </c>
      <c r="L165" s="112">
        <v>0</v>
      </c>
      <c r="M165" s="113">
        <v>412.65530000000001</v>
      </c>
      <c r="N165">
        <v>76</v>
      </c>
      <c r="O165">
        <v>5730753</v>
      </c>
    </row>
    <row r="166" spans="2:15" ht="13.5" customHeight="1" x14ac:dyDescent="0.35">
      <c r="B166" s="97" t="s">
        <v>23</v>
      </c>
      <c r="C166" s="97">
        <v>2007</v>
      </c>
      <c r="D166" s="98">
        <v>16.73</v>
      </c>
      <c r="E166" s="99">
        <v>0.62</v>
      </c>
      <c r="F166" s="100">
        <v>6.8512000000000004</v>
      </c>
      <c r="G166" s="101">
        <v>3.5552999999999999</v>
      </c>
      <c r="H166" s="77">
        <v>11548</v>
      </c>
      <c r="I166" s="102">
        <v>9.3543000000000003</v>
      </c>
      <c r="J166" s="85">
        <v>8.2200000000000006</v>
      </c>
      <c r="K166" s="103">
        <v>0</v>
      </c>
      <c r="L166" s="103">
        <v>0</v>
      </c>
      <c r="M166" s="104">
        <v>412.65530000000001</v>
      </c>
      <c r="N166">
        <v>111</v>
      </c>
      <c r="O166">
        <v>5647035</v>
      </c>
    </row>
    <row r="167" spans="2:15" ht="13.5" customHeight="1" x14ac:dyDescent="0.35">
      <c r="B167" s="105" t="s">
        <v>23</v>
      </c>
      <c r="C167" s="105">
        <v>2008</v>
      </c>
      <c r="D167" s="106">
        <v>20.149999999999999</v>
      </c>
      <c r="E167" s="107">
        <v>0.92</v>
      </c>
      <c r="F167" s="108">
        <v>7.0716000000000001</v>
      </c>
      <c r="G167" s="109">
        <v>3.9889999999999999</v>
      </c>
      <c r="H167" s="110">
        <v>12878</v>
      </c>
      <c r="I167" s="111">
        <v>9.4633000000000003</v>
      </c>
      <c r="J167" s="89">
        <v>7.22</v>
      </c>
      <c r="K167" s="112">
        <v>0</v>
      </c>
      <c r="L167" s="112">
        <v>0</v>
      </c>
      <c r="M167" s="113">
        <v>412.65530000000001</v>
      </c>
      <c r="N167">
        <v>165</v>
      </c>
      <c r="O167">
        <v>5844995</v>
      </c>
    </row>
    <row r="168" spans="2:15" ht="13.5" customHeight="1" x14ac:dyDescent="0.35">
      <c r="B168" s="97" t="s">
        <v>23</v>
      </c>
      <c r="C168" s="97">
        <v>2009</v>
      </c>
      <c r="D168" s="98">
        <v>20.11</v>
      </c>
      <c r="E168" s="99">
        <v>0.84</v>
      </c>
      <c r="F168" s="100">
        <v>7.0834000000000001</v>
      </c>
      <c r="G168" s="101">
        <v>3.9119999999999999</v>
      </c>
      <c r="H168" s="77">
        <v>14447</v>
      </c>
      <c r="I168" s="102">
        <v>9.5782000000000007</v>
      </c>
      <c r="J168" s="86">
        <v>8.51</v>
      </c>
      <c r="K168" s="103">
        <v>0</v>
      </c>
      <c r="L168" s="114">
        <v>0</v>
      </c>
      <c r="M168" s="104">
        <v>412.65530000000001</v>
      </c>
      <c r="N168">
        <v>215</v>
      </c>
      <c r="O168">
        <v>5926300</v>
      </c>
    </row>
    <row r="169" spans="2:15" ht="13.5" customHeight="1" x14ac:dyDescent="0.35">
      <c r="B169" s="105" t="s">
        <v>23</v>
      </c>
      <c r="C169" s="105">
        <v>2010</v>
      </c>
      <c r="D169" s="106">
        <v>21.15</v>
      </c>
      <c r="E169" s="107">
        <v>1.03</v>
      </c>
      <c r="F169" s="108">
        <v>7.1467999999999998</v>
      </c>
      <c r="G169" s="109">
        <v>4.1271000000000004</v>
      </c>
      <c r="H169" s="110">
        <v>17784</v>
      </c>
      <c r="I169" s="111">
        <v>9.7860999999999994</v>
      </c>
      <c r="J169" s="86">
        <v>6.72</v>
      </c>
      <c r="K169" s="112">
        <v>0</v>
      </c>
      <c r="L169" s="114">
        <v>0</v>
      </c>
      <c r="M169" s="113">
        <v>412.65530000000001</v>
      </c>
      <c r="N169">
        <v>277</v>
      </c>
      <c r="O169">
        <v>6003788</v>
      </c>
    </row>
    <row r="170" spans="2:15" ht="13.5" customHeight="1" x14ac:dyDescent="0.35">
      <c r="B170" s="97" t="s">
        <v>23</v>
      </c>
      <c r="C170" s="97">
        <v>2011</v>
      </c>
      <c r="D170" s="98">
        <v>25.26</v>
      </c>
      <c r="E170" s="99">
        <v>1.6</v>
      </c>
      <c r="F170" s="100">
        <v>7.3369</v>
      </c>
      <c r="G170" s="101">
        <v>4.5747</v>
      </c>
      <c r="H170" s="77">
        <v>19948</v>
      </c>
      <c r="I170" s="102">
        <v>9.9009</v>
      </c>
      <c r="J170" s="85">
        <v>4.9400000000000004</v>
      </c>
      <c r="K170" s="103">
        <v>0</v>
      </c>
      <c r="L170" s="103">
        <v>0</v>
      </c>
      <c r="M170" s="104">
        <v>412.65530000000001</v>
      </c>
      <c r="N170">
        <v>374</v>
      </c>
      <c r="O170">
        <v>6080716</v>
      </c>
    </row>
    <row r="171" spans="2:15" ht="13.5" customHeight="1" x14ac:dyDescent="0.35">
      <c r="B171" s="105" t="s">
        <v>23</v>
      </c>
      <c r="C171" s="105">
        <v>2012</v>
      </c>
      <c r="D171" s="106">
        <v>30.9</v>
      </c>
      <c r="E171" s="107">
        <v>1.56</v>
      </c>
      <c r="F171" s="108">
        <v>7.5507</v>
      </c>
      <c r="G171" s="109">
        <v>4.5643000000000002</v>
      </c>
      <c r="H171" s="110">
        <v>22544</v>
      </c>
      <c r="I171" s="111">
        <v>10.023199999999999</v>
      </c>
      <c r="J171" s="89">
        <v>4.92</v>
      </c>
      <c r="K171" s="115">
        <v>0</v>
      </c>
      <c r="L171" s="112">
        <v>0</v>
      </c>
      <c r="M171" s="113">
        <v>412.65530000000001</v>
      </c>
      <c r="N171">
        <v>470</v>
      </c>
      <c r="O171">
        <v>6154996</v>
      </c>
    </row>
    <row r="172" spans="2:15" ht="13.5" customHeight="1" x14ac:dyDescent="0.35">
      <c r="B172" s="97" t="s">
        <v>23</v>
      </c>
      <c r="C172" s="97">
        <v>2013</v>
      </c>
      <c r="D172" s="98">
        <v>32.58</v>
      </c>
      <c r="E172" s="99">
        <v>1.1000000000000001</v>
      </c>
      <c r="F172" s="100">
        <v>7.6478000000000002</v>
      </c>
      <c r="G172" s="101">
        <v>4.2626999999999997</v>
      </c>
      <c r="H172" s="77">
        <v>23516</v>
      </c>
      <c r="I172" s="102">
        <v>10.0654</v>
      </c>
      <c r="J172" s="85">
        <v>5.74</v>
      </c>
      <c r="K172" s="103">
        <v>0</v>
      </c>
      <c r="L172" s="103">
        <v>0</v>
      </c>
      <c r="M172" s="104">
        <v>412.65530000000001</v>
      </c>
      <c r="N172">
        <v>541</v>
      </c>
      <c r="O172">
        <v>6434048</v>
      </c>
    </row>
    <row r="173" spans="2:15" ht="13.5" customHeight="1" x14ac:dyDescent="0.35">
      <c r="B173" s="105" t="s">
        <v>23</v>
      </c>
      <c r="C173" s="105">
        <v>2014</v>
      </c>
      <c r="D173" s="106">
        <v>30.55</v>
      </c>
      <c r="E173" s="107">
        <v>0.83</v>
      </c>
      <c r="F173" s="108">
        <v>7.5974000000000004</v>
      </c>
      <c r="G173" s="109">
        <v>3.9889999999999999</v>
      </c>
      <c r="H173" s="110">
        <v>25297</v>
      </c>
      <c r="I173" s="111">
        <v>10.138400000000001</v>
      </c>
      <c r="J173" s="89">
        <v>5.17</v>
      </c>
      <c r="K173" s="112">
        <v>0</v>
      </c>
      <c r="L173" s="112">
        <v>0</v>
      </c>
      <c r="M173" s="113">
        <v>412.65530000000001</v>
      </c>
      <c r="N173">
        <v>595</v>
      </c>
      <c r="O173">
        <v>6523222</v>
      </c>
    </row>
    <row r="174" spans="2:15" ht="13.5" customHeight="1" x14ac:dyDescent="0.35">
      <c r="B174" s="97" t="s">
        <v>23</v>
      </c>
      <c r="C174" s="97">
        <v>2015</v>
      </c>
      <c r="D174" s="98">
        <v>32.07</v>
      </c>
      <c r="E174" s="99">
        <v>0.26</v>
      </c>
      <c r="F174" s="100">
        <v>7.6592000000000002</v>
      </c>
      <c r="G174" s="101">
        <v>2.8332000000000002</v>
      </c>
      <c r="H174" s="77">
        <v>26265</v>
      </c>
      <c r="I174" s="102">
        <v>10.176</v>
      </c>
      <c r="J174" s="85">
        <v>7.4</v>
      </c>
      <c r="K174" s="103">
        <v>0</v>
      </c>
      <c r="L174" s="103">
        <v>0</v>
      </c>
      <c r="M174" s="104">
        <v>412.65530000000001</v>
      </c>
      <c r="N174">
        <v>612</v>
      </c>
      <c r="O174">
        <v>6610681</v>
      </c>
    </row>
    <row r="175" spans="2:15" ht="13.5" customHeight="1" x14ac:dyDescent="0.35">
      <c r="B175" s="105" t="s">
        <v>23</v>
      </c>
      <c r="C175" s="105">
        <v>2016</v>
      </c>
      <c r="D175" s="106">
        <v>31.86</v>
      </c>
      <c r="E175" s="107">
        <v>1.72</v>
      </c>
      <c r="F175" s="108">
        <v>7.6653000000000002</v>
      </c>
      <c r="G175" s="109">
        <v>4.7449000000000003</v>
      </c>
      <c r="H175" s="110">
        <v>27145</v>
      </c>
      <c r="I175" s="111">
        <v>10.2089</v>
      </c>
      <c r="J175" s="89">
        <v>10.7</v>
      </c>
      <c r="K175" s="112">
        <v>0</v>
      </c>
      <c r="L175" s="112">
        <v>0</v>
      </c>
      <c r="M175" s="113">
        <v>412.65530000000001</v>
      </c>
      <c r="N175">
        <v>727</v>
      </c>
      <c r="O175">
        <v>6695855</v>
      </c>
    </row>
    <row r="176" spans="2:15" ht="13.5" customHeight="1" x14ac:dyDescent="0.35">
      <c r="B176" s="97" t="s">
        <v>23</v>
      </c>
      <c r="C176" s="97">
        <v>2017</v>
      </c>
      <c r="D176" s="98">
        <v>30.39</v>
      </c>
      <c r="E176" s="99">
        <v>4.4400000000000004</v>
      </c>
      <c r="F176" s="100">
        <v>7.6304999999999996</v>
      </c>
      <c r="G176" s="101">
        <v>5.7070999999999996</v>
      </c>
      <c r="H176" s="77">
        <v>28316</v>
      </c>
      <c r="I176" s="102">
        <v>10.251200000000001</v>
      </c>
      <c r="J176" s="86">
        <v>10.7</v>
      </c>
      <c r="K176" s="103">
        <v>0</v>
      </c>
      <c r="L176" s="114">
        <v>0</v>
      </c>
      <c r="M176" s="104">
        <v>412.65530000000001</v>
      </c>
      <c r="N176">
        <v>1028</v>
      </c>
      <c r="O176">
        <v>6778772</v>
      </c>
    </row>
    <row r="177" spans="2:15" ht="13.5" customHeight="1" x14ac:dyDescent="0.35">
      <c r="B177" s="105" t="s">
        <v>23</v>
      </c>
      <c r="C177" s="105">
        <v>2018</v>
      </c>
      <c r="D177" s="106">
        <v>27.24</v>
      </c>
      <c r="E177" s="107">
        <v>8.58</v>
      </c>
      <c r="F177" s="108">
        <v>7.5416999999999996</v>
      </c>
      <c r="G177" s="109">
        <v>6.3868999999999998</v>
      </c>
      <c r="H177" s="110">
        <v>28273</v>
      </c>
      <c r="I177" s="111">
        <v>10.249700000000001</v>
      </c>
      <c r="J177" s="86">
        <v>9.3000000000000007</v>
      </c>
      <c r="K177" s="112">
        <v>0</v>
      </c>
      <c r="L177" s="114">
        <v>0</v>
      </c>
      <c r="M177" s="113">
        <v>412.65530000000001</v>
      </c>
      <c r="N177">
        <v>1622</v>
      </c>
      <c r="O177">
        <v>6921161</v>
      </c>
    </row>
    <row r="178" spans="2:15" ht="13.5" customHeight="1" x14ac:dyDescent="0.35">
      <c r="B178" s="97" t="s">
        <v>23</v>
      </c>
      <c r="C178" s="97">
        <v>2019</v>
      </c>
      <c r="D178" s="98">
        <v>21.03</v>
      </c>
      <c r="E178" s="99">
        <v>43.4</v>
      </c>
      <c r="F178" s="100">
        <v>7.2971000000000004</v>
      </c>
      <c r="G178" s="101">
        <v>8.0215999999999994</v>
      </c>
      <c r="H178" s="77">
        <v>29732</v>
      </c>
      <c r="I178" s="102">
        <v>10.3</v>
      </c>
      <c r="J178" s="85">
        <v>10.8</v>
      </c>
      <c r="K178" s="103">
        <v>0</v>
      </c>
      <c r="L178" s="103">
        <v>0</v>
      </c>
      <c r="M178" s="104">
        <v>412.65530000000001</v>
      </c>
      <c r="N178">
        <v>4668</v>
      </c>
      <c r="O178">
        <v>7018354</v>
      </c>
    </row>
    <row r="179" spans="2:15" ht="13.5" customHeight="1" x14ac:dyDescent="0.35">
      <c r="B179" s="105" t="s">
        <v>23</v>
      </c>
      <c r="C179" s="105">
        <v>2020</v>
      </c>
      <c r="D179" s="106">
        <v>19.86</v>
      </c>
      <c r="E179" s="107">
        <v>119.46</v>
      </c>
      <c r="F179" s="108">
        <v>7.2534999999999998</v>
      </c>
      <c r="G179" s="109">
        <v>9.0475999999999992</v>
      </c>
      <c r="H179" s="110">
        <v>31507</v>
      </c>
      <c r="I179" s="111">
        <v>10.358000000000001</v>
      </c>
      <c r="J179" s="89">
        <v>12.8</v>
      </c>
      <c r="K179" s="115">
        <v>0</v>
      </c>
      <c r="L179" s="112">
        <v>1</v>
      </c>
      <c r="M179" s="113">
        <v>412.65530000000001</v>
      </c>
      <c r="N179">
        <v>13166</v>
      </c>
      <c r="O179">
        <v>7113540</v>
      </c>
    </row>
    <row r="180" spans="2:15" ht="13.5" customHeight="1" x14ac:dyDescent="0.35">
      <c r="B180" s="97" t="s">
        <v>23</v>
      </c>
      <c r="C180" s="97">
        <v>2021</v>
      </c>
      <c r="D180" s="98">
        <v>14.11</v>
      </c>
      <c r="E180" s="99">
        <v>305.83</v>
      </c>
      <c r="F180" s="100">
        <v>6.9245999999999999</v>
      </c>
      <c r="G180" s="101">
        <v>10.0006</v>
      </c>
      <c r="H180" s="77">
        <v>37414</v>
      </c>
      <c r="I180" s="102">
        <v>10.5298</v>
      </c>
      <c r="J180" s="85">
        <v>11.3</v>
      </c>
      <c r="K180" s="103">
        <v>0</v>
      </c>
      <c r="L180" s="103">
        <v>1</v>
      </c>
      <c r="M180" s="104">
        <v>412.65530000000001</v>
      </c>
      <c r="N180">
        <v>35206</v>
      </c>
      <c r="O180">
        <v>7206589</v>
      </c>
    </row>
    <row r="181" spans="2:15" ht="13.5" customHeight="1" x14ac:dyDescent="0.35">
      <c r="B181" s="105" t="s">
        <v>23</v>
      </c>
      <c r="C181" s="105">
        <v>2022</v>
      </c>
      <c r="D181" s="106">
        <v>13.41</v>
      </c>
      <c r="E181" s="107">
        <v>412.66</v>
      </c>
      <c r="F181" s="108">
        <v>6.8521999999999998</v>
      </c>
      <c r="G181" s="109">
        <v>10.2791</v>
      </c>
      <c r="H181" s="110">
        <v>45148</v>
      </c>
      <c r="I181" s="111">
        <v>10.717700000000001</v>
      </c>
      <c r="J181" s="89">
        <v>7.2</v>
      </c>
      <c r="K181" s="112">
        <v>0</v>
      </c>
      <c r="L181" s="112">
        <v>0</v>
      </c>
      <c r="M181" s="113">
        <v>412.65530000000001</v>
      </c>
      <c r="N181">
        <v>64325</v>
      </c>
      <c r="O181">
        <v>7056495</v>
      </c>
    </row>
    <row r="182" spans="2:15" ht="13.5" customHeight="1" x14ac:dyDescent="0.35">
      <c r="B182" s="97" t="s">
        <v>23</v>
      </c>
      <c r="C182" s="97">
        <v>2023</v>
      </c>
      <c r="D182" s="98">
        <v>11.9</v>
      </c>
      <c r="E182" s="99">
        <v>0.74</v>
      </c>
      <c r="F182" s="100">
        <v>6.7333999999999996</v>
      </c>
      <c r="G182" s="101">
        <v>3.9512</v>
      </c>
      <c r="H182" s="77">
        <v>47722</v>
      </c>
      <c r="I182" s="102">
        <v>10.773099999999999</v>
      </c>
      <c r="J182" s="85">
        <v>6.2</v>
      </c>
      <c r="K182" s="103">
        <v>1</v>
      </c>
      <c r="L182" s="103">
        <v>0</v>
      </c>
      <c r="M182" s="104">
        <v>412.65530000000001</v>
      </c>
      <c r="N182">
        <v>64377</v>
      </c>
      <c r="O182">
        <v>7056495</v>
      </c>
    </row>
    <row r="183" spans="2:15" ht="13.5" customHeight="1" x14ac:dyDescent="0.35">
      <c r="B183" s="105" t="s">
        <v>23</v>
      </c>
      <c r="C183" s="105">
        <v>2024</v>
      </c>
      <c r="D183" s="106">
        <v>8.6300000000000008</v>
      </c>
      <c r="E183" s="107">
        <v>68.7</v>
      </c>
      <c r="F183" s="108">
        <v>6.452</v>
      </c>
      <c r="G183" s="109">
        <v>8.5271000000000008</v>
      </c>
      <c r="H183" s="110">
        <v>50470</v>
      </c>
      <c r="I183" s="111">
        <v>10.8291</v>
      </c>
      <c r="J183" s="89">
        <v>5.4</v>
      </c>
      <c r="K183" s="112">
        <v>1</v>
      </c>
      <c r="L183" s="112">
        <v>0</v>
      </c>
      <c r="M183" s="113">
        <v>412.65530000000001</v>
      </c>
      <c r="N183">
        <v>69427</v>
      </c>
      <c r="O183">
        <v>7350483</v>
      </c>
    </row>
    <row r="184" spans="2:15" ht="13.5" customHeight="1" x14ac:dyDescent="0.35">
      <c r="B184" s="97" t="s">
        <v>24</v>
      </c>
      <c r="C184" s="97">
        <v>2005</v>
      </c>
      <c r="D184" s="98">
        <v>7.73</v>
      </c>
      <c r="E184" s="99">
        <v>0.1</v>
      </c>
      <c r="F184" s="100">
        <v>6.157</v>
      </c>
      <c r="G184" s="101">
        <v>1.7918000000000001</v>
      </c>
      <c r="H184" s="77">
        <v>4151</v>
      </c>
      <c r="I184" s="102">
        <v>8.3310999999999993</v>
      </c>
      <c r="J184" s="86">
        <v>7.53</v>
      </c>
      <c r="K184" s="103">
        <v>0</v>
      </c>
      <c r="L184" s="114">
        <v>0</v>
      </c>
      <c r="M184" s="104">
        <v>73.531400000000005</v>
      </c>
      <c r="N184">
        <v>6</v>
      </c>
      <c r="O184">
        <v>6103327</v>
      </c>
    </row>
    <row r="185" spans="2:15" ht="13.5" customHeight="1" x14ac:dyDescent="0.35">
      <c r="B185" s="105" t="s">
        <v>24</v>
      </c>
      <c r="C185" s="105">
        <v>2006</v>
      </c>
      <c r="D185" s="106">
        <v>7.45</v>
      </c>
      <c r="E185" s="107">
        <v>0.1</v>
      </c>
      <c r="F185" s="108">
        <v>6.1334</v>
      </c>
      <c r="G185" s="109">
        <v>1.7918000000000001</v>
      </c>
      <c r="H185" s="110">
        <v>4628</v>
      </c>
      <c r="I185" s="111">
        <v>8.4398999999999997</v>
      </c>
      <c r="J185" s="86">
        <v>8.4499999999999993</v>
      </c>
      <c r="K185" s="112">
        <v>0</v>
      </c>
      <c r="L185" s="114">
        <v>0</v>
      </c>
      <c r="M185" s="113">
        <v>73.531400000000005</v>
      </c>
      <c r="N185">
        <v>12</v>
      </c>
      <c r="O185">
        <v>6184538</v>
      </c>
    </row>
    <row r="186" spans="2:15" ht="13.5" customHeight="1" x14ac:dyDescent="0.35">
      <c r="B186" s="97" t="s">
        <v>24</v>
      </c>
      <c r="C186" s="97">
        <v>2007</v>
      </c>
      <c r="D186" s="98">
        <v>9.56</v>
      </c>
      <c r="E186" s="99">
        <v>7.0000000000000007E-2</v>
      </c>
      <c r="F186" s="100">
        <v>6.3715999999999999</v>
      </c>
      <c r="G186" s="101">
        <v>1.3863000000000001</v>
      </c>
      <c r="H186" s="77">
        <v>5165</v>
      </c>
      <c r="I186" s="102">
        <v>8.5496999999999996</v>
      </c>
      <c r="J186" s="85">
        <v>8.2899999999999991</v>
      </c>
      <c r="K186" s="103">
        <v>0</v>
      </c>
      <c r="L186" s="103">
        <v>0</v>
      </c>
      <c r="M186" s="104">
        <v>73.531400000000005</v>
      </c>
      <c r="N186">
        <v>16</v>
      </c>
      <c r="O186">
        <v>6118995</v>
      </c>
    </row>
    <row r="187" spans="2:15" ht="13.5" customHeight="1" x14ac:dyDescent="0.35">
      <c r="B187" s="105" t="s">
        <v>24</v>
      </c>
      <c r="C187" s="105">
        <v>2008</v>
      </c>
      <c r="D187" s="106">
        <v>10.93</v>
      </c>
      <c r="E187" s="107">
        <v>0.13</v>
      </c>
      <c r="F187" s="108">
        <v>6.5351999999999997</v>
      </c>
      <c r="G187" s="109">
        <v>2.0794000000000001</v>
      </c>
      <c r="H187" s="110">
        <v>6104</v>
      </c>
      <c r="I187" s="111">
        <v>8.7166999999999994</v>
      </c>
      <c r="J187" s="89">
        <v>6.69</v>
      </c>
      <c r="K187" s="115">
        <v>0</v>
      </c>
      <c r="L187" s="112">
        <v>0</v>
      </c>
      <c r="M187" s="113">
        <v>73.531400000000005</v>
      </c>
      <c r="N187">
        <v>24</v>
      </c>
      <c r="O187">
        <v>6305537</v>
      </c>
    </row>
    <row r="188" spans="2:15" ht="13.5" customHeight="1" x14ac:dyDescent="0.35">
      <c r="B188" s="97" t="s">
        <v>24</v>
      </c>
      <c r="C188" s="97">
        <v>2009</v>
      </c>
      <c r="D188" s="98">
        <v>12.31</v>
      </c>
      <c r="E188" s="99">
        <v>0.11</v>
      </c>
      <c r="F188" s="100">
        <v>6.6643999999999997</v>
      </c>
      <c r="G188" s="101">
        <v>1.9459</v>
      </c>
      <c r="H188" s="77">
        <v>6259</v>
      </c>
      <c r="I188" s="102">
        <v>8.7417999999999996</v>
      </c>
      <c r="J188" s="85">
        <v>8.36</v>
      </c>
      <c r="K188" s="103">
        <v>0</v>
      </c>
      <c r="L188" s="103">
        <v>0</v>
      </c>
      <c r="M188" s="104">
        <v>73.531400000000005</v>
      </c>
      <c r="N188">
        <v>31</v>
      </c>
      <c r="O188">
        <v>6367138</v>
      </c>
    </row>
    <row r="189" spans="2:15" ht="13.5" customHeight="1" x14ac:dyDescent="0.35">
      <c r="B189" s="105" t="s">
        <v>24</v>
      </c>
      <c r="C189" s="105">
        <v>2010</v>
      </c>
      <c r="D189" s="106">
        <v>12.35</v>
      </c>
      <c r="E189" s="107">
        <v>0.18</v>
      </c>
      <c r="F189" s="108">
        <v>6.6994999999999996</v>
      </c>
      <c r="G189" s="109">
        <v>2.4849000000000001</v>
      </c>
      <c r="H189" s="110">
        <v>7044</v>
      </c>
      <c r="I189" s="111">
        <v>8.8598999999999997</v>
      </c>
      <c r="J189" s="89">
        <v>8.24</v>
      </c>
      <c r="K189" s="112">
        <v>0</v>
      </c>
      <c r="L189" s="112">
        <v>0</v>
      </c>
      <c r="M189" s="113">
        <v>73.531400000000005</v>
      </c>
      <c r="N189">
        <v>43</v>
      </c>
      <c r="O189">
        <v>6574789</v>
      </c>
    </row>
    <row r="190" spans="2:15" ht="13.5" customHeight="1" x14ac:dyDescent="0.35">
      <c r="B190" s="97" t="s">
        <v>24</v>
      </c>
      <c r="C190" s="97">
        <v>2011</v>
      </c>
      <c r="D190" s="98">
        <v>14.13</v>
      </c>
      <c r="E190" s="99">
        <v>0.35</v>
      </c>
      <c r="F190" s="100">
        <v>6.8448000000000002</v>
      </c>
      <c r="G190" s="101">
        <v>3.1355</v>
      </c>
      <c r="H190" s="77">
        <v>7846</v>
      </c>
      <c r="I190" s="102">
        <v>8.9678000000000004</v>
      </c>
      <c r="J190" s="85">
        <v>8.1199999999999992</v>
      </c>
      <c r="K190" s="103">
        <v>0</v>
      </c>
      <c r="L190" s="103">
        <v>0</v>
      </c>
      <c r="M190" s="104">
        <v>73.531400000000005</v>
      </c>
      <c r="N190">
        <v>66</v>
      </c>
      <c r="O190">
        <v>6645761</v>
      </c>
    </row>
    <row r="191" spans="2:15" ht="13.5" customHeight="1" x14ac:dyDescent="0.35">
      <c r="B191" s="105" t="s">
        <v>24</v>
      </c>
      <c r="C191" s="105">
        <v>2012</v>
      </c>
      <c r="D191" s="106">
        <v>17.010000000000002</v>
      </c>
      <c r="E191" s="107">
        <v>0.51</v>
      </c>
      <c r="F191" s="108">
        <v>7.0404999999999998</v>
      </c>
      <c r="G191" s="109">
        <v>3.5264000000000002</v>
      </c>
      <c r="H191" s="110">
        <v>9009</v>
      </c>
      <c r="I191" s="111">
        <v>9.1059999999999999</v>
      </c>
      <c r="J191" s="89">
        <v>6.83</v>
      </c>
      <c r="K191" s="112">
        <v>0</v>
      </c>
      <c r="L191" s="112">
        <v>0</v>
      </c>
      <c r="M191" s="113">
        <v>73.531400000000005</v>
      </c>
      <c r="N191">
        <v>100</v>
      </c>
      <c r="O191">
        <v>6714314</v>
      </c>
    </row>
    <row r="192" spans="2:15" ht="13.5" customHeight="1" x14ac:dyDescent="0.35">
      <c r="B192" s="97" t="s">
        <v>24</v>
      </c>
      <c r="C192" s="97">
        <v>2013</v>
      </c>
      <c r="D192" s="98">
        <v>20.34</v>
      </c>
      <c r="E192" s="99">
        <v>0.74</v>
      </c>
      <c r="F192" s="100">
        <v>7.2313000000000001</v>
      </c>
      <c r="G192" s="101">
        <v>3.9119999999999999</v>
      </c>
      <c r="H192" s="77">
        <v>9963</v>
      </c>
      <c r="I192" s="102">
        <v>9.2065999999999999</v>
      </c>
      <c r="J192" s="86">
        <v>9.02</v>
      </c>
      <c r="K192" s="103">
        <v>0</v>
      </c>
      <c r="L192" s="114">
        <v>0</v>
      </c>
      <c r="M192" s="104">
        <v>73.531400000000005</v>
      </c>
      <c r="N192">
        <v>150</v>
      </c>
      <c r="O192">
        <v>6794301</v>
      </c>
    </row>
    <row r="193" spans="2:15" ht="13.5" customHeight="1" x14ac:dyDescent="0.35">
      <c r="B193" s="105" t="s">
        <v>24</v>
      </c>
      <c r="C193" s="105">
        <v>2014</v>
      </c>
      <c r="D193" s="106">
        <v>24.45</v>
      </c>
      <c r="E193" s="107">
        <v>0.56999999999999995</v>
      </c>
      <c r="F193" s="108">
        <v>7.4236000000000004</v>
      </c>
      <c r="G193" s="109">
        <v>3.6636000000000002</v>
      </c>
      <c r="H193" s="110">
        <v>11216</v>
      </c>
      <c r="I193" s="111">
        <v>9.3251000000000008</v>
      </c>
      <c r="J193" s="86">
        <v>8.1</v>
      </c>
      <c r="K193" s="112">
        <v>0</v>
      </c>
      <c r="L193" s="114">
        <v>0</v>
      </c>
      <c r="M193" s="113">
        <v>73.531400000000005</v>
      </c>
      <c r="N193">
        <v>189</v>
      </c>
      <c r="O193">
        <v>6850884</v>
      </c>
    </row>
    <row r="194" spans="2:15" ht="13.5" customHeight="1" x14ac:dyDescent="0.35">
      <c r="B194" s="97" t="s">
        <v>24</v>
      </c>
      <c r="C194" s="97">
        <v>2015</v>
      </c>
      <c r="D194" s="98">
        <v>24.94</v>
      </c>
      <c r="E194" s="99">
        <v>0.13</v>
      </c>
      <c r="F194" s="100">
        <v>7.4512</v>
      </c>
      <c r="G194" s="101">
        <v>2.1972</v>
      </c>
      <c r="H194" s="77">
        <v>11366</v>
      </c>
      <c r="I194" s="102">
        <v>9.3384</v>
      </c>
      <c r="J194" s="85">
        <v>8.8000000000000007</v>
      </c>
      <c r="K194" s="103">
        <v>0</v>
      </c>
      <c r="L194" s="103">
        <v>0</v>
      </c>
      <c r="M194" s="104">
        <v>73.531400000000005</v>
      </c>
      <c r="N194">
        <v>198</v>
      </c>
      <c r="O194">
        <v>6904241</v>
      </c>
    </row>
    <row r="195" spans="2:15" ht="13.5" customHeight="1" x14ac:dyDescent="0.35">
      <c r="B195" s="105" t="s">
        <v>24</v>
      </c>
      <c r="C195" s="105">
        <v>2016</v>
      </c>
      <c r="D195" s="106">
        <v>23.37</v>
      </c>
      <c r="E195" s="107">
        <v>0.46</v>
      </c>
      <c r="F195" s="108">
        <v>7.3933</v>
      </c>
      <c r="G195" s="109">
        <v>3.4657</v>
      </c>
      <c r="H195" s="110">
        <v>12268</v>
      </c>
      <c r="I195" s="111">
        <v>9.4146999999999998</v>
      </c>
      <c r="J195" s="89">
        <v>12.1</v>
      </c>
      <c r="K195" s="115">
        <v>0</v>
      </c>
      <c r="L195" s="112">
        <v>0</v>
      </c>
      <c r="M195" s="113">
        <v>73.531400000000005</v>
      </c>
      <c r="N195">
        <v>230</v>
      </c>
      <c r="O195">
        <v>6954036</v>
      </c>
    </row>
    <row r="196" spans="2:15" ht="13.5" customHeight="1" x14ac:dyDescent="0.35">
      <c r="B196" s="97" t="s">
        <v>24</v>
      </c>
      <c r="C196" s="97">
        <v>2017</v>
      </c>
      <c r="D196" s="98">
        <v>21.06</v>
      </c>
      <c r="E196" s="99">
        <v>1.29</v>
      </c>
      <c r="F196" s="100">
        <v>7.2957000000000001</v>
      </c>
      <c r="G196" s="101">
        <v>4.4997999999999996</v>
      </c>
      <c r="H196" s="77">
        <v>12791</v>
      </c>
      <c r="I196" s="102">
        <v>9.4565000000000001</v>
      </c>
      <c r="J196" s="85">
        <v>14.5</v>
      </c>
      <c r="K196" s="103">
        <v>0</v>
      </c>
      <c r="L196" s="103">
        <v>0</v>
      </c>
      <c r="M196" s="104">
        <v>73.531400000000005</v>
      </c>
      <c r="N196">
        <v>320</v>
      </c>
      <c r="O196">
        <v>7000229</v>
      </c>
    </row>
    <row r="197" spans="2:15" ht="13.5" customHeight="1" x14ac:dyDescent="0.35">
      <c r="B197" s="105" t="s">
        <v>24</v>
      </c>
      <c r="C197" s="105">
        <v>2018</v>
      </c>
      <c r="D197" s="106">
        <v>17.87</v>
      </c>
      <c r="E197" s="107">
        <v>1.68</v>
      </c>
      <c r="F197" s="108">
        <v>7.1364999999999998</v>
      </c>
      <c r="G197" s="109">
        <v>4.7706999999999997</v>
      </c>
      <c r="H197" s="110">
        <v>13956</v>
      </c>
      <c r="I197" s="111">
        <v>9.5436999999999994</v>
      </c>
      <c r="J197" s="89">
        <v>14.7</v>
      </c>
      <c r="K197" s="112">
        <v>0</v>
      </c>
      <c r="L197" s="112">
        <v>0</v>
      </c>
      <c r="M197" s="113">
        <v>73.531400000000005</v>
      </c>
      <c r="N197">
        <v>438</v>
      </c>
      <c r="O197">
        <v>7035055</v>
      </c>
    </row>
    <row r="198" spans="2:15" ht="13.5" customHeight="1" x14ac:dyDescent="0.35">
      <c r="B198" s="97" t="s">
        <v>24</v>
      </c>
      <c r="C198" s="97">
        <v>2019</v>
      </c>
      <c r="D198" s="98">
        <v>15</v>
      </c>
      <c r="E198" s="99">
        <v>8.99</v>
      </c>
      <c r="F198" s="100">
        <v>6.9669999999999996</v>
      </c>
      <c r="G198" s="101">
        <v>6.4551999999999996</v>
      </c>
      <c r="H198" s="77">
        <v>13758</v>
      </c>
      <c r="I198" s="102">
        <v>9.5294000000000008</v>
      </c>
      <c r="J198" s="85">
        <v>14.7</v>
      </c>
      <c r="K198" s="103">
        <v>0</v>
      </c>
      <c r="L198" s="103">
        <v>0</v>
      </c>
      <c r="M198" s="104">
        <v>73.531400000000005</v>
      </c>
      <c r="N198">
        <v>1074</v>
      </c>
      <c r="O198">
        <v>7075181</v>
      </c>
    </row>
    <row r="199" spans="2:15" ht="13.5" customHeight="1" x14ac:dyDescent="0.35">
      <c r="B199" s="105" t="s">
        <v>24</v>
      </c>
      <c r="C199" s="105">
        <v>2020</v>
      </c>
      <c r="D199" s="106">
        <v>20.04</v>
      </c>
      <c r="E199" s="107">
        <v>21.08</v>
      </c>
      <c r="F199" s="108">
        <v>7.2625999999999999</v>
      </c>
      <c r="G199" s="109">
        <v>7.3132000000000001</v>
      </c>
      <c r="H199" s="110">
        <v>15028</v>
      </c>
      <c r="I199" s="111">
        <v>9.6176999999999992</v>
      </c>
      <c r="J199" s="89">
        <v>16.399999999999999</v>
      </c>
      <c r="K199" s="112">
        <v>0</v>
      </c>
      <c r="L199" s="112">
        <v>1</v>
      </c>
      <c r="M199" s="113">
        <v>73.531400000000005</v>
      </c>
      <c r="N199">
        <v>2574</v>
      </c>
      <c r="O199">
        <v>7114598</v>
      </c>
    </row>
    <row r="200" spans="2:15" ht="13.5" customHeight="1" x14ac:dyDescent="0.35">
      <c r="B200" s="97" t="s">
        <v>24</v>
      </c>
      <c r="C200" s="97">
        <v>2021</v>
      </c>
      <c r="D200" s="98">
        <v>20.12</v>
      </c>
      <c r="E200" s="99">
        <v>39.869999999999997</v>
      </c>
      <c r="F200" s="100">
        <v>7.2717000000000001</v>
      </c>
      <c r="G200" s="101">
        <v>7.9558</v>
      </c>
      <c r="H200" s="77">
        <v>17472</v>
      </c>
      <c r="I200" s="102">
        <v>9.7683999999999997</v>
      </c>
      <c r="J200" s="86">
        <v>16.100000000000001</v>
      </c>
      <c r="K200" s="103">
        <v>0</v>
      </c>
      <c r="L200" s="114">
        <v>1</v>
      </c>
      <c r="M200" s="104">
        <v>73.531400000000005</v>
      </c>
      <c r="N200">
        <v>5426</v>
      </c>
      <c r="O200">
        <v>7153262</v>
      </c>
    </row>
    <row r="201" spans="2:15" ht="13.5" customHeight="1" x14ac:dyDescent="0.35">
      <c r="B201" s="105" t="s">
        <v>24</v>
      </c>
      <c r="C201" s="105">
        <v>2022</v>
      </c>
      <c r="D201" s="106">
        <v>19.510000000000002</v>
      </c>
      <c r="E201" s="107">
        <v>73.53</v>
      </c>
      <c r="F201" s="108">
        <v>7.1868999999999996</v>
      </c>
      <c r="G201" s="109">
        <v>8.5137999999999998</v>
      </c>
      <c r="H201" s="110">
        <v>20628</v>
      </c>
      <c r="I201" s="111">
        <v>9.9344000000000001</v>
      </c>
      <c r="J201" s="86">
        <v>10.5</v>
      </c>
      <c r="K201" s="112">
        <v>0</v>
      </c>
      <c r="L201" s="114">
        <v>0</v>
      </c>
      <c r="M201" s="113">
        <v>73.531400000000005</v>
      </c>
      <c r="N201">
        <v>10409</v>
      </c>
      <c r="O201">
        <v>6776699</v>
      </c>
    </row>
    <row r="202" spans="2:15" ht="13.5" customHeight="1" x14ac:dyDescent="0.35">
      <c r="B202" s="97" t="s">
        <v>24</v>
      </c>
      <c r="C202" s="97">
        <v>2023</v>
      </c>
      <c r="D202" s="98">
        <v>21.21</v>
      </c>
      <c r="E202" s="99">
        <v>0.03</v>
      </c>
      <c r="F202" s="100">
        <v>7.2702999999999998</v>
      </c>
      <c r="G202" s="101">
        <v>0.69310000000000005</v>
      </c>
      <c r="H202" s="77">
        <v>22021</v>
      </c>
      <c r="I202" s="102">
        <v>9.9998000000000005</v>
      </c>
      <c r="J202" s="85">
        <v>8.1999999999999993</v>
      </c>
      <c r="K202" s="103">
        <v>1</v>
      </c>
      <c r="L202" s="103">
        <v>0</v>
      </c>
      <c r="M202" s="104">
        <v>73.531400000000005</v>
      </c>
      <c r="N202">
        <v>10411</v>
      </c>
      <c r="O202">
        <v>6776699</v>
      </c>
    </row>
    <row r="203" spans="2:15" ht="13.5" customHeight="1" x14ac:dyDescent="0.35">
      <c r="B203" s="105" t="s">
        <v>24</v>
      </c>
      <c r="C203" s="105">
        <v>2024</v>
      </c>
      <c r="D203" s="106">
        <v>22.42</v>
      </c>
      <c r="E203" s="107">
        <v>7.32</v>
      </c>
      <c r="F203" s="108">
        <v>7.3601000000000001</v>
      </c>
      <c r="G203" s="109">
        <v>6.2403000000000004</v>
      </c>
      <c r="H203" s="110">
        <v>22544</v>
      </c>
      <c r="I203" s="111">
        <v>10.023199999999999</v>
      </c>
      <c r="J203" s="89">
        <v>7.7</v>
      </c>
      <c r="K203" s="115">
        <v>1</v>
      </c>
      <c r="L203" s="112">
        <v>0</v>
      </c>
      <c r="M203" s="113">
        <v>73.531400000000005</v>
      </c>
      <c r="N203">
        <v>10924</v>
      </c>
      <c r="O203">
        <v>7010960</v>
      </c>
    </row>
    <row r="204" spans="2:15" ht="13.5" customHeight="1" x14ac:dyDescent="0.35">
      <c r="B204" s="97" t="s">
        <v>25</v>
      </c>
      <c r="C204" s="97">
        <v>2005</v>
      </c>
      <c r="D204" s="98">
        <v>16.05</v>
      </c>
      <c r="E204" s="99">
        <v>0.59</v>
      </c>
      <c r="F204" s="100">
        <v>8.0352999999999994</v>
      </c>
      <c r="G204" s="101">
        <v>4.7362000000000002</v>
      </c>
      <c r="H204" s="77">
        <v>10014</v>
      </c>
      <c r="I204" s="102">
        <v>9.2117000000000004</v>
      </c>
      <c r="J204" s="85">
        <v>9.39</v>
      </c>
      <c r="K204" s="103">
        <v>0</v>
      </c>
      <c r="L204" s="103">
        <v>0</v>
      </c>
      <c r="M204" s="104">
        <v>178.18899999999999</v>
      </c>
      <c r="N204">
        <v>114</v>
      </c>
      <c r="O204">
        <v>19237450</v>
      </c>
    </row>
    <row r="205" spans="2:15" ht="13.5" customHeight="1" x14ac:dyDescent="0.35">
      <c r="B205" s="105" t="s">
        <v>25</v>
      </c>
      <c r="C205" s="105">
        <v>2006</v>
      </c>
      <c r="D205" s="106">
        <v>15.76</v>
      </c>
      <c r="E205" s="107">
        <v>0.7</v>
      </c>
      <c r="F205" s="108">
        <v>8.0290999999999997</v>
      </c>
      <c r="G205" s="109">
        <v>4.9127000000000001</v>
      </c>
      <c r="H205" s="110">
        <v>11025</v>
      </c>
      <c r="I205" s="111">
        <v>9.3079000000000001</v>
      </c>
      <c r="J205" s="89">
        <v>8.74</v>
      </c>
      <c r="K205" s="112">
        <v>0</v>
      </c>
      <c r="L205" s="112">
        <v>0</v>
      </c>
      <c r="M205" s="113">
        <v>178.18899999999999</v>
      </c>
      <c r="N205">
        <v>250</v>
      </c>
      <c r="O205">
        <v>19479356</v>
      </c>
    </row>
    <row r="206" spans="2:15" ht="13.5" customHeight="1" x14ac:dyDescent="0.35">
      <c r="B206" s="97" t="s">
        <v>25</v>
      </c>
      <c r="C206" s="97">
        <v>2007</v>
      </c>
      <c r="D206" s="98">
        <v>15.41</v>
      </c>
      <c r="E206" s="99">
        <v>0.46</v>
      </c>
      <c r="F206" s="100">
        <v>7.9966999999999997</v>
      </c>
      <c r="G206" s="101">
        <v>4.4885999999999999</v>
      </c>
      <c r="H206" s="77">
        <v>12519</v>
      </c>
      <c r="I206" s="102">
        <v>9.4350000000000005</v>
      </c>
      <c r="J206" s="85">
        <v>8.2200000000000006</v>
      </c>
      <c r="K206" s="103">
        <v>0</v>
      </c>
      <c r="L206" s="103">
        <v>0</v>
      </c>
      <c r="M206" s="104">
        <v>178.18899999999999</v>
      </c>
      <c r="N206">
        <v>339</v>
      </c>
      <c r="O206">
        <v>19273533</v>
      </c>
    </row>
    <row r="207" spans="2:15" ht="13.5" customHeight="1" x14ac:dyDescent="0.35">
      <c r="B207" s="105" t="s">
        <v>25</v>
      </c>
      <c r="C207" s="105">
        <v>2008</v>
      </c>
      <c r="D207" s="106">
        <v>13.81</v>
      </c>
      <c r="E207" s="107">
        <v>0.46</v>
      </c>
      <c r="F207" s="108">
        <v>7.9164000000000003</v>
      </c>
      <c r="G207" s="109">
        <v>4.5109000000000004</v>
      </c>
      <c r="H207" s="110">
        <v>14233</v>
      </c>
      <c r="I207" s="111">
        <v>9.5632999999999999</v>
      </c>
      <c r="J207" s="89">
        <v>6.72</v>
      </c>
      <c r="K207" s="112">
        <v>0</v>
      </c>
      <c r="L207" s="112">
        <v>0</v>
      </c>
      <c r="M207" s="113">
        <v>178.18899999999999</v>
      </c>
      <c r="N207">
        <v>430</v>
      </c>
      <c r="O207">
        <v>19850060</v>
      </c>
    </row>
    <row r="208" spans="2:15" ht="13.5" customHeight="1" x14ac:dyDescent="0.35">
      <c r="B208" s="97" t="s">
        <v>25</v>
      </c>
      <c r="C208" s="97">
        <v>2009</v>
      </c>
      <c r="D208" s="98">
        <v>12.92</v>
      </c>
      <c r="E208" s="99">
        <v>0.64</v>
      </c>
      <c r="F208" s="100">
        <v>7.8586</v>
      </c>
      <c r="G208" s="101">
        <v>4.8520000000000003</v>
      </c>
      <c r="H208" s="77">
        <v>14329</v>
      </c>
      <c r="I208" s="102">
        <v>9.57</v>
      </c>
      <c r="J208" s="86">
        <v>8.1</v>
      </c>
      <c r="K208" s="103">
        <v>0</v>
      </c>
      <c r="L208" s="114">
        <v>0</v>
      </c>
      <c r="M208" s="104">
        <v>178.18899999999999</v>
      </c>
      <c r="N208">
        <v>558</v>
      </c>
      <c r="O208">
        <v>20033665</v>
      </c>
    </row>
    <row r="209" spans="2:15" ht="13.5" customHeight="1" x14ac:dyDescent="0.35">
      <c r="B209" s="105" t="s">
        <v>25</v>
      </c>
      <c r="C209" s="105">
        <v>2010</v>
      </c>
      <c r="D209" s="106">
        <v>12.53</v>
      </c>
      <c r="E209" s="107">
        <v>0.35</v>
      </c>
      <c r="F209" s="108">
        <v>7.8059000000000003</v>
      </c>
      <c r="G209" s="109">
        <v>4.2195</v>
      </c>
      <c r="H209" s="110">
        <v>17917</v>
      </c>
      <c r="I209" s="111">
        <v>9.7934999999999999</v>
      </c>
      <c r="J209" s="86">
        <v>7.26</v>
      </c>
      <c r="K209" s="112">
        <v>0</v>
      </c>
      <c r="L209" s="114">
        <v>0</v>
      </c>
      <c r="M209" s="113">
        <v>178.18899999999999</v>
      </c>
      <c r="N209">
        <v>626</v>
      </c>
      <c r="O209">
        <v>19597330</v>
      </c>
    </row>
    <row r="210" spans="2:15" ht="13.5" customHeight="1" x14ac:dyDescent="0.35">
      <c r="B210" s="97" t="s">
        <v>25</v>
      </c>
      <c r="C210" s="97">
        <v>2011</v>
      </c>
      <c r="D210" s="98">
        <v>15.13</v>
      </c>
      <c r="E210" s="99">
        <v>0.83</v>
      </c>
      <c r="F210" s="100">
        <v>8.0014000000000003</v>
      </c>
      <c r="G210" s="101">
        <v>5.0937999999999999</v>
      </c>
      <c r="H210" s="77">
        <v>20281</v>
      </c>
      <c r="I210" s="102">
        <v>9.9174000000000007</v>
      </c>
      <c r="J210" s="85">
        <v>6.43</v>
      </c>
      <c r="K210" s="103">
        <v>0</v>
      </c>
      <c r="L210" s="103">
        <v>0</v>
      </c>
      <c r="M210" s="104">
        <v>178.18899999999999</v>
      </c>
      <c r="N210">
        <v>789</v>
      </c>
      <c r="O210">
        <v>19728701</v>
      </c>
    </row>
    <row r="211" spans="2:15" ht="13.5" customHeight="1" x14ac:dyDescent="0.35">
      <c r="B211" s="105" t="s">
        <v>25</v>
      </c>
      <c r="C211" s="105">
        <v>2012</v>
      </c>
      <c r="D211" s="106">
        <v>16.170000000000002</v>
      </c>
      <c r="E211" s="107">
        <v>0.9</v>
      </c>
      <c r="F211" s="108">
        <v>8.0739999999999998</v>
      </c>
      <c r="G211" s="109">
        <v>5.1818</v>
      </c>
      <c r="H211" s="110">
        <v>22275</v>
      </c>
      <c r="I211" s="111">
        <v>10.011200000000001</v>
      </c>
      <c r="J211" s="89">
        <v>6.21</v>
      </c>
      <c r="K211" s="115">
        <v>0</v>
      </c>
      <c r="L211" s="112">
        <v>0</v>
      </c>
      <c r="M211" s="113">
        <v>178.18899999999999</v>
      </c>
      <c r="N211">
        <v>967</v>
      </c>
      <c r="O211">
        <v>19855332</v>
      </c>
    </row>
    <row r="212" spans="2:15" ht="13.5" customHeight="1" x14ac:dyDescent="0.35">
      <c r="B212" s="97" t="s">
        <v>25</v>
      </c>
      <c r="C212" s="97">
        <v>2013</v>
      </c>
      <c r="D212" s="98">
        <v>16.78</v>
      </c>
      <c r="E212" s="99">
        <v>0.61</v>
      </c>
      <c r="F212" s="100">
        <v>8.1476000000000006</v>
      </c>
      <c r="G212" s="101">
        <v>4.8362999999999996</v>
      </c>
      <c r="H212" s="77">
        <v>23697</v>
      </c>
      <c r="I212" s="102">
        <v>10.0731</v>
      </c>
      <c r="J212" s="85">
        <v>6.63</v>
      </c>
      <c r="K212" s="103">
        <v>0</v>
      </c>
      <c r="L212" s="103">
        <v>0</v>
      </c>
      <c r="M212" s="104">
        <v>178.18899999999999</v>
      </c>
      <c r="N212">
        <v>1093</v>
      </c>
      <c r="O212">
        <v>20593356</v>
      </c>
    </row>
    <row r="213" spans="2:15" ht="13.5" customHeight="1" x14ac:dyDescent="0.35">
      <c r="B213" s="105" t="s">
        <v>25</v>
      </c>
      <c r="C213" s="105">
        <v>2014</v>
      </c>
      <c r="D213" s="106">
        <v>16.22</v>
      </c>
      <c r="E213" s="107">
        <v>0.54</v>
      </c>
      <c r="F213" s="108">
        <v>8.1205999999999996</v>
      </c>
      <c r="G213" s="109">
        <v>4.7095000000000002</v>
      </c>
      <c r="H213" s="110">
        <v>24917</v>
      </c>
      <c r="I213" s="111">
        <v>10.1233</v>
      </c>
      <c r="J213" s="89">
        <v>7.06</v>
      </c>
      <c r="K213" s="112">
        <v>0</v>
      </c>
      <c r="L213" s="112">
        <v>0</v>
      </c>
      <c r="M213" s="113">
        <v>178.18899999999999</v>
      </c>
      <c r="N213">
        <v>1204</v>
      </c>
      <c r="O213">
        <v>20734097</v>
      </c>
    </row>
    <row r="214" spans="2:15" ht="13.5" customHeight="1" x14ac:dyDescent="0.35">
      <c r="B214" s="97" t="s">
        <v>25</v>
      </c>
      <c r="C214" s="97">
        <v>2015</v>
      </c>
      <c r="D214" s="98">
        <v>15.37</v>
      </c>
      <c r="E214" s="99">
        <v>0.31</v>
      </c>
      <c r="F214" s="100">
        <v>8.0733999999999995</v>
      </c>
      <c r="G214" s="101">
        <v>4.1744000000000003</v>
      </c>
      <c r="H214" s="77">
        <v>24885</v>
      </c>
      <c r="I214" s="102">
        <v>10.122</v>
      </c>
      <c r="J214" s="85">
        <v>8.6</v>
      </c>
      <c r="K214" s="103">
        <v>0</v>
      </c>
      <c r="L214" s="103">
        <v>0</v>
      </c>
      <c r="M214" s="104">
        <v>178.18899999999999</v>
      </c>
      <c r="N214">
        <v>1269</v>
      </c>
      <c r="O214">
        <v>20869101</v>
      </c>
    </row>
    <row r="215" spans="2:15" ht="13.5" customHeight="1" x14ac:dyDescent="0.35">
      <c r="B215" s="105" t="s">
        <v>25</v>
      </c>
      <c r="C215" s="105">
        <v>2016</v>
      </c>
      <c r="D215" s="106">
        <v>15.76</v>
      </c>
      <c r="E215" s="107">
        <v>1.3</v>
      </c>
      <c r="F215" s="108">
        <v>8.1046999999999993</v>
      </c>
      <c r="G215" s="109">
        <v>5.6058000000000003</v>
      </c>
      <c r="H215" s="110">
        <v>25946</v>
      </c>
      <c r="I215" s="111">
        <v>10.1638</v>
      </c>
      <c r="J215" s="89">
        <v>11.2</v>
      </c>
      <c r="K215" s="112">
        <v>0</v>
      </c>
      <c r="L215" s="112">
        <v>0</v>
      </c>
      <c r="M215" s="113">
        <v>178.18899999999999</v>
      </c>
      <c r="N215">
        <v>1541</v>
      </c>
      <c r="O215">
        <v>20997560</v>
      </c>
    </row>
    <row r="216" spans="2:15" ht="13.5" customHeight="1" x14ac:dyDescent="0.35">
      <c r="B216" s="97" t="s">
        <v>25</v>
      </c>
      <c r="C216" s="97">
        <v>2017</v>
      </c>
      <c r="D216" s="98">
        <v>14.49</v>
      </c>
      <c r="E216" s="99">
        <v>2.3199999999999998</v>
      </c>
      <c r="F216" s="100">
        <v>8.0261999999999993</v>
      </c>
      <c r="G216" s="101">
        <v>6.1924000000000001</v>
      </c>
      <c r="H216" s="77">
        <v>27291</v>
      </c>
      <c r="I216" s="102">
        <v>10.2143</v>
      </c>
      <c r="J216" s="86">
        <v>12.2</v>
      </c>
      <c r="K216" s="103">
        <v>0</v>
      </c>
      <c r="L216" s="114">
        <v>0</v>
      </c>
      <c r="M216" s="104">
        <v>178.18899999999999</v>
      </c>
      <c r="N216">
        <v>2030</v>
      </c>
      <c r="O216">
        <v>21119536</v>
      </c>
    </row>
    <row r="217" spans="2:15" ht="13.5" customHeight="1" x14ac:dyDescent="0.35">
      <c r="B217" s="105" t="s">
        <v>25</v>
      </c>
      <c r="C217" s="105">
        <v>2018</v>
      </c>
      <c r="D217" s="106">
        <v>10.62</v>
      </c>
      <c r="E217" s="107">
        <v>5.18</v>
      </c>
      <c r="F217" s="108">
        <v>7.7115</v>
      </c>
      <c r="G217" s="109">
        <v>6.9930000000000003</v>
      </c>
      <c r="H217" s="110">
        <v>29223</v>
      </c>
      <c r="I217" s="111">
        <v>10.2827</v>
      </c>
      <c r="J217" s="86">
        <v>10.8</v>
      </c>
      <c r="K217" s="112">
        <v>0</v>
      </c>
      <c r="L217" s="114">
        <v>0</v>
      </c>
      <c r="M217" s="113">
        <v>178.18899999999999</v>
      </c>
      <c r="N217">
        <v>3119</v>
      </c>
      <c r="O217">
        <v>21040662</v>
      </c>
    </row>
    <row r="218" spans="2:15" ht="13.5" customHeight="1" x14ac:dyDescent="0.35">
      <c r="B218" s="97" t="s">
        <v>25</v>
      </c>
      <c r="C218" s="97">
        <v>2019</v>
      </c>
      <c r="D218" s="98">
        <v>8.83</v>
      </c>
      <c r="E218" s="99">
        <v>31.14</v>
      </c>
      <c r="F218" s="100">
        <v>7.5331999999999999</v>
      </c>
      <c r="G218" s="101">
        <v>8.7934999999999999</v>
      </c>
      <c r="H218" s="77">
        <v>30794</v>
      </c>
      <c r="I218" s="102">
        <v>10.335100000000001</v>
      </c>
      <c r="J218" s="85">
        <v>10.1</v>
      </c>
      <c r="K218" s="103">
        <v>0</v>
      </c>
      <c r="L218" s="103">
        <v>0</v>
      </c>
      <c r="M218" s="104">
        <v>178.18899999999999</v>
      </c>
      <c r="N218">
        <v>9710</v>
      </c>
      <c r="O218">
        <v>21168791</v>
      </c>
    </row>
    <row r="219" spans="2:15" ht="13.5" customHeight="1" x14ac:dyDescent="0.35">
      <c r="B219" s="105" t="s">
        <v>25</v>
      </c>
      <c r="C219" s="105">
        <v>2020</v>
      </c>
      <c r="D219" s="106">
        <v>7.95</v>
      </c>
      <c r="E219" s="107">
        <v>47.49</v>
      </c>
      <c r="F219" s="108">
        <v>7.4337</v>
      </c>
      <c r="G219" s="109">
        <v>9.2213999999999992</v>
      </c>
      <c r="H219" s="110">
        <v>32067</v>
      </c>
      <c r="I219" s="111">
        <v>10.3756</v>
      </c>
      <c r="J219" s="89">
        <v>12.8</v>
      </c>
      <c r="K219" s="115">
        <v>0</v>
      </c>
      <c r="L219" s="112">
        <v>1</v>
      </c>
      <c r="M219" s="113">
        <v>178.18899999999999</v>
      </c>
      <c r="N219">
        <v>19821</v>
      </c>
      <c r="O219">
        <v>21292666</v>
      </c>
    </row>
    <row r="220" spans="2:15" ht="36" customHeight="1" x14ac:dyDescent="0.35">
      <c r="B220" s="45" t="s">
        <v>25</v>
      </c>
      <c r="C220">
        <v>2021</v>
      </c>
      <c r="D220">
        <v>7.42</v>
      </c>
      <c r="E220">
        <v>111.51</v>
      </c>
      <c r="F220">
        <v>7.3701999999999996</v>
      </c>
      <c r="G220">
        <v>10.0806</v>
      </c>
      <c r="H220">
        <v>40052</v>
      </c>
      <c r="I220">
        <v>10.597899999999999</v>
      </c>
      <c r="J220">
        <v>11.7</v>
      </c>
      <c r="K220">
        <v>0</v>
      </c>
      <c r="L220">
        <v>1</v>
      </c>
      <c r="M220">
        <v>178.18899999999999</v>
      </c>
      <c r="N220">
        <v>43697</v>
      </c>
      <c r="O220">
        <v>21411923</v>
      </c>
    </row>
    <row r="221" spans="2:15" x14ac:dyDescent="0.35">
      <c r="B221" t="s">
        <v>25</v>
      </c>
      <c r="C221">
        <v>2022</v>
      </c>
      <c r="D221">
        <v>8.4600000000000009</v>
      </c>
      <c r="E221">
        <v>178.19</v>
      </c>
      <c r="F221">
        <v>7.4599000000000002</v>
      </c>
      <c r="G221">
        <v>10.5078</v>
      </c>
      <c r="H221">
        <v>44145</v>
      </c>
      <c r="I221">
        <v>10.6952</v>
      </c>
      <c r="J221">
        <v>7.2</v>
      </c>
      <c r="K221">
        <v>0</v>
      </c>
      <c r="L221">
        <v>0</v>
      </c>
      <c r="M221">
        <v>178.18899999999999</v>
      </c>
      <c r="N221">
        <v>80297</v>
      </c>
      <c r="O221">
        <v>20539989</v>
      </c>
    </row>
    <row r="222" spans="2:15" x14ac:dyDescent="0.35">
      <c r="B222" t="s">
        <v>25</v>
      </c>
      <c r="C222">
        <v>2023</v>
      </c>
      <c r="D222">
        <v>8.52</v>
      </c>
      <c r="E222">
        <v>0.49</v>
      </c>
      <c r="F222">
        <v>7.4668000000000001</v>
      </c>
      <c r="G222">
        <v>4.6151</v>
      </c>
      <c r="H222">
        <v>47321</v>
      </c>
      <c r="I222">
        <v>10.764699999999999</v>
      </c>
      <c r="J222">
        <v>6.1</v>
      </c>
      <c r="K222">
        <v>1</v>
      </c>
      <c r="L222">
        <v>0</v>
      </c>
      <c r="M222">
        <v>178.18899999999999</v>
      </c>
      <c r="N222">
        <v>80398</v>
      </c>
      <c r="O222">
        <v>20539989</v>
      </c>
    </row>
    <row r="223" spans="2:15" x14ac:dyDescent="0.35">
      <c r="B223" t="s">
        <v>25</v>
      </c>
      <c r="C223">
        <v>2024</v>
      </c>
      <c r="D223">
        <v>7.89</v>
      </c>
      <c r="E223">
        <v>36.42</v>
      </c>
      <c r="F223">
        <v>7.4276999999999997</v>
      </c>
      <c r="G223">
        <v>8.9574999999999996</v>
      </c>
      <c r="H223">
        <v>48462</v>
      </c>
      <c r="I223">
        <v>10.788500000000001</v>
      </c>
      <c r="J223">
        <v>5.2</v>
      </c>
      <c r="K223">
        <v>1</v>
      </c>
      <c r="L223">
        <v>0</v>
      </c>
      <c r="M223">
        <v>178.18899999999999</v>
      </c>
      <c r="N223">
        <v>88164</v>
      </c>
      <c r="O223">
        <v>21322691</v>
      </c>
    </row>
    <row r="224" spans="2:15" x14ac:dyDescent="0.35">
      <c r="B224" t="s">
        <v>26</v>
      </c>
      <c r="C224">
        <v>2005</v>
      </c>
      <c r="D224">
        <v>15.28</v>
      </c>
      <c r="E224">
        <v>0.35</v>
      </c>
      <c r="F224">
        <v>5.8464</v>
      </c>
      <c r="G224">
        <v>2.0794000000000001</v>
      </c>
      <c r="H224">
        <v>9561</v>
      </c>
      <c r="I224">
        <v>9.1654</v>
      </c>
      <c r="J224">
        <v>9.1999999999999993</v>
      </c>
      <c r="K224">
        <v>0</v>
      </c>
      <c r="L224">
        <v>0</v>
      </c>
      <c r="M224">
        <v>325.67860000000002</v>
      </c>
      <c r="N224">
        <v>8</v>
      </c>
      <c r="O224">
        <v>2264468</v>
      </c>
    </row>
    <row r="225" spans="2:15" x14ac:dyDescent="0.35">
      <c r="B225" t="s">
        <v>26</v>
      </c>
      <c r="C225">
        <v>2006</v>
      </c>
      <c r="D225">
        <v>16.190000000000001</v>
      </c>
      <c r="E225">
        <v>0.65</v>
      </c>
      <c r="F225">
        <v>5.9188999999999998</v>
      </c>
      <c r="G225">
        <v>2.7081</v>
      </c>
      <c r="H225">
        <v>10592</v>
      </c>
      <c r="I225">
        <v>9.2678999999999991</v>
      </c>
      <c r="J225">
        <v>8.4700000000000006</v>
      </c>
      <c r="K225">
        <v>0</v>
      </c>
      <c r="L225">
        <v>0</v>
      </c>
      <c r="M225">
        <v>325.67860000000002</v>
      </c>
      <c r="N225">
        <v>23</v>
      </c>
      <c r="O225">
        <v>2297981</v>
      </c>
    </row>
    <row r="226" spans="2:15" x14ac:dyDescent="0.35">
      <c r="B226" t="s">
        <v>26</v>
      </c>
      <c r="C226">
        <v>2007</v>
      </c>
      <c r="D226">
        <v>17.7</v>
      </c>
      <c r="E226">
        <v>0.35</v>
      </c>
      <c r="F226">
        <v>5.9939999999999998</v>
      </c>
      <c r="G226">
        <v>2.0794000000000001</v>
      </c>
      <c r="H226">
        <v>12411</v>
      </c>
      <c r="I226">
        <v>9.4262999999999995</v>
      </c>
      <c r="J226">
        <v>6.48</v>
      </c>
      <c r="K226">
        <v>0</v>
      </c>
      <c r="L226">
        <v>0</v>
      </c>
      <c r="M226">
        <v>325.67860000000002</v>
      </c>
      <c r="N226">
        <v>31</v>
      </c>
      <c r="O226">
        <v>2265813</v>
      </c>
    </row>
    <row r="227" spans="2:15" x14ac:dyDescent="0.35">
      <c r="B227" t="s">
        <v>26</v>
      </c>
      <c r="C227">
        <v>2008</v>
      </c>
      <c r="D227">
        <v>16.649999999999999</v>
      </c>
      <c r="E227">
        <v>0.43</v>
      </c>
      <c r="F227">
        <v>5.9635999999999996</v>
      </c>
      <c r="G227">
        <v>2.3026</v>
      </c>
      <c r="H227">
        <v>14188</v>
      </c>
      <c r="I227">
        <v>9.5602</v>
      </c>
      <c r="J227">
        <v>7.87</v>
      </c>
      <c r="K227">
        <v>0</v>
      </c>
      <c r="L227">
        <v>0</v>
      </c>
      <c r="M227">
        <v>325.67860000000002</v>
      </c>
      <c r="N227">
        <v>41</v>
      </c>
      <c r="O227">
        <v>2336060</v>
      </c>
    </row>
    <row r="228" spans="2:15" x14ac:dyDescent="0.35">
      <c r="B228" t="s">
        <v>26</v>
      </c>
      <c r="C228">
        <v>2009</v>
      </c>
      <c r="D228">
        <v>18.34</v>
      </c>
      <c r="E228">
        <v>1.1399999999999999</v>
      </c>
      <c r="F228">
        <v>6.0707000000000004</v>
      </c>
      <c r="G228">
        <v>3.2957999999999998</v>
      </c>
      <c r="H228">
        <v>15407</v>
      </c>
      <c r="I228">
        <v>9.6425999999999998</v>
      </c>
      <c r="J228">
        <v>7.21</v>
      </c>
      <c r="K228">
        <v>0</v>
      </c>
      <c r="L228">
        <v>0</v>
      </c>
      <c r="M228">
        <v>325.67860000000002</v>
      </c>
      <c r="N228">
        <v>68</v>
      </c>
      <c r="O228">
        <v>2360498</v>
      </c>
    </row>
    <row r="229" spans="2:15" x14ac:dyDescent="0.35">
      <c r="B229" t="s">
        <v>26</v>
      </c>
      <c r="C229">
        <v>2010</v>
      </c>
      <c r="D229">
        <v>13.84</v>
      </c>
      <c r="E229">
        <v>0.78</v>
      </c>
      <c r="F229">
        <v>5.8259999999999996</v>
      </c>
      <c r="G229">
        <v>2.9443999999999999</v>
      </c>
      <c r="H229">
        <v>19302</v>
      </c>
      <c r="I229">
        <v>9.8680000000000003</v>
      </c>
      <c r="J229">
        <v>6.04</v>
      </c>
      <c r="K229">
        <v>0</v>
      </c>
      <c r="L229">
        <v>0</v>
      </c>
      <c r="M229">
        <v>325.67860000000002</v>
      </c>
      <c r="N229">
        <v>87</v>
      </c>
      <c r="O229">
        <v>2449024</v>
      </c>
    </row>
    <row r="230" spans="2:15" x14ac:dyDescent="0.35">
      <c r="B230" t="s">
        <v>26</v>
      </c>
      <c r="C230">
        <v>2011</v>
      </c>
      <c r="D230">
        <v>14.69</v>
      </c>
      <c r="E230">
        <v>2.1800000000000002</v>
      </c>
      <c r="F230">
        <v>5.8971999999999998</v>
      </c>
      <c r="G230">
        <v>3.9889999999999999</v>
      </c>
      <c r="H230">
        <v>22253</v>
      </c>
      <c r="I230">
        <v>10.010199999999999</v>
      </c>
      <c r="J230">
        <v>4.8600000000000003</v>
      </c>
      <c r="K230">
        <v>0</v>
      </c>
      <c r="L230">
        <v>0</v>
      </c>
      <c r="M230">
        <v>325.67860000000002</v>
      </c>
      <c r="N230">
        <v>141</v>
      </c>
      <c r="O230">
        <v>2477542</v>
      </c>
    </row>
    <row r="231" spans="2:15" x14ac:dyDescent="0.35">
      <c r="B231" t="s">
        <v>26</v>
      </c>
      <c r="C231">
        <v>2012</v>
      </c>
      <c r="D231">
        <v>13.4</v>
      </c>
      <c r="E231">
        <v>1.48</v>
      </c>
      <c r="F231">
        <v>5.8140999999999998</v>
      </c>
      <c r="G231">
        <v>3.6109</v>
      </c>
      <c r="H231">
        <v>24802</v>
      </c>
      <c r="I231">
        <v>10.1187</v>
      </c>
      <c r="J231">
        <v>3.73</v>
      </c>
      <c r="K231">
        <v>0</v>
      </c>
      <c r="L231">
        <v>0</v>
      </c>
      <c r="M231">
        <v>325.67860000000002</v>
      </c>
      <c r="N231">
        <v>178</v>
      </c>
      <c r="O231">
        <v>2500365</v>
      </c>
    </row>
    <row r="232" spans="2:15" x14ac:dyDescent="0.35">
      <c r="B232" t="s">
        <v>26</v>
      </c>
      <c r="C232">
        <v>2013</v>
      </c>
      <c r="D232">
        <v>12.14</v>
      </c>
      <c r="E232">
        <v>0.5</v>
      </c>
      <c r="F232">
        <v>5.7493999999999996</v>
      </c>
      <c r="G232">
        <v>2.5649000000000002</v>
      </c>
      <c r="H232">
        <v>26748</v>
      </c>
      <c r="I232">
        <v>10.1942</v>
      </c>
      <c r="J232">
        <v>3.87</v>
      </c>
      <c r="K232">
        <v>0</v>
      </c>
      <c r="L232">
        <v>0</v>
      </c>
      <c r="M232">
        <v>325.67860000000002</v>
      </c>
      <c r="N232">
        <v>191</v>
      </c>
      <c r="O232">
        <v>2587269</v>
      </c>
    </row>
    <row r="233" spans="2:15" x14ac:dyDescent="0.35">
      <c r="B233" t="s">
        <v>26</v>
      </c>
      <c r="C233">
        <v>2014</v>
      </c>
      <c r="D233">
        <v>13.55</v>
      </c>
      <c r="E233">
        <v>0.92</v>
      </c>
      <c r="F233">
        <v>5.8720999999999997</v>
      </c>
      <c r="G233">
        <v>3.1781000000000001</v>
      </c>
      <c r="H233">
        <v>30138</v>
      </c>
      <c r="I233">
        <v>10.313499999999999</v>
      </c>
      <c r="J233">
        <v>4.49</v>
      </c>
      <c r="K233">
        <v>0</v>
      </c>
      <c r="L233">
        <v>0</v>
      </c>
      <c r="M233">
        <v>325.67860000000002</v>
      </c>
      <c r="N233">
        <v>215</v>
      </c>
      <c r="O233">
        <v>2619657</v>
      </c>
    </row>
    <row r="234" spans="2:15" x14ac:dyDescent="0.35">
      <c r="B234" t="s">
        <v>26</v>
      </c>
      <c r="C234">
        <v>2015</v>
      </c>
      <c r="D234">
        <v>11.96</v>
      </c>
      <c r="E234">
        <v>0.56999999999999995</v>
      </c>
      <c r="F234">
        <v>5.7588999999999997</v>
      </c>
      <c r="G234">
        <v>2.7081</v>
      </c>
      <c r="H234">
        <v>31337</v>
      </c>
      <c r="I234">
        <v>10.352600000000001</v>
      </c>
      <c r="J234">
        <v>6.2</v>
      </c>
      <c r="K234">
        <v>0</v>
      </c>
      <c r="L234">
        <v>0</v>
      </c>
      <c r="M234">
        <v>325.67860000000002</v>
      </c>
      <c r="N234">
        <v>230</v>
      </c>
      <c r="O234">
        <v>2651235</v>
      </c>
    </row>
    <row r="235" spans="2:15" x14ac:dyDescent="0.35">
      <c r="B235" t="s">
        <v>26</v>
      </c>
      <c r="C235">
        <v>2016</v>
      </c>
      <c r="D235">
        <v>12.23</v>
      </c>
      <c r="E235">
        <v>4.3600000000000003</v>
      </c>
      <c r="F235">
        <v>5.7930000000000001</v>
      </c>
      <c r="G235">
        <v>4.7622</v>
      </c>
      <c r="H235">
        <v>34258</v>
      </c>
      <c r="I235">
        <v>10.441700000000001</v>
      </c>
      <c r="J235">
        <v>7.7</v>
      </c>
      <c r="K235">
        <v>0</v>
      </c>
      <c r="L235">
        <v>0</v>
      </c>
      <c r="M235">
        <v>325.67860000000002</v>
      </c>
      <c r="N235">
        <v>347</v>
      </c>
      <c r="O235">
        <v>2682386</v>
      </c>
    </row>
    <row r="236" spans="2:15" x14ac:dyDescent="0.35">
      <c r="B236" t="s">
        <v>26</v>
      </c>
      <c r="C236">
        <v>2017</v>
      </c>
      <c r="D236">
        <v>11.72</v>
      </c>
      <c r="E236">
        <v>7</v>
      </c>
      <c r="F236">
        <v>5.7621000000000002</v>
      </c>
      <c r="G236">
        <v>5.2469999999999999</v>
      </c>
      <c r="H236">
        <v>35529</v>
      </c>
      <c r="I236">
        <v>10.4781</v>
      </c>
      <c r="J236">
        <v>8.6</v>
      </c>
      <c r="K236">
        <v>0</v>
      </c>
      <c r="L236">
        <v>0</v>
      </c>
      <c r="M236">
        <v>325.67860000000002</v>
      </c>
      <c r="N236">
        <v>537</v>
      </c>
      <c r="O236">
        <v>2713147</v>
      </c>
    </row>
    <row r="237" spans="2:15" x14ac:dyDescent="0.35">
      <c r="B237" t="s">
        <v>26</v>
      </c>
      <c r="C237">
        <v>2018</v>
      </c>
      <c r="D237">
        <v>8.9499999999999993</v>
      </c>
      <c r="E237">
        <v>6.8</v>
      </c>
      <c r="F237">
        <v>5.5053000000000001</v>
      </c>
      <c r="G237">
        <v>5.2310999999999996</v>
      </c>
      <c r="H237">
        <v>38926</v>
      </c>
      <c r="I237">
        <v>10.5694</v>
      </c>
      <c r="J237">
        <v>7.6</v>
      </c>
      <c r="K237">
        <v>0</v>
      </c>
      <c r="L237">
        <v>0</v>
      </c>
      <c r="M237">
        <v>325.67860000000002</v>
      </c>
      <c r="N237">
        <v>724</v>
      </c>
      <c r="O237">
        <v>2748023</v>
      </c>
    </row>
    <row r="238" spans="2:15" x14ac:dyDescent="0.35">
      <c r="B238" t="s">
        <v>26</v>
      </c>
      <c r="C238">
        <v>2019</v>
      </c>
      <c r="D238">
        <v>8.31</v>
      </c>
      <c r="E238">
        <v>37.89</v>
      </c>
      <c r="F238">
        <v>5.4424000000000001</v>
      </c>
      <c r="G238">
        <v>6.9593999999999996</v>
      </c>
      <c r="H238">
        <v>38483</v>
      </c>
      <c r="I238">
        <v>10.558</v>
      </c>
      <c r="J238">
        <v>8.1</v>
      </c>
      <c r="K238">
        <v>0</v>
      </c>
      <c r="L238">
        <v>0</v>
      </c>
      <c r="M238">
        <v>325.67860000000002</v>
      </c>
      <c r="N238">
        <v>1777</v>
      </c>
      <c r="O238">
        <v>2778986</v>
      </c>
    </row>
    <row r="239" spans="2:15" x14ac:dyDescent="0.35">
      <c r="B239" t="s">
        <v>26</v>
      </c>
      <c r="C239">
        <v>2020</v>
      </c>
      <c r="D239">
        <v>7.65</v>
      </c>
      <c r="E239">
        <v>84.15</v>
      </c>
      <c r="F239">
        <v>5.3705999999999996</v>
      </c>
      <c r="G239">
        <v>7.7680999999999996</v>
      </c>
      <c r="H239">
        <v>43649</v>
      </c>
      <c r="I239">
        <v>10.6839</v>
      </c>
      <c r="J239">
        <v>10.199999999999999</v>
      </c>
      <c r="K239">
        <v>0</v>
      </c>
      <c r="L239">
        <v>1</v>
      </c>
      <c r="M239">
        <v>325.67860000000002</v>
      </c>
      <c r="N239">
        <v>4141</v>
      </c>
      <c r="O239">
        <v>2809394</v>
      </c>
    </row>
    <row r="240" spans="2:15" x14ac:dyDescent="0.35">
      <c r="B240" t="s">
        <v>26</v>
      </c>
      <c r="C240">
        <v>2021</v>
      </c>
      <c r="D240">
        <v>9.4700000000000006</v>
      </c>
      <c r="E240">
        <v>167.3</v>
      </c>
      <c r="F240">
        <v>5.5946999999999996</v>
      </c>
      <c r="G240">
        <v>8.4658999999999995</v>
      </c>
      <c r="H240">
        <v>50086</v>
      </c>
      <c r="I240">
        <v>10.8215</v>
      </c>
      <c r="J240">
        <v>8.6999999999999993</v>
      </c>
      <c r="K240">
        <v>0</v>
      </c>
      <c r="L240">
        <v>1</v>
      </c>
      <c r="M240">
        <v>325.67860000000002</v>
      </c>
      <c r="N240">
        <v>8891</v>
      </c>
      <c r="O240">
        <v>2839188</v>
      </c>
    </row>
    <row r="241" spans="2:15" x14ac:dyDescent="0.35">
      <c r="B241" t="s">
        <v>26</v>
      </c>
      <c r="C241">
        <v>2022</v>
      </c>
      <c r="D241">
        <v>9.0299999999999994</v>
      </c>
      <c r="E241">
        <v>325.68</v>
      </c>
      <c r="F241">
        <v>5.5175000000000001</v>
      </c>
      <c r="G241">
        <v>9.1026000000000007</v>
      </c>
      <c r="H241">
        <v>60358</v>
      </c>
      <c r="I241">
        <v>11.007999999999999</v>
      </c>
      <c r="J241">
        <v>5</v>
      </c>
      <c r="K241">
        <v>0</v>
      </c>
      <c r="L241">
        <v>0</v>
      </c>
      <c r="M241">
        <v>325.67860000000002</v>
      </c>
      <c r="N241">
        <v>17870</v>
      </c>
      <c r="O241">
        <v>2757013</v>
      </c>
    </row>
    <row r="242" spans="2:15" x14ac:dyDescent="0.35">
      <c r="B242" t="s">
        <v>26</v>
      </c>
      <c r="C242">
        <v>2023</v>
      </c>
      <c r="D242">
        <v>8.23</v>
      </c>
      <c r="E242">
        <v>0.65</v>
      </c>
      <c r="F242">
        <v>5.4249999999999998</v>
      </c>
      <c r="G242">
        <v>2.8904000000000001</v>
      </c>
      <c r="H242">
        <v>66885</v>
      </c>
      <c r="I242">
        <v>11.1107</v>
      </c>
      <c r="J242">
        <v>4.2</v>
      </c>
      <c r="K242">
        <v>1</v>
      </c>
      <c r="L242">
        <v>0</v>
      </c>
      <c r="M242">
        <v>325.67860000000002</v>
      </c>
      <c r="N242">
        <v>17888</v>
      </c>
      <c r="O242">
        <v>2757013</v>
      </c>
    </row>
    <row r="243" spans="2:15" x14ac:dyDescent="0.35">
      <c r="B243" t="s">
        <v>26</v>
      </c>
      <c r="C243">
        <v>2024</v>
      </c>
      <c r="D243">
        <v>7.48</v>
      </c>
      <c r="E243">
        <v>40.659999999999997</v>
      </c>
      <c r="F243">
        <v>5.3799000000000001</v>
      </c>
      <c r="G243">
        <v>7.0732999999999997</v>
      </c>
      <c r="H243">
        <v>69436</v>
      </c>
      <c r="I243">
        <v>11.148199999999999</v>
      </c>
      <c r="J243">
        <v>4</v>
      </c>
      <c r="K243">
        <v>1</v>
      </c>
      <c r="L243">
        <v>0</v>
      </c>
      <c r="M243">
        <v>325.67860000000002</v>
      </c>
      <c r="N243">
        <v>19068</v>
      </c>
      <c r="O243">
        <v>2901895</v>
      </c>
    </row>
    <row r="244" spans="2:15" x14ac:dyDescent="0.35">
      <c r="B244" t="s">
        <v>27</v>
      </c>
      <c r="C244">
        <v>2005</v>
      </c>
      <c r="D244">
        <v>17.27</v>
      </c>
      <c r="E244">
        <v>0.18</v>
      </c>
      <c r="F244">
        <v>6.1821000000000002</v>
      </c>
      <c r="G244">
        <v>1.6093999999999999</v>
      </c>
      <c r="H244">
        <v>13365</v>
      </c>
      <c r="I244">
        <v>9.5004000000000008</v>
      </c>
      <c r="J244">
        <v>8.69</v>
      </c>
      <c r="K244">
        <v>0</v>
      </c>
      <c r="L244">
        <v>0</v>
      </c>
      <c r="M244">
        <v>362.75689999999997</v>
      </c>
      <c r="N244">
        <v>5</v>
      </c>
      <c r="O244">
        <v>2803274</v>
      </c>
    </row>
    <row r="245" spans="2:15" x14ac:dyDescent="0.35">
      <c r="B245" t="s">
        <v>27</v>
      </c>
      <c r="C245">
        <v>2006</v>
      </c>
      <c r="D245">
        <v>17.47</v>
      </c>
      <c r="E245">
        <v>0</v>
      </c>
      <c r="F245">
        <v>6.2126000000000001</v>
      </c>
      <c r="H245">
        <v>12341</v>
      </c>
      <c r="I245">
        <v>9.4207000000000001</v>
      </c>
      <c r="J245">
        <v>9.1</v>
      </c>
      <c r="K245">
        <v>0</v>
      </c>
      <c r="L245">
        <v>0</v>
      </c>
      <c r="M245">
        <v>362.75689999999997</v>
      </c>
      <c r="N245">
        <v>5</v>
      </c>
      <c r="O245">
        <v>2856999</v>
      </c>
    </row>
    <row r="246" spans="2:15" x14ac:dyDescent="0.35">
      <c r="B246" t="s">
        <v>27</v>
      </c>
      <c r="C246">
        <v>2007</v>
      </c>
      <c r="D246">
        <v>18.989999999999998</v>
      </c>
      <c r="E246">
        <v>0.21</v>
      </c>
      <c r="F246">
        <v>6.2953000000000001</v>
      </c>
      <c r="G246">
        <v>1.7918000000000001</v>
      </c>
      <c r="H246">
        <v>14954</v>
      </c>
      <c r="I246">
        <v>9.6127000000000002</v>
      </c>
      <c r="J246">
        <v>8.42</v>
      </c>
      <c r="K246">
        <v>0</v>
      </c>
      <c r="L246">
        <v>0</v>
      </c>
      <c r="M246">
        <v>362.75689999999997</v>
      </c>
      <c r="N246">
        <v>11</v>
      </c>
      <c r="O246">
        <v>2854642</v>
      </c>
    </row>
    <row r="247" spans="2:15" x14ac:dyDescent="0.35">
      <c r="B247" t="s">
        <v>27</v>
      </c>
      <c r="C247">
        <v>2008</v>
      </c>
      <c r="D247">
        <v>19.579999999999998</v>
      </c>
      <c r="E247">
        <v>0.51</v>
      </c>
      <c r="F247">
        <v>6.3613</v>
      </c>
      <c r="G247">
        <v>2.7081</v>
      </c>
      <c r="H247">
        <v>18050</v>
      </c>
      <c r="I247">
        <v>9.8009000000000004</v>
      </c>
      <c r="J247">
        <v>6.22</v>
      </c>
      <c r="K247">
        <v>0</v>
      </c>
      <c r="L247">
        <v>0</v>
      </c>
      <c r="M247">
        <v>362.75689999999997</v>
      </c>
      <c r="N247">
        <v>26</v>
      </c>
      <c r="O247">
        <v>2957735</v>
      </c>
    </row>
    <row r="248" spans="2:15" x14ac:dyDescent="0.35">
      <c r="B248" t="s">
        <v>27</v>
      </c>
      <c r="C248">
        <v>2009</v>
      </c>
      <c r="D248">
        <v>19.16</v>
      </c>
      <c r="E248">
        <v>1.07</v>
      </c>
      <c r="F248">
        <v>6.3544</v>
      </c>
      <c r="G248">
        <v>3.4657</v>
      </c>
      <c r="H248">
        <v>19087</v>
      </c>
      <c r="I248">
        <v>9.8567999999999998</v>
      </c>
      <c r="J248">
        <v>6.87</v>
      </c>
      <c r="K248">
        <v>0</v>
      </c>
      <c r="L248">
        <v>0</v>
      </c>
      <c r="M248">
        <v>362.75689999999997</v>
      </c>
      <c r="N248">
        <v>58</v>
      </c>
      <c r="O248">
        <v>3001692</v>
      </c>
    </row>
    <row r="249" spans="2:15" x14ac:dyDescent="0.35">
      <c r="B249" t="s">
        <v>27</v>
      </c>
      <c r="C249">
        <v>2010</v>
      </c>
      <c r="D249">
        <v>18.71</v>
      </c>
      <c r="E249">
        <v>1.61</v>
      </c>
      <c r="F249">
        <v>6.3421000000000003</v>
      </c>
      <c r="G249">
        <v>3.8917999999999999</v>
      </c>
      <c r="H249">
        <v>18649</v>
      </c>
      <c r="I249">
        <v>9.8335000000000008</v>
      </c>
      <c r="J249">
        <v>7.25</v>
      </c>
      <c r="K249">
        <v>0</v>
      </c>
      <c r="L249">
        <v>0</v>
      </c>
      <c r="M249">
        <v>362.75689999999997</v>
      </c>
      <c r="N249">
        <v>107</v>
      </c>
      <c r="O249">
        <v>3035122</v>
      </c>
    </row>
    <row r="250" spans="2:15" x14ac:dyDescent="0.35">
      <c r="B250" t="s">
        <v>27</v>
      </c>
      <c r="C250">
        <v>2011</v>
      </c>
      <c r="D250">
        <v>19.670000000000002</v>
      </c>
      <c r="E250">
        <v>1.89</v>
      </c>
      <c r="F250">
        <v>6.4051999999999998</v>
      </c>
      <c r="G250">
        <v>4.0603999999999996</v>
      </c>
      <c r="H250">
        <v>22482</v>
      </c>
      <c r="I250">
        <v>10.0205</v>
      </c>
      <c r="J250">
        <v>7.63</v>
      </c>
      <c r="K250">
        <v>0</v>
      </c>
      <c r="L250">
        <v>0</v>
      </c>
      <c r="M250">
        <v>362.75689999999997</v>
      </c>
      <c r="N250">
        <v>165</v>
      </c>
      <c r="O250">
        <v>3075936</v>
      </c>
    </row>
    <row r="251" spans="2:15" x14ac:dyDescent="0.35">
      <c r="B251" t="s">
        <v>27</v>
      </c>
      <c r="C251">
        <v>2012</v>
      </c>
      <c r="D251">
        <v>20.83</v>
      </c>
      <c r="E251">
        <v>3.31</v>
      </c>
      <c r="F251">
        <v>6.4753999999999996</v>
      </c>
      <c r="G251">
        <v>4.6346999999999996</v>
      </c>
      <c r="H251">
        <v>25572</v>
      </c>
      <c r="I251">
        <v>10.1493</v>
      </c>
      <c r="J251">
        <v>5.26</v>
      </c>
      <c r="K251">
        <v>0</v>
      </c>
      <c r="L251">
        <v>0</v>
      </c>
      <c r="M251">
        <v>362.75689999999997</v>
      </c>
      <c r="N251">
        <v>268</v>
      </c>
      <c r="O251">
        <v>3115336</v>
      </c>
    </row>
    <row r="252" spans="2:15" x14ac:dyDescent="0.35">
      <c r="B252" t="s">
        <v>27</v>
      </c>
      <c r="C252">
        <v>2013</v>
      </c>
      <c r="D252">
        <v>23.57</v>
      </c>
      <c r="E252">
        <v>0.91</v>
      </c>
      <c r="F252">
        <v>6.6200999999999999</v>
      </c>
      <c r="G252">
        <v>3.3673000000000002</v>
      </c>
      <c r="H252">
        <v>28036</v>
      </c>
      <c r="I252">
        <v>10.241199999999999</v>
      </c>
      <c r="J252">
        <v>4.9000000000000004</v>
      </c>
      <c r="K252">
        <v>0</v>
      </c>
      <c r="L252">
        <v>0</v>
      </c>
      <c r="M252">
        <v>362.75689999999997</v>
      </c>
      <c r="N252">
        <v>297</v>
      </c>
      <c r="O252">
        <v>3182113</v>
      </c>
    </row>
    <row r="253" spans="2:15" x14ac:dyDescent="0.35">
      <c r="B253" t="s">
        <v>27</v>
      </c>
      <c r="C253">
        <v>2014</v>
      </c>
      <c r="D253">
        <v>26.55</v>
      </c>
      <c r="E253">
        <v>2.02</v>
      </c>
      <c r="F253">
        <v>6.7523</v>
      </c>
      <c r="G253">
        <v>4.1744000000000003</v>
      </c>
      <c r="H253">
        <v>31397</v>
      </c>
      <c r="I253">
        <v>10.3545</v>
      </c>
      <c r="J253">
        <v>4.8099999999999996</v>
      </c>
      <c r="K253">
        <v>0</v>
      </c>
      <c r="L253">
        <v>0</v>
      </c>
      <c r="M253">
        <v>362.75689999999997</v>
      </c>
      <c r="N253">
        <v>362</v>
      </c>
      <c r="O253">
        <v>3224357</v>
      </c>
    </row>
    <row r="254" spans="2:15" x14ac:dyDescent="0.35">
      <c r="B254" t="s">
        <v>27</v>
      </c>
      <c r="C254">
        <v>2015</v>
      </c>
      <c r="D254">
        <v>23.89</v>
      </c>
      <c r="E254">
        <v>0.73</v>
      </c>
      <c r="F254">
        <v>6.6593</v>
      </c>
      <c r="G254">
        <v>3.1781000000000001</v>
      </c>
      <c r="H254">
        <v>32895</v>
      </c>
      <c r="I254">
        <v>10.4011</v>
      </c>
      <c r="J254">
        <v>6.2</v>
      </c>
      <c r="K254">
        <v>0</v>
      </c>
      <c r="L254">
        <v>0</v>
      </c>
      <c r="M254">
        <v>362.75689999999997</v>
      </c>
      <c r="N254">
        <v>386</v>
      </c>
      <c r="O254">
        <v>3265486</v>
      </c>
    </row>
    <row r="255" spans="2:15" x14ac:dyDescent="0.35">
      <c r="B255" t="s">
        <v>27</v>
      </c>
      <c r="C255">
        <v>2016</v>
      </c>
      <c r="D255">
        <v>22.9</v>
      </c>
      <c r="E255">
        <v>4.33</v>
      </c>
      <c r="F255">
        <v>6.6294000000000004</v>
      </c>
      <c r="G255">
        <v>4.9627999999999997</v>
      </c>
      <c r="H255">
        <v>37477</v>
      </c>
      <c r="I255">
        <v>10.531499999999999</v>
      </c>
      <c r="J255">
        <v>9.5</v>
      </c>
      <c r="K255">
        <v>0</v>
      </c>
      <c r="L255">
        <v>0</v>
      </c>
      <c r="M255">
        <v>362.75689999999997</v>
      </c>
      <c r="N255">
        <v>529</v>
      </c>
      <c r="O255">
        <v>3305531</v>
      </c>
    </row>
    <row r="256" spans="2:15" x14ac:dyDescent="0.35">
      <c r="B256" t="s">
        <v>27</v>
      </c>
      <c r="C256">
        <v>2017</v>
      </c>
      <c r="D256">
        <v>20.18</v>
      </c>
      <c r="E256">
        <v>6.76</v>
      </c>
      <c r="F256">
        <v>6.5147000000000004</v>
      </c>
      <c r="G256">
        <v>5.4204999999999997</v>
      </c>
      <c r="H256">
        <v>37926</v>
      </c>
      <c r="I256">
        <v>10.5434</v>
      </c>
      <c r="J256">
        <v>9.1</v>
      </c>
      <c r="K256">
        <v>0</v>
      </c>
      <c r="L256">
        <v>0</v>
      </c>
      <c r="M256">
        <v>362.75689999999997</v>
      </c>
      <c r="N256">
        <v>755</v>
      </c>
      <c r="O256">
        <v>3344544</v>
      </c>
    </row>
    <row r="257" spans="2:15" x14ac:dyDescent="0.35">
      <c r="B257" t="s">
        <v>27</v>
      </c>
      <c r="C257">
        <v>2018</v>
      </c>
      <c r="D257">
        <v>16.329999999999998</v>
      </c>
      <c r="E257">
        <v>9.44</v>
      </c>
      <c r="F257">
        <v>6.3315000000000001</v>
      </c>
      <c r="G257">
        <v>5.7838000000000003</v>
      </c>
      <c r="H257">
        <v>39931</v>
      </c>
      <c r="I257">
        <v>10.594900000000001</v>
      </c>
      <c r="J257">
        <v>8</v>
      </c>
      <c r="K257">
        <v>0</v>
      </c>
      <c r="L257">
        <v>0</v>
      </c>
      <c r="M257">
        <v>362.75689999999997</v>
      </c>
      <c r="N257">
        <v>1080</v>
      </c>
      <c r="O257">
        <v>3441998</v>
      </c>
    </row>
    <row r="258" spans="2:15" x14ac:dyDescent="0.35">
      <c r="B258" t="s">
        <v>27</v>
      </c>
      <c r="C258">
        <v>2019</v>
      </c>
      <c r="D258">
        <v>14.52</v>
      </c>
      <c r="E258">
        <v>47.47</v>
      </c>
      <c r="F258">
        <v>6.2264999999999997</v>
      </c>
      <c r="G258">
        <v>7.4109999999999996</v>
      </c>
      <c r="H258">
        <v>40787</v>
      </c>
      <c r="I258">
        <v>10.616099999999999</v>
      </c>
      <c r="J258">
        <v>8</v>
      </c>
      <c r="K258">
        <v>0</v>
      </c>
      <c r="L258">
        <v>0</v>
      </c>
      <c r="M258">
        <v>362.75689999999997</v>
      </c>
      <c r="N258">
        <v>2734</v>
      </c>
      <c r="O258">
        <v>3484466</v>
      </c>
    </row>
    <row r="259" spans="2:15" x14ac:dyDescent="0.35">
      <c r="B259" t="s">
        <v>27</v>
      </c>
      <c r="C259">
        <v>2020</v>
      </c>
      <c r="D259">
        <v>16.850000000000001</v>
      </c>
      <c r="E259">
        <v>64.349999999999994</v>
      </c>
      <c r="F259">
        <v>6.3868999999999998</v>
      </c>
      <c r="G259">
        <v>7.7271000000000001</v>
      </c>
      <c r="H259">
        <v>50663</v>
      </c>
      <c r="I259">
        <v>10.833</v>
      </c>
      <c r="J259">
        <v>9.9</v>
      </c>
      <c r="K259">
        <v>0</v>
      </c>
      <c r="L259">
        <v>1</v>
      </c>
      <c r="M259">
        <v>362.75689999999997</v>
      </c>
      <c r="N259">
        <v>5003</v>
      </c>
      <c r="O259">
        <v>3526220</v>
      </c>
    </row>
    <row r="260" spans="2:15" x14ac:dyDescent="0.35">
      <c r="B260" t="s">
        <v>27</v>
      </c>
      <c r="C260">
        <v>2021</v>
      </c>
      <c r="D260">
        <v>15.59</v>
      </c>
      <c r="E260">
        <v>169.43</v>
      </c>
      <c r="F260">
        <v>6.3208000000000002</v>
      </c>
      <c r="G260">
        <v>8.7067999999999994</v>
      </c>
      <c r="H260">
        <v>65426</v>
      </c>
      <c r="I260">
        <v>11.088699999999999</v>
      </c>
      <c r="J260">
        <v>8</v>
      </c>
      <c r="K260">
        <v>0</v>
      </c>
      <c r="L260">
        <v>1</v>
      </c>
      <c r="M260">
        <v>362.75689999999997</v>
      </c>
      <c r="N260">
        <v>11047</v>
      </c>
      <c r="O260">
        <v>3567234</v>
      </c>
    </row>
    <row r="261" spans="2:15" x14ac:dyDescent="0.35">
      <c r="B261" t="s">
        <v>27</v>
      </c>
      <c r="C261">
        <v>2022</v>
      </c>
      <c r="D261">
        <v>18.48</v>
      </c>
      <c r="E261">
        <v>362.76</v>
      </c>
      <c r="F261">
        <v>6.5162000000000004</v>
      </c>
      <c r="G261">
        <v>9.4933999999999994</v>
      </c>
      <c r="H261">
        <v>69842</v>
      </c>
      <c r="I261">
        <v>11.154</v>
      </c>
      <c r="J261">
        <v>4.3</v>
      </c>
      <c r="K261">
        <v>0</v>
      </c>
      <c r="L261">
        <v>0</v>
      </c>
      <c r="M261">
        <v>362.75689999999997</v>
      </c>
      <c r="N261">
        <v>24319</v>
      </c>
      <c r="O261">
        <v>3658649</v>
      </c>
    </row>
    <row r="262" spans="2:15" x14ac:dyDescent="0.35">
      <c r="B262" t="s">
        <v>27</v>
      </c>
      <c r="C262">
        <v>2023</v>
      </c>
      <c r="D262">
        <v>20.91</v>
      </c>
      <c r="E262">
        <v>1.01</v>
      </c>
      <c r="F262">
        <v>6.6398999999999999</v>
      </c>
      <c r="G262">
        <v>3.6109</v>
      </c>
      <c r="H262">
        <v>74620</v>
      </c>
      <c r="I262">
        <v>11.2202</v>
      </c>
      <c r="J262">
        <v>3.5</v>
      </c>
      <c r="K262">
        <v>1</v>
      </c>
      <c r="L262">
        <v>0</v>
      </c>
      <c r="M262">
        <v>362.75689999999997</v>
      </c>
      <c r="N262">
        <v>24356</v>
      </c>
      <c r="O262">
        <v>3658649</v>
      </c>
    </row>
    <row r="263" spans="2:15" x14ac:dyDescent="0.35">
      <c r="B263" t="s">
        <v>27</v>
      </c>
      <c r="C263">
        <v>2024</v>
      </c>
      <c r="D263">
        <v>18.059999999999999</v>
      </c>
      <c r="E263">
        <v>58.75</v>
      </c>
      <c r="F263">
        <v>6.5410000000000004</v>
      </c>
      <c r="G263">
        <v>7.7205000000000004</v>
      </c>
      <c r="H263">
        <v>75843</v>
      </c>
      <c r="I263">
        <v>11.2364</v>
      </c>
      <c r="J263">
        <v>2.9</v>
      </c>
      <c r="K263">
        <v>1</v>
      </c>
      <c r="L263">
        <v>0</v>
      </c>
      <c r="M263">
        <v>362.75689999999997</v>
      </c>
      <c r="N263">
        <v>26610</v>
      </c>
      <c r="O263">
        <v>3836399</v>
      </c>
    </row>
    <row r="264" spans="2:15" x14ac:dyDescent="0.35">
      <c r="B264" t="s">
        <v>28</v>
      </c>
      <c r="C264">
        <v>2005</v>
      </c>
      <c r="D264">
        <v>17.2</v>
      </c>
      <c r="E264">
        <v>0.09</v>
      </c>
      <c r="F264">
        <v>7.0891999999999999</v>
      </c>
      <c r="G264">
        <v>1.7918000000000001</v>
      </c>
      <c r="H264">
        <v>5612</v>
      </c>
      <c r="I264">
        <v>8.6326999999999998</v>
      </c>
      <c r="J264">
        <v>9.6999999999999993</v>
      </c>
      <c r="K264">
        <v>0</v>
      </c>
      <c r="L264">
        <v>0</v>
      </c>
      <c r="M264">
        <v>75.466800000000006</v>
      </c>
      <c r="N264">
        <v>6</v>
      </c>
      <c r="O264">
        <v>6970586</v>
      </c>
    </row>
    <row r="265" spans="2:15" x14ac:dyDescent="0.35">
      <c r="B265" t="s">
        <v>28</v>
      </c>
      <c r="C265">
        <v>2006</v>
      </c>
      <c r="D265">
        <v>18.23</v>
      </c>
      <c r="E265">
        <v>0.04</v>
      </c>
      <c r="F265">
        <v>7.1669999999999998</v>
      </c>
      <c r="G265">
        <v>1.0986</v>
      </c>
      <c r="H265">
        <v>6240</v>
      </c>
      <c r="I265">
        <v>8.7386999999999997</v>
      </c>
      <c r="J265">
        <v>9.26</v>
      </c>
      <c r="K265">
        <v>0</v>
      </c>
      <c r="L265">
        <v>0</v>
      </c>
      <c r="M265">
        <v>75.466800000000006</v>
      </c>
      <c r="N265">
        <v>9</v>
      </c>
      <c r="O265">
        <v>7110465</v>
      </c>
    </row>
    <row r="266" spans="2:15" x14ac:dyDescent="0.35">
      <c r="B266" t="s">
        <v>28</v>
      </c>
      <c r="C266">
        <v>2007</v>
      </c>
      <c r="D266">
        <v>19.670000000000002</v>
      </c>
      <c r="E266">
        <v>0.11</v>
      </c>
      <c r="F266">
        <v>7.2370999999999999</v>
      </c>
      <c r="G266">
        <v>2.0794000000000001</v>
      </c>
      <c r="H266">
        <v>7007</v>
      </c>
      <c r="I266">
        <v>8.8546999999999993</v>
      </c>
      <c r="J266">
        <v>8.7200000000000006</v>
      </c>
      <c r="K266">
        <v>0</v>
      </c>
      <c r="L266">
        <v>0</v>
      </c>
      <c r="M266">
        <v>75.466800000000006</v>
      </c>
      <c r="N266">
        <v>17</v>
      </c>
      <c r="O266">
        <v>7065573</v>
      </c>
    </row>
    <row r="267" spans="2:15" x14ac:dyDescent="0.35">
      <c r="B267" t="s">
        <v>28</v>
      </c>
      <c r="C267">
        <v>2008</v>
      </c>
      <c r="D267">
        <v>26.43</v>
      </c>
      <c r="E267">
        <v>0.28999999999999998</v>
      </c>
      <c r="F267">
        <v>7.5678999999999998</v>
      </c>
      <c r="G267">
        <v>3.0445000000000002</v>
      </c>
      <c r="H267">
        <v>7993</v>
      </c>
      <c r="I267">
        <v>8.9863</v>
      </c>
      <c r="J267">
        <v>6.78</v>
      </c>
      <c r="K267">
        <v>0</v>
      </c>
      <c r="L267">
        <v>0</v>
      </c>
      <c r="M267">
        <v>75.466800000000006</v>
      </c>
      <c r="N267">
        <v>38</v>
      </c>
      <c r="O267">
        <v>7321490</v>
      </c>
    </row>
    <row r="268" spans="2:15" x14ac:dyDescent="0.35">
      <c r="B268" t="s">
        <v>28</v>
      </c>
      <c r="C268">
        <v>2009</v>
      </c>
      <c r="D268">
        <v>27.48</v>
      </c>
      <c r="E268">
        <v>0.35</v>
      </c>
      <c r="F268">
        <v>7.6216999999999997</v>
      </c>
      <c r="G268">
        <v>3.2581000000000002</v>
      </c>
      <c r="H268">
        <v>7859</v>
      </c>
      <c r="I268">
        <v>8.9694000000000003</v>
      </c>
      <c r="J268">
        <v>10.24</v>
      </c>
      <c r="K268">
        <v>0</v>
      </c>
      <c r="L268">
        <v>0</v>
      </c>
      <c r="M268">
        <v>75.466800000000006</v>
      </c>
      <c r="N268">
        <v>64</v>
      </c>
      <c r="O268">
        <v>7431020</v>
      </c>
    </row>
    <row r="269" spans="2:15" x14ac:dyDescent="0.35">
      <c r="B269" t="s">
        <v>28</v>
      </c>
      <c r="C269">
        <v>2010</v>
      </c>
      <c r="D269">
        <v>33.24</v>
      </c>
      <c r="E269">
        <v>0.16</v>
      </c>
      <c r="F269">
        <v>7.8319999999999999</v>
      </c>
      <c r="G269">
        <v>2.4849000000000001</v>
      </c>
      <c r="H269">
        <v>10907</v>
      </c>
      <c r="I269">
        <v>9.2972000000000001</v>
      </c>
      <c r="J269">
        <v>9.93</v>
      </c>
      <c r="K269">
        <v>0</v>
      </c>
      <c r="L269">
        <v>0</v>
      </c>
      <c r="M269">
        <v>75.466800000000006</v>
      </c>
      <c r="N269">
        <v>76</v>
      </c>
      <c r="O269">
        <v>7581051</v>
      </c>
    </row>
    <row r="270" spans="2:15" x14ac:dyDescent="0.35">
      <c r="B270" t="s">
        <v>28</v>
      </c>
      <c r="C270">
        <v>2011</v>
      </c>
      <c r="D270">
        <v>27.08</v>
      </c>
      <c r="E270">
        <v>0.26</v>
      </c>
      <c r="F270">
        <v>7.6410999999999998</v>
      </c>
      <c r="G270">
        <v>2.9956999999999998</v>
      </c>
      <c r="H270">
        <v>12839</v>
      </c>
      <c r="I270">
        <v>9.4602000000000004</v>
      </c>
      <c r="J270">
        <v>9.6199999999999992</v>
      </c>
      <c r="K270">
        <v>0</v>
      </c>
      <c r="L270">
        <v>0</v>
      </c>
      <c r="M270">
        <v>75.466800000000006</v>
      </c>
      <c r="N270">
        <v>96</v>
      </c>
      <c r="O270">
        <v>7688593</v>
      </c>
    </row>
    <row r="271" spans="2:15" x14ac:dyDescent="0.35">
      <c r="B271" t="s">
        <v>28</v>
      </c>
      <c r="C271">
        <v>2012</v>
      </c>
      <c r="D271">
        <v>27.64</v>
      </c>
      <c r="E271">
        <v>0.32</v>
      </c>
      <c r="F271">
        <v>7.6731999999999996</v>
      </c>
      <c r="G271">
        <v>3.2189000000000001</v>
      </c>
      <c r="H271">
        <v>13768</v>
      </c>
      <c r="I271">
        <v>9.5300999999999991</v>
      </c>
      <c r="J271">
        <v>7.8</v>
      </c>
      <c r="K271">
        <v>0</v>
      </c>
      <c r="L271">
        <v>0</v>
      </c>
      <c r="M271">
        <v>75.466800000000006</v>
      </c>
      <c r="N271">
        <v>121</v>
      </c>
      <c r="O271">
        <v>7777543</v>
      </c>
    </row>
    <row r="272" spans="2:15" x14ac:dyDescent="0.35">
      <c r="B272" t="s">
        <v>28</v>
      </c>
      <c r="C272">
        <v>2013</v>
      </c>
      <c r="D272">
        <v>28.28</v>
      </c>
      <c r="E272">
        <v>0.28000000000000003</v>
      </c>
      <c r="F272">
        <v>7.7205000000000004</v>
      </c>
      <c r="G272">
        <v>3.0910000000000002</v>
      </c>
      <c r="H272">
        <v>15211</v>
      </c>
      <c r="I272">
        <v>9.6297999999999995</v>
      </c>
      <c r="J272">
        <v>9.59</v>
      </c>
      <c r="K272">
        <v>0</v>
      </c>
      <c r="L272">
        <v>0</v>
      </c>
      <c r="M272">
        <v>75.466800000000006</v>
      </c>
      <c r="N272">
        <v>143</v>
      </c>
      <c r="O272">
        <v>7969654</v>
      </c>
    </row>
    <row r="273" spans="2:15" x14ac:dyDescent="0.35">
      <c r="B273" t="s">
        <v>28</v>
      </c>
      <c r="C273">
        <v>2014</v>
      </c>
      <c r="D273">
        <v>28.82</v>
      </c>
      <c r="E273">
        <v>0.25</v>
      </c>
      <c r="F273">
        <v>7.7523</v>
      </c>
      <c r="G273">
        <v>2.9956999999999998</v>
      </c>
      <c r="H273">
        <v>15431</v>
      </c>
      <c r="I273">
        <v>9.6440999999999999</v>
      </c>
      <c r="J273">
        <v>9.7100000000000009</v>
      </c>
      <c r="K273">
        <v>0</v>
      </c>
      <c r="L273">
        <v>0</v>
      </c>
      <c r="M273">
        <v>75.466800000000006</v>
      </c>
      <c r="N273">
        <v>163</v>
      </c>
      <c r="O273">
        <v>8073924</v>
      </c>
    </row>
    <row r="274" spans="2:15" x14ac:dyDescent="0.35">
      <c r="B274" t="s">
        <v>28</v>
      </c>
      <c r="C274">
        <v>2015</v>
      </c>
      <c r="D274">
        <v>31.14</v>
      </c>
      <c r="E274">
        <v>0.21</v>
      </c>
      <c r="F274">
        <v>7.8422999999999998</v>
      </c>
      <c r="G274">
        <v>2.8332000000000002</v>
      </c>
      <c r="H274">
        <v>16012</v>
      </c>
      <c r="I274">
        <v>9.6811000000000007</v>
      </c>
      <c r="J274">
        <v>8.9</v>
      </c>
      <c r="K274">
        <v>0</v>
      </c>
      <c r="L274">
        <v>0</v>
      </c>
      <c r="M274">
        <v>75.466800000000006</v>
      </c>
      <c r="N274">
        <v>180</v>
      </c>
      <c r="O274">
        <v>8175113</v>
      </c>
    </row>
    <row r="275" spans="2:15" x14ac:dyDescent="0.35">
      <c r="B275" t="s">
        <v>28</v>
      </c>
      <c r="C275">
        <v>2016</v>
      </c>
      <c r="D275">
        <v>37</v>
      </c>
      <c r="E275">
        <v>0.62</v>
      </c>
      <c r="F275">
        <v>8.0265000000000004</v>
      </c>
      <c r="G275">
        <v>3.9318</v>
      </c>
      <c r="H275">
        <v>16694</v>
      </c>
      <c r="I275">
        <v>9.7227999999999994</v>
      </c>
      <c r="J275">
        <v>11.2</v>
      </c>
      <c r="K275">
        <v>0</v>
      </c>
      <c r="L275">
        <v>0</v>
      </c>
      <c r="M275">
        <v>75.466800000000006</v>
      </c>
      <c r="N275">
        <v>231</v>
      </c>
      <c r="O275">
        <v>8272724</v>
      </c>
    </row>
    <row r="276" spans="2:15" x14ac:dyDescent="0.35">
      <c r="B276" t="s">
        <v>28</v>
      </c>
      <c r="C276">
        <v>2017</v>
      </c>
      <c r="D276">
        <v>40.369999999999997</v>
      </c>
      <c r="E276">
        <v>0.81</v>
      </c>
      <c r="F276">
        <v>8.125</v>
      </c>
      <c r="G276">
        <v>4.2195</v>
      </c>
      <c r="H276">
        <v>18554</v>
      </c>
      <c r="I276">
        <v>9.8284000000000002</v>
      </c>
      <c r="J276">
        <v>11.8</v>
      </c>
      <c r="K276">
        <v>0</v>
      </c>
      <c r="L276">
        <v>0</v>
      </c>
      <c r="M276">
        <v>75.466800000000006</v>
      </c>
      <c r="N276">
        <v>299</v>
      </c>
      <c r="O276">
        <v>8366628</v>
      </c>
    </row>
    <row r="277" spans="2:15" x14ac:dyDescent="0.35">
      <c r="B277" t="s">
        <v>28</v>
      </c>
      <c r="C277">
        <v>2018</v>
      </c>
      <c r="D277">
        <v>40.65</v>
      </c>
      <c r="E277">
        <v>0.99</v>
      </c>
      <c r="F277">
        <v>8.1493000000000002</v>
      </c>
      <c r="G277">
        <v>4.4307999999999996</v>
      </c>
      <c r="H277">
        <v>18952</v>
      </c>
      <c r="I277">
        <v>9.8497000000000003</v>
      </c>
      <c r="J277">
        <v>11.2</v>
      </c>
      <c r="K277">
        <v>0</v>
      </c>
      <c r="L277">
        <v>0</v>
      </c>
      <c r="M277">
        <v>75.466800000000006</v>
      </c>
      <c r="N277">
        <v>383</v>
      </c>
      <c r="O277">
        <v>8513497</v>
      </c>
    </row>
    <row r="278" spans="2:15" x14ac:dyDescent="0.35">
      <c r="B278" t="s">
        <v>28</v>
      </c>
      <c r="C278">
        <v>2019</v>
      </c>
      <c r="D278">
        <v>27.39</v>
      </c>
      <c r="E278">
        <v>5.7</v>
      </c>
      <c r="F278">
        <v>7.7647000000000004</v>
      </c>
      <c r="G278">
        <v>6.1943999999999999</v>
      </c>
      <c r="H278">
        <v>20735</v>
      </c>
      <c r="I278">
        <v>9.9396000000000004</v>
      </c>
      <c r="J278">
        <v>10.8</v>
      </c>
      <c r="K278">
        <v>0</v>
      </c>
      <c r="L278">
        <v>0</v>
      </c>
      <c r="M278">
        <v>75.466800000000006</v>
      </c>
      <c r="N278">
        <v>873</v>
      </c>
      <c r="O278">
        <v>8602865</v>
      </c>
    </row>
    <row r="279" spans="2:15" x14ac:dyDescent="0.35">
      <c r="B279" t="s">
        <v>28</v>
      </c>
      <c r="C279">
        <v>2020</v>
      </c>
      <c r="D279">
        <v>21.85</v>
      </c>
      <c r="E279">
        <v>22.29</v>
      </c>
      <c r="F279">
        <v>7.5491000000000001</v>
      </c>
      <c r="G279">
        <v>7.5689000000000002</v>
      </c>
      <c r="H279">
        <v>24847</v>
      </c>
      <c r="I279">
        <v>10.1205</v>
      </c>
      <c r="J279">
        <v>10.5</v>
      </c>
      <c r="K279">
        <v>0</v>
      </c>
      <c r="L279">
        <v>1</v>
      </c>
      <c r="M279">
        <v>75.466800000000006</v>
      </c>
      <c r="N279">
        <v>2810</v>
      </c>
      <c r="O279">
        <v>8690745</v>
      </c>
    </row>
    <row r="280" spans="2:15" x14ac:dyDescent="0.35">
      <c r="B280" t="s">
        <v>28</v>
      </c>
      <c r="C280">
        <v>2021</v>
      </c>
      <c r="D280">
        <v>22.32</v>
      </c>
      <c r="E280">
        <v>46.17</v>
      </c>
      <c r="F280">
        <v>7.5801999999999996</v>
      </c>
      <c r="G280">
        <v>8.3070000000000004</v>
      </c>
      <c r="H280">
        <v>29953</v>
      </c>
      <c r="I280">
        <v>10.307399999999999</v>
      </c>
      <c r="J280">
        <v>12.5</v>
      </c>
      <c r="K280">
        <v>0</v>
      </c>
      <c r="L280">
        <v>1</v>
      </c>
      <c r="M280">
        <v>75.466800000000006</v>
      </c>
      <c r="N280">
        <v>6862</v>
      </c>
      <c r="O280">
        <v>8777124</v>
      </c>
    </row>
    <row r="281" spans="2:15" x14ac:dyDescent="0.35">
      <c r="B281" t="s">
        <v>28</v>
      </c>
      <c r="C281">
        <v>2022</v>
      </c>
      <c r="D281">
        <v>25.11</v>
      </c>
      <c r="E281">
        <v>75.47</v>
      </c>
      <c r="F281">
        <v>7.6201999999999996</v>
      </c>
      <c r="G281">
        <v>8.7205999999999992</v>
      </c>
      <c r="H281">
        <v>29081</v>
      </c>
      <c r="I281">
        <v>10.277799999999999</v>
      </c>
      <c r="J281">
        <v>9.6</v>
      </c>
      <c r="K281">
        <v>0</v>
      </c>
      <c r="L281">
        <v>0</v>
      </c>
      <c r="M281">
        <v>75.466800000000006</v>
      </c>
      <c r="N281">
        <v>12990</v>
      </c>
      <c r="O281">
        <v>8120131</v>
      </c>
    </row>
    <row r="282" spans="2:15" x14ac:dyDescent="0.35">
      <c r="B282" t="s">
        <v>28</v>
      </c>
      <c r="C282">
        <v>2023</v>
      </c>
      <c r="D282">
        <v>21.74</v>
      </c>
      <c r="E282">
        <v>0.22</v>
      </c>
      <c r="F282">
        <v>7.4759000000000002</v>
      </c>
      <c r="G282">
        <v>2.8904000000000001</v>
      </c>
      <c r="H282">
        <v>31348</v>
      </c>
      <c r="I282">
        <v>10.3529</v>
      </c>
      <c r="J282">
        <v>8.5</v>
      </c>
      <c r="K282">
        <v>1</v>
      </c>
      <c r="L282">
        <v>0</v>
      </c>
      <c r="M282">
        <v>75.466800000000006</v>
      </c>
      <c r="N282">
        <v>13008</v>
      </c>
      <c r="O282">
        <v>8120131</v>
      </c>
    </row>
    <row r="283" spans="2:15" x14ac:dyDescent="0.35">
      <c r="B283" t="s">
        <v>28</v>
      </c>
      <c r="C283">
        <v>2024</v>
      </c>
      <c r="D283">
        <v>18</v>
      </c>
      <c r="E283">
        <v>11.15</v>
      </c>
      <c r="F283">
        <v>7.3524000000000003</v>
      </c>
      <c r="G283">
        <v>6.8731999999999998</v>
      </c>
      <c r="H283">
        <v>30179</v>
      </c>
      <c r="I283">
        <v>10.3149</v>
      </c>
      <c r="J283">
        <v>7.5</v>
      </c>
      <c r="K283">
        <v>1</v>
      </c>
      <c r="L283">
        <v>0</v>
      </c>
      <c r="M283">
        <v>75.466800000000006</v>
      </c>
      <c r="N283">
        <v>13974</v>
      </c>
      <c r="O283">
        <v>8664306</v>
      </c>
    </row>
    <row r="284" spans="2:15" x14ac:dyDescent="0.35">
      <c r="B284" t="s">
        <v>29</v>
      </c>
      <c r="C284">
        <v>2005</v>
      </c>
      <c r="D284">
        <v>15.04</v>
      </c>
      <c r="E284">
        <v>0.22</v>
      </c>
      <c r="F284">
        <v>6.2934000000000001</v>
      </c>
      <c r="G284">
        <v>2.0794000000000001</v>
      </c>
      <c r="H284">
        <v>4691</v>
      </c>
      <c r="I284">
        <v>8.4534000000000002</v>
      </c>
      <c r="J284">
        <v>8.69</v>
      </c>
      <c r="K284">
        <v>0</v>
      </c>
      <c r="L284">
        <v>0</v>
      </c>
      <c r="M284">
        <v>93.391000000000005</v>
      </c>
      <c r="N284">
        <v>8</v>
      </c>
      <c r="O284">
        <v>3595886</v>
      </c>
    </row>
    <row r="285" spans="2:15" x14ac:dyDescent="0.35">
      <c r="B285" t="s">
        <v>29</v>
      </c>
      <c r="C285">
        <v>2006</v>
      </c>
      <c r="D285">
        <v>17.309999999999999</v>
      </c>
      <c r="E285">
        <v>0.06</v>
      </c>
      <c r="F285">
        <v>6.4409000000000001</v>
      </c>
      <c r="G285">
        <v>0.69310000000000005</v>
      </c>
      <c r="H285">
        <v>5506</v>
      </c>
      <c r="I285">
        <v>8.6135999999999999</v>
      </c>
      <c r="J285">
        <v>8.69</v>
      </c>
      <c r="K285">
        <v>0</v>
      </c>
      <c r="L285">
        <v>0</v>
      </c>
      <c r="M285">
        <v>93.391000000000005</v>
      </c>
      <c r="N285">
        <v>10</v>
      </c>
      <c r="O285">
        <v>3623215</v>
      </c>
    </row>
    <row r="286" spans="2:15" x14ac:dyDescent="0.35">
      <c r="B286" t="s">
        <v>29</v>
      </c>
      <c r="C286">
        <v>2007</v>
      </c>
      <c r="D286">
        <v>18.100000000000001</v>
      </c>
      <c r="E286">
        <v>0.03</v>
      </c>
      <c r="F286">
        <v>6.4907000000000004</v>
      </c>
      <c r="G286">
        <v>0</v>
      </c>
      <c r="H286">
        <v>6097</v>
      </c>
      <c r="I286">
        <v>8.7156000000000002</v>
      </c>
      <c r="J286">
        <v>8.5</v>
      </c>
      <c r="K286">
        <v>0</v>
      </c>
      <c r="L286">
        <v>0</v>
      </c>
      <c r="M286">
        <v>93.391000000000005</v>
      </c>
      <c r="N286">
        <v>11</v>
      </c>
      <c r="O286">
        <v>3641397</v>
      </c>
    </row>
    <row r="287" spans="2:15" x14ac:dyDescent="0.35">
      <c r="B287" t="s">
        <v>29</v>
      </c>
      <c r="C287">
        <v>2008</v>
      </c>
      <c r="D287">
        <v>19.91</v>
      </c>
      <c r="E287">
        <v>0.32</v>
      </c>
      <c r="F287">
        <v>6.6134000000000004</v>
      </c>
      <c r="G287">
        <v>2.4849000000000001</v>
      </c>
      <c r="H287">
        <v>6866</v>
      </c>
      <c r="I287">
        <v>8.8343000000000007</v>
      </c>
      <c r="J287">
        <v>7.86</v>
      </c>
      <c r="K287">
        <v>0</v>
      </c>
      <c r="L287">
        <v>0</v>
      </c>
      <c r="M287">
        <v>93.391000000000005</v>
      </c>
      <c r="N287">
        <v>23</v>
      </c>
      <c r="O287">
        <v>3742604</v>
      </c>
    </row>
    <row r="288" spans="2:15" x14ac:dyDescent="0.35">
      <c r="B288" t="s">
        <v>29</v>
      </c>
      <c r="C288">
        <v>2009</v>
      </c>
      <c r="D288">
        <v>27.11</v>
      </c>
      <c r="E288">
        <v>0.45</v>
      </c>
      <c r="F288">
        <v>6.9295</v>
      </c>
      <c r="G288">
        <v>2.8332000000000002</v>
      </c>
      <c r="H288">
        <v>7618</v>
      </c>
      <c r="I288">
        <v>8.9382999999999999</v>
      </c>
      <c r="J288">
        <v>9.84</v>
      </c>
      <c r="K288">
        <v>0</v>
      </c>
      <c r="L288">
        <v>0</v>
      </c>
      <c r="M288">
        <v>93.391000000000005</v>
      </c>
      <c r="N288">
        <v>40</v>
      </c>
      <c r="O288">
        <v>3769977</v>
      </c>
    </row>
    <row r="289" spans="2:15" x14ac:dyDescent="0.35">
      <c r="B289" t="s">
        <v>29</v>
      </c>
      <c r="C289">
        <v>2010</v>
      </c>
      <c r="D289">
        <v>32.26</v>
      </c>
      <c r="E289">
        <v>0.77</v>
      </c>
      <c r="F289">
        <v>7.1025</v>
      </c>
      <c r="G289">
        <v>3.3673000000000002</v>
      </c>
      <c r="H289">
        <v>8900</v>
      </c>
      <c r="I289">
        <v>9.0937999999999999</v>
      </c>
      <c r="J289">
        <v>10.11</v>
      </c>
      <c r="K289">
        <v>0</v>
      </c>
      <c r="L289">
        <v>0</v>
      </c>
      <c r="M289">
        <v>93.391000000000005</v>
      </c>
      <c r="N289">
        <v>69</v>
      </c>
      <c r="O289">
        <v>3766528</v>
      </c>
    </row>
    <row r="290" spans="2:15" x14ac:dyDescent="0.35">
      <c r="B290" t="s">
        <v>29</v>
      </c>
      <c r="C290">
        <v>2011</v>
      </c>
      <c r="D290">
        <v>36.450000000000003</v>
      </c>
      <c r="E290">
        <v>0.42</v>
      </c>
      <c r="F290">
        <v>7.2313000000000001</v>
      </c>
      <c r="G290">
        <v>2.7726000000000002</v>
      </c>
      <c r="H290">
        <v>9788</v>
      </c>
      <c r="I290">
        <v>9.1889000000000003</v>
      </c>
      <c r="J290">
        <v>10.37</v>
      </c>
      <c r="K290">
        <v>0</v>
      </c>
      <c r="L290">
        <v>0</v>
      </c>
      <c r="M290">
        <v>93.391000000000005</v>
      </c>
      <c r="N290">
        <v>85</v>
      </c>
      <c r="O290">
        <v>3791315</v>
      </c>
    </row>
    <row r="291" spans="2:15" x14ac:dyDescent="0.35">
      <c r="B291" t="s">
        <v>29</v>
      </c>
      <c r="C291">
        <v>2012</v>
      </c>
      <c r="D291">
        <v>32.24</v>
      </c>
      <c r="E291">
        <v>0.45</v>
      </c>
      <c r="F291">
        <v>7.1147999999999998</v>
      </c>
      <c r="G291">
        <v>2.8332000000000002</v>
      </c>
      <c r="H291">
        <v>11137</v>
      </c>
      <c r="I291">
        <v>9.3179999999999996</v>
      </c>
      <c r="J291">
        <v>8.98</v>
      </c>
      <c r="K291">
        <v>0</v>
      </c>
      <c r="L291">
        <v>0</v>
      </c>
      <c r="M291">
        <v>93.391000000000005</v>
      </c>
      <c r="N291">
        <v>102</v>
      </c>
      <c r="O291">
        <v>3815171</v>
      </c>
    </row>
    <row r="292" spans="2:15" x14ac:dyDescent="0.35">
      <c r="B292" t="s">
        <v>29</v>
      </c>
      <c r="C292">
        <v>2013</v>
      </c>
      <c r="D292">
        <v>31.96</v>
      </c>
      <c r="E292">
        <v>0.31</v>
      </c>
      <c r="F292">
        <v>7.1317000000000004</v>
      </c>
      <c r="G292">
        <v>2.4849000000000001</v>
      </c>
      <c r="H292">
        <v>11848</v>
      </c>
      <c r="I292">
        <v>9.3798999999999992</v>
      </c>
      <c r="J292">
        <v>9.83</v>
      </c>
      <c r="K292">
        <v>0</v>
      </c>
      <c r="L292">
        <v>0</v>
      </c>
      <c r="M292">
        <v>93.391000000000005</v>
      </c>
      <c r="N292">
        <v>114</v>
      </c>
      <c r="O292">
        <v>3914421</v>
      </c>
    </row>
    <row r="293" spans="2:15" x14ac:dyDescent="0.35">
      <c r="B293" t="s">
        <v>29</v>
      </c>
      <c r="C293">
        <v>2014</v>
      </c>
      <c r="D293">
        <v>31.69</v>
      </c>
      <c r="E293">
        <v>0.15</v>
      </c>
      <c r="F293">
        <v>7.1308999999999996</v>
      </c>
      <c r="G293">
        <v>1.7918000000000001</v>
      </c>
      <c r="H293">
        <v>13422</v>
      </c>
      <c r="I293">
        <v>9.5046999999999997</v>
      </c>
      <c r="J293">
        <v>8.5</v>
      </c>
      <c r="K293">
        <v>0</v>
      </c>
      <c r="L293">
        <v>0</v>
      </c>
      <c r="M293">
        <v>93.391000000000005</v>
      </c>
      <c r="N293">
        <v>120</v>
      </c>
      <c r="O293">
        <v>3943885</v>
      </c>
    </row>
    <row r="294" spans="2:15" x14ac:dyDescent="0.35">
      <c r="B294" t="s">
        <v>29</v>
      </c>
      <c r="C294">
        <v>2015</v>
      </c>
      <c r="D294">
        <v>31.85</v>
      </c>
      <c r="E294">
        <v>0.08</v>
      </c>
      <c r="F294">
        <v>7.1428000000000003</v>
      </c>
      <c r="G294">
        <v>1.0986</v>
      </c>
      <c r="H294">
        <v>14134</v>
      </c>
      <c r="I294">
        <v>9.5563000000000002</v>
      </c>
      <c r="J294">
        <v>9.6999999999999993</v>
      </c>
      <c r="K294">
        <v>0</v>
      </c>
      <c r="L294">
        <v>0</v>
      </c>
      <c r="M294">
        <v>93.391000000000005</v>
      </c>
      <c r="N294">
        <v>123</v>
      </c>
      <c r="O294">
        <v>3972202</v>
      </c>
    </row>
    <row r="295" spans="2:15" x14ac:dyDescent="0.35">
      <c r="B295" t="s">
        <v>29</v>
      </c>
      <c r="C295">
        <v>2016</v>
      </c>
      <c r="D295">
        <v>26.6</v>
      </c>
      <c r="E295">
        <v>1.5</v>
      </c>
      <c r="F295">
        <v>6.9698000000000002</v>
      </c>
      <c r="G295">
        <v>4.0942999999999996</v>
      </c>
      <c r="H295">
        <v>14778</v>
      </c>
      <c r="I295">
        <v>9.6008999999999993</v>
      </c>
      <c r="J295">
        <v>11.6</v>
      </c>
      <c r="K295">
        <v>0</v>
      </c>
      <c r="L295">
        <v>0</v>
      </c>
      <c r="M295">
        <v>93.391000000000005</v>
      </c>
      <c r="N295">
        <v>183</v>
      </c>
      <c r="O295">
        <v>3999415</v>
      </c>
    </row>
    <row r="296" spans="2:15" x14ac:dyDescent="0.35">
      <c r="B296" t="s">
        <v>29</v>
      </c>
      <c r="C296">
        <v>2017</v>
      </c>
      <c r="D296">
        <v>25.79</v>
      </c>
      <c r="E296">
        <v>2.58</v>
      </c>
      <c r="F296">
        <v>6.9451000000000001</v>
      </c>
      <c r="G296">
        <v>4.6444000000000001</v>
      </c>
      <c r="H296">
        <v>15500</v>
      </c>
      <c r="I296">
        <v>9.6486000000000001</v>
      </c>
      <c r="J296">
        <v>11.5</v>
      </c>
      <c r="K296">
        <v>0</v>
      </c>
      <c r="L296">
        <v>0</v>
      </c>
      <c r="M296">
        <v>93.391000000000005</v>
      </c>
      <c r="N296">
        <v>287</v>
      </c>
      <c r="O296">
        <v>4025558</v>
      </c>
    </row>
    <row r="297" spans="2:15" x14ac:dyDescent="0.35">
      <c r="B297" t="s">
        <v>29</v>
      </c>
      <c r="C297">
        <v>2018</v>
      </c>
      <c r="D297">
        <v>24.9</v>
      </c>
      <c r="E297">
        <v>15.99</v>
      </c>
      <c r="F297">
        <v>6.9027000000000003</v>
      </c>
      <c r="G297">
        <v>6.4599000000000002</v>
      </c>
      <c r="H297">
        <v>16108</v>
      </c>
      <c r="I297">
        <v>9.6870999999999992</v>
      </c>
      <c r="J297">
        <v>11.3</v>
      </c>
      <c r="K297">
        <v>0</v>
      </c>
      <c r="L297">
        <v>0</v>
      </c>
      <c r="M297">
        <v>93.391000000000005</v>
      </c>
      <c r="N297">
        <v>926</v>
      </c>
      <c r="O297">
        <v>3996496</v>
      </c>
    </row>
    <row r="298" spans="2:15" x14ac:dyDescent="0.35">
      <c r="B298" t="s">
        <v>29</v>
      </c>
      <c r="C298">
        <v>2019</v>
      </c>
      <c r="D298">
        <v>17.87</v>
      </c>
      <c r="E298">
        <v>29.34</v>
      </c>
      <c r="F298">
        <v>6.5765000000000002</v>
      </c>
      <c r="G298">
        <v>7.0724</v>
      </c>
      <c r="H298">
        <v>16920</v>
      </c>
      <c r="I298">
        <v>9.7363</v>
      </c>
      <c r="J298">
        <v>11.8</v>
      </c>
      <c r="K298">
        <v>0</v>
      </c>
      <c r="L298">
        <v>0</v>
      </c>
      <c r="M298">
        <v>93.391000000000005</v>
      </c>
      <c r="N298">
        <v>2105</v>
      </c>
      <c r="O298">
        <v>4018127</v>
      </c>
    </row>
    <row r="299" spans="2:15" x14ac:dyDescent="0.35">
      <c r="B299" t="s">
        <v>29</v>
      </c>
      <c r="C299">
        <v>2020</v>
      </c>
      <c r="D299">
        <v>22.85</v>
      </c>
      <c r="E299">
        <v>40.5</v>
      </c>
      <c r="F299">
        <v>6.8276000000000003</v>
      </c>
      <c r="G299">
        <v>7.4</v>
      </c>
      <c r="H299">
        <v>17402</v>
      </c>
      <c r="I299">
        <v>9.7643000000000004</v>
      </c>
      <c r="J299">
        <v>15</v>
      </c>
      <c r="K299">
        <v>0</v>
      </c>
      <c r="L299">
        <v>1</v>
      </c>
      <c r="M299">
        <v>93.391000000000005</v>
      </c>
      <c r="N299">
        <v>3741</v>
      </c>
      <c r="O299">
        <v>4039277</v>
      </c>
    </row>
    <row r="300" spans="2:15" x14ac:dyDescent="0.35">
      <c r="B300" t="s">
        <v>29</v>
      </c>
      <c r="C300">
        <v>2021</v>
      </c>
      <c r="D300">
        <v>23.15</v>
      </c>
      <c r="E300">
        <v>71.75</v>
      </c>
      <c r="F300">
        <v>6.8459000000000003</v>
      </c>
      <c r="G300">
        <v>7.9768999999999997</v>
      </c>
      <c r="H300">
        <v>19082</v>
      </c>
      <c r="I300">
        <v>9.8565000000000005</v>
      </c>
      <c r="J300">
        <v>14.8</v>
      </c>
      <c r="K300">
        <v>0</v>
      </c>
      <c r="L300">
        <v>1</v>
      </c>
      <c r="M300">
        <v>93.391000000000005</v>
      </c>
      <c r="N300">
        <v>6654</v>
      </c>
      <c r="O300">
        <v>4059905</v>
      </c>
    </row>
    <row r="301" spans="2:15" x14ac:dyDescent="0.35">
      <c r="B301" t="s">
        <v>29</v>
      </c>
      <c r="C301">
        <v>2022</v>
      </c>
      <c r="D301">
        <v>22.69</v>
      </c>
      <c r="E301">
        <v>93.39</v>
      </c>
      <c r="F301">
        <v>6.8045999999999998</v>
      </c>
      <c r="G301">
        <v>8.2193000000000005</v>
      </c>
      <c r="H301">
        <v>21661</v>
      </c>
      <c r="I301">
        <v>9.9832999999999998</v>
      </c>
      <c r="J301">
        <v>12</v>
      </c>
      <c r="K301">
        <v>0</v>
      </c>
      <c r="L301">
        <v>0</v>
      </c>
      <c r="M301">
        <v>93.391000000000005</v>
      </c>
      <c r="N301">
        <v>10366</v>
      </c>
      <c r="O301">
        <v>3974687</v>
      </c>
    </row>
    <row r="302" spans="2:15" x14ac:dyDescent="0.35">
      <c r="B302" t="s">
        <v>29</v>
      </c>
      <c r="C302">
        <v>2023</v>
      </c>
      <c r="D302">
        <v>22.54</v>
      </c>
      <c r="E302">
        <v>0.1</v>
      </c>
      <c r="F302">
        <v>6.7979000000000003</v>
      </c>
      <c r="G302">
        <v>1.3863000000000001</v>
      </c>
      <c r="H302">
        <v>24395</v>
      </c>
      <c r="I302">
        <v>10.1021</v>
      </c>
      <c r="J302">
        <v>10.1</v>
      </c>
      <c r="K302">
        <v>1</v>
      </c>
      <c r="L302">
        <v>0</v>
      </c>
      <c r="M302">
        <v>93.391000000000005</v>
      </c>
      <c r="N302">
        <v>10370</v>
      </c>
      <c r="O302">
        <v>3974687</v>
      </c>
    </row>
    <row r="303" spans="2:15" x14ac:dyDescent="0.35">
      <c r="B303" t="s">
        <v>29</v>
      </c>
      <c r="C303">
        <v>2024</v>
      </c>
      <c r="D303">
        <v>21.52</v>
      </c>
      <c r="E303">
        <v>13.05</v>
      </c>
      <c r="F303">
        <v>6.7934999999999999</v>
      </c>
      <c r="G303">
        <v>6.2934000000000001</v>
      </c>
      <c r="H303">
        <v>25683</v>
      </c>
      <c r="I303">
        <v>10.153600000000001</v>
      </c>
      <c r="J303">
        <v>8.6999999999999993</v>
      </c>
      <c r="K303">
        <v>1</v>
      </c>
      <c r="L303">
        <v>0</v>
      </c>
      <c r="M303">
        <v>93.391000000000005</v>
      </c>
      <c r="N303">
        <v>10911</v>
      </c>
      <c r="O303">
        <v>4145040</v>
      </c>
    </row>
    <row r="304" spans="2:15" x14ac:dyDescent="0.35">
      <c r="B304" t="s">
        <v>30</v>
      </c>
      <c r="C304">
        <v>2005</v>
      </c>
      <c r="D304">
        <v>41.5</v>
      </c>
      <c r="E304">
        <v>0.4</v>
      </c>
      <c r="F304">
        <v>8.1582000000000008</v>
      </c>
      <c r="G304">
        <v>3.5264000000000002</v>
      </c>
      <c r="H304">
        <v>5933</v>
      </c>
      <c r="I304">
        <v>8.6882999999999999</v>
      </c>
      <c r="J304">
        <v>12.69</v>
      </c>
      <c r="K304">
        <v>0</v>
      </c>
      <c r="L304">
        <v>0</v>
      </c>
      <c r="M304">
        <v>91.699600000000004</v>
      </c>
      <c r="N304">
        <v>34</v>
      </c>
      <c r="O304">
        <v>8413593</v>
      </c>
    </row>
    <row r="305" spans="2:15" x14ac:dyDescent="0.35">
      <c r="B305" t="s">
        <v>30</v>
      </c>
      <c r="C305">
        <v>2006</v>
      </c>
      <c r="D305">
        <v>42.27</v>
      </c>
      <c r="E305">
        <v>7.0000000000000007E-2</v>
      </c>
      <c r="F305">
        <v>8.1869999999999994</v>
      </c>
      <c r="G305">
        <v>1.7918000000000001</v>
      </c>
      <c r="H305">
        <v>6527</v>
      </c>
      <c r="I305">
        <v>8.7836999999999996</v>
      </c>
      <c r="J305">
        <v>11.3</v>
      </c>
      <c r="K305">
        <v>0</v>
      </c>
      <c r="L305">
        <v>0</v>
      </c>
      <c r="M305">
        <v>91.699600000000004</v>
      </c>
      <c r="N305">
        <v>40</v>
      </c>
      <c r="O305">
        <v>8502603</v>
      </c>
    </row>
    <row r="306" spans="2:15" x14ac:dyDescent="0.35">
      <c r="B306" t="s">
        <v>30</v>
      </c>
      <c r="C306">
        <v>2007</v>
      </c>
      <c r="D306">
        <v>43.68</v>
      </c>
      <c r="E306">
        <v>0.06</v>
      </c>
      <c r="F306">
        <v>8.218</v>
      </c>
      <c r="G306">
        <v>1.6093999999999999</v>
      </c>
      <c r="H306">
        <v>7336</v>
      </c>
      <c r="I306">
        <v>8.9004999999999992</v>
      </c>
      <c r="J306">
        <v>12.98</v>
      </c>
      <c r="K306">
        <v>0</v>
      </c>
      <c r="L306">
        <v>0</v>
      </c>
      <c r="M306">
        <v>91.699600000000004</v>
      </c>
      <c r="N306">
        <v>45</v>
      </c>
      <c r="O306">
        <v>8486638</v>
      </c>
    </row>
    <row r="307" spans="2:15" x14ac:dyDescent="0.35">
      <c r="B307" t="s">
        <v>30</v>
      </c>
      <c r="C307">
        <v>2008</v>
      </c>
      <c r="D307">
        <v>39.35</v>
      </c>
      <c r="E307">
        <v>0.11</v>
      </c>
      <c r="F307">
        <v>8.1424000000000003</v>
      </c>
      <c r="G307">
        <v>2.3026</v>
      </c>
      <c r="H307">
        <v>8065</v>
      </c>
      <c r="I307">
        <v>8.9953000000000003</v>
      </c>
      <c r="J307">
        <v>10.74</v>
      </c>
      <c r="K307">
        <v>0</v>
      </c>
      <c r="L307">
        <v>0</v>
      </c>
      <c r="M307">
        <v>91.699600000000004</v>
      </c>
      <c r="N307">
        <v>55</v>
      </c>
      <c r="O307">
        <v>8734196</v>
      </c>
    </row>
    <row r="308" spans="2:15" x14ac:dyDescent="0.35">
      <c r="B308" t="s">
        <v>30</v>
      </c>
      <c r="C308">
        <v>2009</v>
      </c>
      <c r="D308">
        <v>35.25</v>
      </c>
      <c r="E308">
        <v>0.25</v>
      </c>
      <c r="F308">
        <v>8.0411000000000001</v>
      </c>
      <c r="G308">
        <v>3.0910000000000002</v>
      </c>
      <c r="H308">
        <v>8902</v>
      </c>
      <c r="I308">
        <v>9.0939999999999994</v>
      </c>
      <c r="J308">
        <v>13.09</v>
      </c>
      <c r="K308">
        <v>0</v>
      </c>
      <c r="L308">
        <v>0</v>
      </c>
      <c r="M308">
        <v>91.699600000000004</v>
      </c>
      <c r="N308">
        <v>77</v>
      </c>
      <c r="O308">
        <v>8810256</v>
      </c>
    </row>
    <row r="309" spans="2:15" x14ac:dyDescent="0.35">
      <c r="B309" t="s">
        <v>30</v>
      </c>
      <c r="C309">
        <v>2010</v>
      </c>
      <c r="D309">
        <v>29.9</v>
      </c>
      <c r="E309">
        <v>0.45</v>
      </c>
      <c r="F309">
        <v>7.8746999999999998</v>
      </c>
      <c r="G309">
        <v>3.6888999999999998</v>
      </c>
      <c r="H309">
        <v>11049</v>
      </c>
      <c r="I309">
        <v>9.3101000000000003</v>
      </c>
      <c r="J309">
        <v>11.31</v>
      </c>
      <c r="K309">
        <v>0</v>
      </c>
      <c r="L309">
        <v>0</v>
      </c>
      <c r="M309">
        <v>91.699600000000004</v>
      </c>
      <c r="N309">
        <v>117</v>
      </c>
      <c r="O309">
        <v>8796448</v>
      </c>
    </row>
    <row r="310" spans="2:15" x14ac:dyDescent="0.35">
      <c r="B310" t="s">
        <v>30</v>
      </c>
      <c r="C310">
        <v>2011</v>
      </c>
      <c r="D310">
        <v>28.57</v>
      </c>
      <c r="E310">
        <v>1.1599999999999999</v>
      </c>
      <c r="F310">
        <v>7.8372000000000002</v>
      </c>
      <c r="G310">
        <v>4.6346999999999996</v>
      </c>
      <c r="H310">
        <v>12427</v>
      </c>
      <c r="I310">
        <v>9.4276</v>
      </c>
      <c r="J310">
        <v>9.5399999999999991</v>
      </c>
      <c r="K310">
        <v>0</v>
      </c>
      <c r="L310">
        <v>0</v>
      </c>
      <c r="M310">
        <v>91.699600000000004</v>
      </c>
      <c r="N310">
        <v>220</v>
      </c>
      <c r="O310">
        <v>8864906</v>
      </c>
    </row>
    <row r="311" spans="2:15" x14ac:dyDescent="0.35">
      <c r="B311" t="s">
        <v>30</v>
      </c>
      <c r="C311">
        <v>2012</v>
      </c>
      <c r="D311">
        <v>27.62</v>
      </c>
      <c r="E311">
        <v>0.99</v>
      </c>
      <c r="F311">
        <v>7.8108000000000004</v>
      </c>
      <c r="G311">
        <v>4.4772999999999996</v>
      </c>
      <c r="H311">
        <v>14331</v>
      </c>
      <c r="I311">
        <v>9.5701999999999998</v>
      </c>
      <c r="J311">
        <v>10.29</v>
      </c>
      <c r="K311">
        <v>0</v>
      </c>
      <c r="L311">
        <v>0</v>
      </c>
      <c r="M311">
        <v>91.699600000000004</v>
      </c>
      <c r="N311">
        <v>308</v>
      </c>
      <c r="O311">
        <v>8931028</v>
      </c>
    </row>
    <row r="312" spans="2:15" x14ac:dyDescent="0.35">
      <c r="B312" t="s">
        <v>30</v>
      </c>
      <c r="C312">
        <v>2013</v>
      </c>
      <c r="D312">
        <v>24.99</v>
      </c>
      <c r="E312">
        <v>0.5</v>
      </c>
      <c r="F312">
        <v>7.7411000000000003</v>
      </c>
      <c r="G312">
        <v>3.8285999999999998</v>
      </c>
      <c r="H312">
        <v>15328</v>
      </c>
      <c r="I312">
        <v>9.6373999999999995</v>
      </c>
      <c r="J312">
        <v>9.09</v>
      </c>
      <c r="K312">
        <v>0</v>
      </c>
      <c r="L312">
        <v>0</v>
      </c>
      <c r="M312">
        <v>91.699600000000004</v>
      </c>
      <c r="N312">
        <v>354</v>
      </c>
      <c r="O312">
        <v>9208550</v>
      </c>
    </row>
    <row r="313" spans="2:15" x14ac:dyDescent="0.35">
      <c r="B313" t="s">
        <v>30</v>
      </c>
      <c r="C313">
        <v>2014</v>
      </c>
      <c r="D313">
        <v>27.41</v>
      </c>
      <c r="E313">
        <v>0.43</v>
      </c>
      <c r="F313">
        <v>7.8411</v>
      </c>
      <c r="G313">
        <v>3.6888999999999998</v>
      </c>
      <c r="H313">
        <v>16722</v>
      </c>
      <c r="I313">
        <v>9.7245000000000008</v>
      </c>
      <c r="J313">
        <v>9.4700000000000006</v>
      </c>
      <c r="K313">
        <v>0</v>
      </c>
      <c r="L313">
        <v>0</v>
      </c>
      <c r="M313">
        <v>91.699600000000004</v>
      </c>
      <c r="N313">
        <v>394</v>
      </c>
      <c r="O313">
        <v>9277727</v>
      </c>
    </row>
    <row r="314" spans="2:15" x14ac:dyDescent="0.35">
      <c r="B314" t="s">
        <v>30</v>
      </c>
      <c r="C314">
        <v>2015</v>
      </c>
      <c r="D314">
        <v>32.880000000000003</v>
      </c>
      <c r="E314">
        <v>0.11</v>
      </c>
      <c r="F314">
        <v>8.0304000000000002</v>
      </c>
      <c r="G314">
        <v>2.3026</v>
      </c>
      <c r="H314">
        <v>16796</v>
      </c>
      <c r="I314">
        <v>9.7288999999999994</v>
      </c>
      <c r="J314">
        <v>9.9</v>
      </c>
      <c r="K314">
        <v>0</v>
      </c>
      <c r="L314">
        <v>0</v>
      </c>
      <c r="M314">
        <v>91.699600000000004</v>
      </c>
      <c r="N314">
        <v>404</v>
      </c>
      <c r="O314">
        <v>9345173</v>
      </c>
    </row>
    <row r="315" spans="2:15" x14ac:dyDescent="0.35">
      <c r="B315" t="s">
        <v>30</v>
      </c>
      <c r="C315">
        <v>2016</v>
      </c>
      <c r="D315">
        <v>37.090000000000003</v>
      </c>
      <c r="E315">
        <v>1.33</v>
      </c>
      <c r="F315">
        <v>8.1577000000000002</v>
      </c>
      <c r="G315">
        <v>4.8282999999999996</v>
      </c>
      <c r="H315">
        <v>17783</v>
      </c>
      <c r="I315">
        <v>9.7859999999999996</v>
      </c>
      <c r="J315">
        <v>14.8</v>
      </c>
      <c r="K315">
        <v>0</v>
      </c>
      <c r="L315">
        <v>0</v>
      </c>
      <c r="M315">
        <v>91.699600000000004</v>
      </c>
      <c r="N315">
        <v>529</v>
      </c>
      <c r="O315">
        <v>9410336</v>
      </c>
    </row>
    <row r="316" spans="2:15" x14ac:dyDescent="0.35">
      <c r="B316" t="s">
        <v>30</v>
      </c>
      <c r="C316">
        <v>2017</v>
      </c>
      <c r="D316">
        <v>47.45</v>
      </c>
      <c r="E316">
        <v>3.02</v>
      </c>
      <c r="F316">
        <v>8.4107000000000003</v>
      </c>
      <c r="G316">
        <v>5.6559999999999997</v>
      </c>
      <c r="H316">
        <v>19171</v>
      </c>
      <c r="I316">
        <v>9.8612000000000002</v>
      </c>
      <c r="J316">
        <v>17.899999999999999</v>
      </c>
      <c r="K316">
        <v>0</v>
      </c>
      <c r="L316">
        <v>0</v>
      </c>
      <c r="M316">
        <v>91.699600000000004</v>
      </c>
      <c r="N316">
        <v>815</v>
      </c>
      <c r="O316">
        <v>9473266</v>
      </c>
    </row>
    <row r="317" spans="2:15" x14ac:dyDescent="0.35">
      <c r="B317" t="s">
        <v>30</v>
      </c>
      <c r="C317">
        <v>2018</v>
      </c>
      <c r="D317">
        <v>35.57</v>
      </c>
      <c r="E317">
        <v>4.04</v>
      </c>
      <c r="F317">
        <v>8.125</v>
      </c>
      <c r="G317">
        <v>5.9505999999999997</v>
      </c>
      <c r="H317">
        <v>19624</v>
      </c>
      <c r="I317">
        <v>9.8844999999999992</v>
      </c>
      <c r="J317">
        <v>16.899999999999999</v>
      </c>
      <c r="K317">
        <v>0</v>
      </c>
      <c r="L317">
        <v>0</v>
      </c>
      <c r="M317">
        <v>91.699600000000004</v>
      </c>
      <c r="N317">
        <v>1199</v>
      </c>
      <c r="O317">
        <v>9496294</v>
      </c>
    </row>
    <row r="318" spans="2:15" x14ac:dyDescent="0.35">
      <c r="B318" t="s">
        <v>30</v>
      </c>
      <c r="C318">
        <v>2019</v>
      </c>
      <c r="D318">
        <v>28.24</v>
      </c>
      <c r="E318">
        <v>20.59</v>
      </c>
      <c r="F318">
        <v>7.9005999999999998</v>
      </c>
      <c r="G318">
        <v>7.5848000000000004</v>
      </c>
      <c r="H318">
        <v>20702</v>
      </c>
      <c r="I318">
        <v>9.9380000000000006</v>
      </c>
      <c r="J318">
        <v>15.7</v>
      </c>
      <c r="K318">
        <v>0</v>
      </c>
      <c r="L318">
        <v>0</v>
      </c>
      <c r="M318">
        <v>91.699600000000004</v>
      </c>
      <c r="N318">
        <v>3167</v>
      </c>
      <c r="O318">
        <v>9557071</v>
      </c>
    </row>
    <row r="319" spans="2:15" x14ac:dyDescent="0.35">
      <c r="B319" t="s">
        <v>30</v>
      </c>
      <c r="C319">
        <v>2020</v>
      </c>
      <c r="D319">
        <v>31.85</v>
      </c>
      <c r="E319">
        <v>39.15</v>
      </c>
      <c r="F319">
        <v>8.0272000000000006</v>
      </c>
      <c r="G319">
        <v>8.2334999999999994</v>
      </c>
      <c r="H319">
        <v>20101</v>
      </c>
      <c r="I319">
        <v>9.9085000000000001</v>
      </c>
      <c r="J319">
        <v>17.2</v>
      </c>
      <c r="K319">
        <v>0</v>
      </c>
      <c r="L319">
        <v>1</v>
      </c>
      <c r="M319">
        <v>91.699600000000004</v>
      </c>
      <c r="N319">
        <v>6932</v>
      </c>
      <c r="O319">
        <v>9616621</v>
      </c>
    </row>
    <row r="320" spans="2:15" x14ac:dyDescent="0.35">
      <c r="B320" t="s">
        <v>30</v>
      </c>
      <c r="C320">
        <v>2021</v>
      </c>
      <c r="D320">
        <v>28.87</v>
      </c>
      <c r="E320">
        <v>65.48</v>
      </c>
      <c r="F320">
        <v>7.9348999999999998</v>
      </c>
      <c r="G320">
        <v>8.7538</v>
      </c>
      <c r="H320">
        <v>22824</v>
      </c>
      <c r="I320">
        <v>10.035600000000001</v>
      </c>
      <c r="J320">
        <v>19.899999999999999</v>
      </c>
      <c r="K320">
        <v>0</v>
      </c>
      <c r="L320">
        <v>1</v>
      </c>
      <c r="M320">
        <v>91.699600000000004</v>
      </c>
      <c r="N320">
        <v>13267</v>
      </c>
      <c r="O320">
        <v>9674793</v>
      </c>
    </row>
    <row r="321" spans="2:15" x14ac:dyDescent="0.35">
      <c r="B321" t="s">
        <v>30</v>
      </c>
      <c r="C321">
        <v>2022</v>
      </c>
      <c r="D321">
        <v>30.53</v>
      </c>
      <c r="E321">
        <v>91.7</v>
      </c>
      <c r="F321">
        <v>7.9252000000000002</v>
      </c>
      <c r="G321">
        <v>9.0249000000000006</v>
      </c>
      <c r="H321">
        <v>27137</v>
      </c>
      <c r="I321">
        <v>10.2087</v>
      </c>
      <c r="J321">
        <v>14.2</v>
      </c>
      <c r="K321">
        <v>0</v>
      </c>
      <c r="L321">
        <v>0</v>
      </c>
      <c r="M321">
        <v>91.699600000000004</v>
      </c>
      <c r="N321">
        <v>21574</v>
      </c>
      <c r="O321">
        <v>9058931</v>
      </c>
    </row>
    <row r="322" spans="2:15" x14ac:dyDescent="0.35">
      <c r="B322" t="s">
        <v>30</v>
      </c>
      <c r="C322">
        <v>2023</v>
      </c>
      <c r="D322">
        <v>33.08</v>
      </c>
      <c r="E322">
        <v>0.11</v>
      </c>
      <c r="F322">
        <v>8.0053999999999998</v>
      </c>
      <c r="G322">
        <v>2.3026</v>
      </c>
      <c r="H322">
        <v>29857</v>
      </c>
      <c r="I322">
        <v>10.3042</v>
      </c>
      <c r="J322">
        <v>13.4</v>
      </c>
      <c r="K322">
        <v>1</v>
      </c>
      <c r="L322">
        <v>0</v>
      </c>
      <c r="M322">
        <v>91.699600000000004</v>
      </c>
      <c r="N322">
        <v>21584</v>
      </c>
      <c r="O322">
        <v>9058931</v>
      </c>
    </row>
    <row r="323" spans="2:15" x14ac:dyDescent="0.35">
      <c r="B323" t="s">
        <v>30</v>
      </c>
      <c r="C323">
        <v>2024</v>
      </c>
      <c r="D323">
        <v>29.09</v>
      </c>
      <c r="E323">
        <v>10.01</v>
      </c>
      <c r="F323">
        <v>7.9283999999999999</v>
      </c>
      <c r="G323">
        <v>6.8616999999999999</v>
      </c>
      <c r="H323">
        <v>30956</v>
      </c>
      <c r="I323">
        <v>10.340299999999999</v>
      </c>
      <c r="J323">
        <v>11.1</v>
      </c>
      <c r="K323">
        <v>1</v>
      </c>
      <c r="L323">
        <v>0</v>
      </c>
      <c r="M323">
        <v>91.699600000000004</v>
      </c>
      <c r="N323">
        <v>22539</v>
      </c>
      <c r="O323">
        <v>9539029</v>
      </c>
    </row>
    <row r="324" spans="2:15" x14ac:dyDescent="0.35">
      <c r="B324" t="s">
        <v>31</v>
      </c>
      <c r="C324">
        <v>2005</v>
      </c>
      <c r="D324">
        <v>5.19</v>
      </c>
      <c r="E324">
        <v>0</v>
      </c>
      <c r="F324">
        <v>5.0499000000000001</v>
      </c>
      <c r="H324">
        <v>3701</v>
      </c>
      <c r="I324">
        <v>8.2164000000000001</v>
      </c>
      <c r="J324">
        <v>6.83</v>
      </c>
      <c r="K324">
        <v>0</v>
      </c>
      <c r="L324">
        <v>0</v>
      </c>
      <c r="M324">
        <v>43.592599999999997</v>
      </c>
      <c r="N324">
        <v>0</v>
      </c>
      <c r="O324">
        <v>3006885</v>
      </c>
    </row>
    <row r="325" spans="2:15" x14ac:dyDescent="0.35">
      <c r="B325" t="s">
        <v>31</v>
      </c>
      <c r="C325">
        <v>2006</v>
      </c>
      <c r="D325">
        <v>6.62</v>
      </c>
      <c r="E325">
        <v>7.0000000000000007E-2</v>
      </c>
      <c r="F325">
        <v>5.3033000000000001</v>
      </c>
      <c r="G325">
        <v>0.69310000000000005</v>
      </c>
      <c r="H325">
        <v>4212</v>
      </c>
      <c r="I325">
        <v>8.3457000000000008</v>
      </c>
      <c r="J325">
        <v>5.25</v>
      </c>
      <c r="K325">
        <v>0</v>
      </c>
      <c r="L325">
        <v>0</v>
      </c>
      <c r="M325">
        <v>43.592599999999997</v>
      </c>
      <c r="N325">
        <v>2</v>
      </c>
      <c r="O325">
        <v>3036290</v>
      </c>
    </row>
    <row r="326" spans="2:15" x14ac:dyDescent="0.35">
      <c r="B326" t="s">
        <v>31</v>
      </c>
      <c r="C326">
        <v>2007</v>
      </c>
      <c r="D326">
        <v>6.46</v>
      </c>
      <c r="E326">
        <v>0.1</v>
      </c>
      <c r="F326">
        <v>5.2781000000000002</v>
      </c>
      <c r="G326">
        <v>1.0986</v>
      </c>
      <c r="H326">
        <v>4662</v>
      </c>
      <c r="I326">
        <v>8.4472000000000005</v>
      </c>
      <c r="J326">
        <v>4.6100000000000003</v>
      </c>
      <c r="K326">
        <v>0</v>
      </c>
      <c r="L326">
        <v>0</v>
      </c>
      <c r="M326">
        <v>43.592599999999997</v>
      </c>
      <c r="N326">
        <v>5</v>
      </c>
      <c r="O326">
        <v>3032435</v>
      </c>
    </row>
    <row r="327" spans="2:15" x14ac:dyDescent="0.35">
      <c r="B327" t="s">
        <v>31</v>
      </c>
      <c r="C327">
        <v>2008</v>
      </c>
      <c r="D327">
        <v>5.43</v>
      </c>
      <c r="E327">
        <v>0</v>
      </c>
      <c r="F327">
        <v>5.1299000000000001</v>
      </c>
      <c r="H327">
        <v>5386</v>
      </c>
      <c r="I327">
        <v>8.5915999999999997</v>
      </c>
      <c r="J327">
        <v>5.01</v>
      </c>
      <c r="K327">
        <v>0</v>
      </c>
      <c r="L327">
        <v>0</v>
      </c>
      <c r="M327">
        <v>43.592599999999997</v>
      </c>
      <c r="N327">
        <v>5</v>
      </c>
      <c r="O327">
        <v>3111881</v>
      </c>
    </row>
    <row r="328" spans="2:15" x14ac:dyDescent="0.35">
      <c r="B328" t="s">
        <v>31</v>
      </c>
      <c r="C328">
        <v>2009</v>
      </c>
      <c r="D328">
        <v>6.1</v>
      </c>
      <c r="E328">
        <v>0.06</v>
      </c>
      <c r="F328">
        <v>5.2575000000000003</v>
      </c>
      <c r="G328">
        <v>0.69310000000000005</v>
      </c>
      <c r="H328">
        <v>6051</v>
      </c>
      <c r="I328">
        <v>8.7080000000000002</v>
      </c>
      <c r="J328">
        <v>5.21</v>
      </c>
      <c r="K328">
        <v>0</v>
      </c>
      <c r="L328">
        <v>0</v>
      </c>
      <c r="M328">
        <v>43.592599999999997</v>
      </c>
      <c r="N328">
        <v>7</v>
      </c>
      <c r="O328">
        <v>3145325</v>
      </c>
    </row>
    <row r="329" spans="2:15" x14ac:dyDescent="0.35">
      <c r="B329" t="s">
        <v>31</v>
      </c>
      <c r="C329">
        <v>2010</v>
      </c>
      <c r="D329">
        <v>7.05</v>
      </c>
      <c r="E329">
        <v>0.13</v>
      </c>
      <c r="F329">
        <v>5.3936000000000002</v>
      </c>
      <c r="G329">
        <v>1.3863000000000001</v>
      </c>
      <c r="H329">
        <v>7141</v>
      </c>
      <c r="I329">
        <v>8.8735999999999997</v>
      </c>
      <c r="J329">
        <v>6.12</v>
      </c>
      <c r="K329">
        <v>0</v>
      </c>
      <c r="L329">
        <v>0</v>
      </c>
      <c r="M329">
        <v>43.592599999999997</v>
      </c>
      <c r="N329">
        <v>11</v>
      </c>
      <c r="O329">
        <v>3118360</v>
      </c>
    </row>
    <row r="330" spans="2:15" x14ac:dyDescent="0.35">
      <c r="B330" t="s">
        <v>31</v>
      </c>
      <c r="C330">
        <v>2011</v>
      </c>
      <c r="D330">
        <v>8.41</v>
      </c>
      <c r="E330">
        <v>0.22</v>
      </c>
      <c r="F330">
        <v>5.5758999999999999</v>
      </c>
      <c r="G330">
        <v>1.9459</v>
      </c>
      <c r="H330">
        <v>8261</v>
      </c>
      <c r="I330">
        <v>9.0192999999999994</v>
      </c>
      <c r="J330">
        <v>7.04</v>
      </c>
      <c r="K330">
        <v>0</v>
      </c>
      <c r="L330">
        <v>0</v>
      </c>
      <c r="M330">
        <v>43.592599999999997</v>
      </c>
      <c r="N330">
        <v>18</v>
      </c>
      <c r="O330">
        <v>3140328</v>
      </c>
    </row>
    <row r="331" spans="2:15" x14ac:dyDescent="0.35">
      <c r="B331" t="s">
        <v>31</v>
      </c>
      <c r="C331">
        <v>2012</v>
      </c>
      <c r="D331">
        <v>10.16</v>
      </c>
      <c r="E331">
        <v>0.19</v>
      </c>
      <c r="F331">
        <v>5.7713999999999999</v>
      </c>
      <c r="G331">
        <v>1.7918000000000001</v>
      </c>
      <c r="H331">
        <v>9060</v>
      </c>
      <c r="I331">
        <v>9.1115999999999993</v>
      </c>
      <c r="J331">
        <v>5.62</v>
      </c>
      <c r="K331">
        <v>0</v>
      </c>
      <c r="L331">
        <v>0</v>
      </c>
      <c r="M331">
        <v>43.592599999999997</v>
      </c>
      <c r="N331">
        <v>24</v>
      </c>
      <c r="O331">
        <v>3160748</v>
      </c>
    </row>
    <row r="332" spans="2:15" x14ac:dyDescent="0.35">
      <c r="B332" t="s">
        <v>31</v>
      </c>
      <c r="C332">
        <v>2013</v>
      </c>
      <c r="D332">
        <v>11.71</v>
      </c>
      <c r="E332">
        <v>0.22</v>
      </c>
      <c r="F332">
        <v>5.9215999999999998</v>
      </c>
      <c r="G332">
        <v>1.9459</v>
      </c>
      <c r="H332">
        <v>9825</v>
      </c>
      <c r="I332">
        <v>9.1927000000000003</v>
      </c>
      <c r="J332">
        <v>6.99</v>
      </c>
      <c r="K332">
        <v>0</v>
      </c>
      <c r="L332">
        <v>0</v>
      </c>
      <c r="M332">
        <v>43.592599999999997</v>
      </c>
      <c r="N332">
        <v>31</v>
      </c>
      <c r="O332">
        <v>3184166</v>
      </c>
    </row>
    <row r="333" spans="2:15" x14ac:dyDescent="0.35">
      <c r="B333" t="s">
        <v>31</v>
      </c>
      <c r="C333">
        <v>2014</v>
      </c>
      <c r="D333">
        <v>14.27</v>
      </c>
      <c r="E333">
        <v>0.22</v>
      </c>
      <c r="F333">
        <v>6.1224999999999996</v>
      </c>
      <c r="G333">
        <v>1.9459</v>
      </c>
      <c r="H333">
        <v>11808</v>
      </c>
      <c r="I333">
        <v>9.3765000000000001</v>
      </c>
      <c r="J333">
        <v>6.01</v>
      </c>
      <c r="K333">
        <v>0</v>
      </c>
      <c r="L333">
        <v>0</v>
      </c>
      <c r="M333">
        <v>43.592599999999997</v>
      </c>
      <c r="N333">
        <v>38</v>
      </c>
      <c r="O333">
        <v>3194718</v>
      </c>
    </row>
    <row r="334" spans="2:15" x14ac:dyDescent="0.35">
      <c r="B334" t="s">
        <v>31</v>
      </c>
      <c r="C334">
        <v>2015</v>
      </c>
      <c r="D334">
        <v>12.67</v>
      </c>
      <c r="E334">
        <v>0.25</v>
      </c>
      <c r="F334">
        <v>6.0064000000000002</v>
      </c>
      <c r="G334">
        <v>2.0794000000000001</v>
      </c>
      <c r="H334">
        <v>12219</v>
      </c>
      <c r="I334">
        <v>9.4107000000000003</v>
      </c>
      <c r="J334">
        <v>7.7</v>
      </c>
      <c r="K334">
        <v>0</v>
      </c>
      <c r="L334">
        <v>0</v>
      </c>
      <c r="M334">
        <v>43.592599999999997</v>
      </c>
      <c r="N334">
        <v>46</v>
      </c>
      <c r="O334">
        <v>3204028</v>
      </c>
    </row>
    <row r="335" spans="2:15" x14ac:dyDescent="0.35">
      <c r="B335" t="s">
        <v>31</v>
      </c>
      <c r="C335">
        <v>2016</v>
      </c>
      <c r="D335">
        <v>13.95</v>
      </c>
      <c r="E335">
        <v>1.1499999999999999</v>
      </c>
      <c r="F335">
        <v>6.1048</v>
      </c>
      <c r="G335">
        <v>3.6109</v>
      </c>
      <c r="H335">
        <v>12894</v>
      </c>
      <c r="I335">
        <v>9.4644999999999992</v>
      </c>
      <c r="J335">
        <v>9.6</v>
      </c>
      <c r="K335">
        <v>0</v>
      </c>
      <c r="L335">
        <v>0</v>
      </c>
      <c r="M335">
        <v>43.592599999999997</v>
      </c>
      <c r="N335">
        <v>83</v>
      </c>
      <c r="O335">
        <v>3212180</v>
      </c>
    </row>
    <row r="336" spans="2:15" x14ac:dyDescent="0.35">
      <c r="B336" t="s">
        <v>31</v>
      </c>
      <c r="C336">
        <v>2017</v>
      </c>
      <c r="D336">
        <v>11.96</v>
      </c>
      <c r="E336">
        <v>3.48</v>
      </c>
      <c r="F336">
        <v>5.9531999999999998</v>
      </c>
      <c r="G336">
        <v>4.7184999999999997</v>
      </c>
      <c r="H336">
        <v>14092</v>
      </c>
      <c r="I336">
        <v>9.5533999999999999</v>
      </c>
      <c r="J336">
        <v>13</v>
      </c>
      <c r="K336">
        <v>0</v>
      </c>
      <c r="L336">
        <v>0</v>
      </c>
      <c r="M336">
        <v>43.592599999999997</v>
      </c>
      <c r="N336">
        <v>195</v>
      </c>
      <c r="O336">
        <v>3219257</v>
      </c>
    </row>
    <row r="337" spans="2:15" x14ac:dyDescent="0.35">
      <c r="B337" t="s">
        <v>31</v>
      </c>
      <c r="C337">
        <v>2018</v>
      </c>
      <c r="D337">
        <v>11.79</v>
      </c>
      <c r="E337">
        <v>3.95</v>
      </c>
      <c r="F337">
        <v>5.9531999999999998</v>
      </c>
      <c r="G337">
        <v>4.8597999999999999</v>
      </c>
      <c r="H337">
        <v>15432</v>
      </c>
      <c r="I337">
        <v>9.6441999999999997</v>
      </c>
      <c r="J337">
        <v>12.9</v>
      </c>
      <c r="K337">
        <v>0</v>
      </c>
      <c r="L337">
        <v>0</v>
      </c>
      <c r="M337">
        <v>43.592599999999997</v>
      </c>
      <c r="N337">
        <v>324</v>
      </c>
      <c r="O337">
        <v>3264531</v>
      </c>
    </row>
    <row r="338" spans="2:15" x14ac:dyDescent="0.35">
      <c r="B338" t="s">
        <v>31</v>
      </c>
      <c r="C338">
        <v>2019</v>
      </c>
      <c r="D338">
        <v>10.75</v>
      </c>
      <c r="E338">
        <v>8.8000000000000007</v>
      </c>
      <c r="F338">
        <v>5.8635999999999999</v>
      </c>
      <c r="G338">
        <v>5.6630000000000003</v>
      </c>
      <c r="H338">
        <v>16125</v>
      </c>
      <c r="I338">
        <v>9.6881000000000004</v>
      </c>
      <c r="J338">
        <v>13</v>
      </c>
      <c r="K338">
        <v>0</v>
      </c>
      <c r="L338">
        <v>0</v>
      </c>
      <c r="M338">
        <v>43.592599999999997</v>
      </c>
      <c r="N338">
        <v>612</v>
      </c>
      <c r="O338">
        <v>3273227</v>
      </c>
    </row>
    <row r="339" spans="2:15" x14ac:dyDescent="0.35">
      <c r="B339" t="s">
        <v>31</v>
      </c>
      <c r="C339">
        <v>2020</v>
      </c>
      <c r="D339">
        <v>13.9</v>
      </c>
      <c r="E339">
        <v>14.08</v>
      </c>
      <c r="F339">
        <v>6.1224999999999996</v>
      </c>
      <c r="G339">
        <v>6.1356000000000002</v>
      </c>
      <c r="H339">
        <v>17185</v>
      </c>
      <c r="I339">
        <v>9.7517999999999994</v>
      </c>
      <c r="J339">
        <v>13.3</v>
      </c>
      <c r="K339">
        <v>0</v>
      </c>
      <c r="L339">
        <v>1</v>
      </c>
      <c r="M339">
        <v>43.592599999999997</v>
      </c>
      <c r="N339">
        <v>1074</v>
      </c>
      <c r="O339">
        <v>3281480</v>
      </c>
    </row>
    <row r="340" spans="2:15" x14ac:dyDescent="0.35">
      <c r="B340" t="s">
        <v>31</v>
      </c>
      <c r="C340">
        <v>2021</v>
      </c>
      <c r="D340">
        <v>17.21</v>
      </c>
      <c r="E340">
        <v>36.76</v>
      </c>
      <c r="F340">
        <v>6.3385999999999996</v>
      </c>
      <c r="G340">
        <v>7.0975000000000001</v>
      </c>
      <c r="H340">
        <v>19466</v>
      </c>
      <c r="I340">
        <v>9.8764000000000003</v>
      </c>
      <c r="J340">
        <v>13.6</v>
      </c>
      <c r="K340">
        <v>0</v>
      </c>
      <c r="L340">
        <v>1</v>
      </c>
      <c r="M340">
        <v>43.592599999999997</v>
      </c>
      <c r="N340">
        <v>2283</v>
      </c>
      <c r="O340">
        <v>3289290</v>
      </c>
    </row>
    <row r="341" spans="2:15" x14ac:dyDescent="0.35">
      <c r="B341" t="s">
        <v>31</v>
      </c>
      <c r="C341">
        <v>2022</v>
      </c>
      <c r="D341">
        <v>18.559999999999999</v>
      </c>
      <c r="E341">
        <v>43.59</v>
      </c>
      <c r="F341">
        <v>6.4085000000000001</v>
      </c>
      <c r="G341">
        <v>7.2625999999999999</v>
      </c>
      <c r="H341">
        <v>22265</v>
      </c>
      <c r="I341">
        <v>10.0108</v>
      </c>
      <c r="J341">
        <v>10.199999999999999</v>
      </c>
      <c r="K341">
        <v>0</v>
      </c>
      <c r="L341">
        <v>0</v>
      </c>
      <c r="M341">
        <v>43.592599999999997</v>
      </c>
      <c r="N341">
        <v>3709</v>
      </c>
      <c r="O341">
        <v>3271199</v>
      </c>
    </row>
    <row r="342" spans="2:15" x14ac:dyDescent="0.35">
      <c r="B342" t="s">
        <v>31</v>
      </c>
      <c r="C342">
        <v>2023</v>
      </c>
      <c r="D342">
        <v>15.99</v>
      </c>
      <c r="E342">
        <v>0</v>
      </c>
      <c r="F342">
        <v>6.2595999999999998</v>
      </c>
      <c r="H342">
        <v>24736</v>
      </c>
      <c r="I342">
        <v>10.116</v>
      </c>
      <c r="J342">
        <v>10.3</v>
      </c>
      <c r="K342">
        <v>1</v>
      </c>
      <c r="L342">
        <v>0</v>
      </c>
      <c r="M342">
        <v>43.592599999999997</v>
      </c>
      <c r="N342">
        <v>3709</v>
      </c>
      <c r="O342">
        <v>3271199</v>
      </c>
    </row>
    <row r="343" spans="2:15" x14ac:dyDescent="0.35">
      <c r="B343" t="s">
        <v>31</v>
      </c>
      <c r="C343">
        <v>2024</v>
      </c>
      <c r="D343">
        <v>14.31</v>
      </c>
      <c r="E343">
        <v>8.06</v>
      </c>
      <c r="F343">
        <v>6.18</v>
      </c>
      <c r="G343">
        <v>5.6058000000000003</v>
      </c>
      <c r="H343">
        <v>26337</v>
      </c>
      <c r="I343">
        <v>10.178699999999999</v>
      </c>
      <c r="J343">
        <v>8.5</v>
      </c>
      <c r="K343">
        <v>1</v>
      </c>
      <c r="L343">
        <v>0</v>
      </c>
      <c r="M343">
        <v>43.592599999999997</v>
      </c>
      <c r="N343">
        <v>3981</v>
      </c>
      <c r="O343">
        <v>3375646</v>
      </c>
    </row>
    <row r="344" spans="2:15" x14ac:dyDescent="0.35">
      <c r="B344" t="s">
        <v>32</v>
      </c>
      <c r="C344">
        <v>2005</v>
      </c>
      <c r="D344">
        <v>19.89</v>
      </c>
      <c r="E344">
        <v>0.79</v>
      </c>
      <c r="F344">
        <v>7.6212</v>
      </c>
      <c r="G344">
        <v>4.3944000000000001</v>
      </c>
      <c r="H344">
        <v>12344</v>
      </c>
      <c r="I344">
        <v>9.4208999999999996</v>
      </c>
      <c r="J344">
        <v>7.5</v>
      </c>
      <c r="K344">
        <v>0</v>
      </c>
      <c r="L344">
        <v>0</v>
      </c>
      <c r="M344">
        <v>339.46789999999999</v>
      </c>
      <c r="N344">
        <v>81</v>
      </c>
      <c r="O344">
        <v>10261856</v>
      </c>
    </row>
    <row r="345" spans="2:15" x14ac:dyDescent="0.35">
      <c r="B345" t="s">
        <v>32</v>
      </c>
      <c r="C345">
        <v>2006</v>
      </c>
      <c r="D345">
        <v>21.51</v>
      </c>
      <c r="E345">
        <v>0.71</v>
      </c>
      <c r="F345">
        <v>7.7115</v>
      </c>
      <c r="G345">
        <v>4.3041</v>
      </c>
      <c r="H345">
        <v>13152</v>
      </c>
      <c r="I345">
        <v>9.4842999999999993</v>
      </c>
      <c r="J345">
        <v>7.36</v>
      </c>
      <c r="K345">
        <v>0</v>
      </c>
      <c r="L345">
        <v>0</v>
      </c>
      <c r="M345">
        <v>339.46789999999999</v>
      </c>
      <c r="N345">
        <v>155</v>
      </c>
      <c r="O345">
        <v>10387378</v>
      </c>
    </row>
    <row r="346" spans="2:15" x14ac:dyDescent="0.35">
      <c r="B346" t="s">
        <v>32</v>
      </c>
      <c r="C346">
        <v>2007</v>
      </c>
      <c r="D346">
        <v>22.33</v>
      </c>
      <c r="E346">
        <v>0.6</v>
      </c>
      <c r="F346">
        <v>7.7393999999999998</v>
      </c>
      <c r="G346">
        <v>4.1271000000000004</v>
      </c>
      <c r="H346">
        <v>15711</v>
      </c>
      <c r="I346">
        <v>9.6621000000000006</v>
      </c>
      <c r="J346">
        <v>6.22</v>
      </c>
      <c r="K346">
        <v>0</v>
      </c>
      <c r="L346">
        <v>0</v>
      </c>
      <c r="M346">
        <v>339.46789999999999</v>
      </c>
      <c r="N346">
        <v>217</v>
      </c>
      <c r="O346">
        <v>10284503</v>
      </c>
    </row>
    <row r="347" spans="2:15" x14ac:dyDescent="0.35">
      <c r="B347" t="s">
        <v>32</v>
      </c>
      <c r="C347">
        <v>2008</v>
      </c>
      <c r="D347">
        <v>24.18</v>
      </c>
      <c r="E347">
        <v>1.65</v>
      </c>
      <c r="F347">
        <v>7.8482000000000003</v>
      </c>
      <c r="G347">
        <v>5.1647999999999996</v>
      </c>
      <c r="H347">
        <v>16927</v>
      </c>
      <c r="I347">
        <v>9.7367000000000008</v>
      </c>
      <c r="J347">
        <v>5</v>
      </c>
      <c r="K347">
        <v>0</v>
      </c>
      <c r="L347">
        <v>0</v>
      </c>
      <c r="M347">
        <v>339.46789999999999</v>
      </c>
      <c r="N347">
        <v>392</v>
      </c>
      <c r="O347">
        <v>10590171</v>
      </c>
    </row>
    <row r="348" spans="2:15" x14ac:dyDescent="0.35">
      <c r="B348" t="s">
        <v>32</v>
      </c>
      <c r="C348">
        <v>2009</v>
      </c>
      <c r="D348">
        <v>25.14</v>
      </c>
      <c r="E348">
        <v>1.8</v>
      </c>
      <c r="F348">
        <v>7.8958000000000004</v>
      </c>
      <c r="G348">
        <v>5.2575000000000003</v>
      </c>
      <c r="H348">
        <v>17779</v>
      </c>
      <c r="I348">
        <v>9.7858000000000001</v>
      </c>
      <c r="J348">
        <v>6.8</v>
      </c>
      <c r="K348">
        <v>0</v>
      </c>
      <c r="L348">
        <v>0</v>
      </c>
      <c r="M348">
        <v>339.46789999999999</v>
      </c>
      <c r="N348">
        <v>584</v>
      </c>
      <c r="O348">
        <v>10686247</v>
      </c>
    </row>
    <row r="349" spans="2:15" x14ac:dyDescent="0.35">
      <c r="B349" t="s">
        <v>32</v>
      </c>
      <c r="C349">
        <v>2010</v>
      </c>
      <c r="D349">
        <v>25.35</v>
      </c>
      <c r="E349">
        <v>2.0299999999999998</v>
      </c>
      <c r="F349">
        <v>7.8815999999999997</v>
      </c>
      <c r="G349">
        <v>5.3566000000000003</v>
      </c>
      <c r="H349">
        <v>21562</v>
      </c>
      <c r="I349">
        <v>9.9786999999999999</v>
      </c>
      <c r="J349">
        <v>5.89</v>
      </c>
      <c r="K349">
        <v>0</v>
      </c>
      <c r="L349">
        <v>0</v>
      </c>
      <c r="M349">
        <v>339.46789999999999</v>
      </c>
      <c r="N349">
        <v>796</v>
      </c>
      <c r="O349">
        <v>10444526</v>
      </c>
    </row>
    <row r="350" spans="2:15" x14ac:dyDescent="0.35">
      <c r="B350" t="s">
        <v>32</v>
      </c>
      <c r="C350">
        <v>2011</v>
      </c>
      <c r="D350">
        <v>22.64</v>
      </c>
      <c r="E350">
        <v>2.23</v>
      </c>
      <c r="F350">
        <v>7.7748999999999997</v>
      </c>
      <c r="G350">
        <v>5.4553000000000003</v>
      </c>
      <c r="H350">
        <v>24459</v>
      </c>
      <c r="I350">
        <v>10.104799999999999</v>
      </c>
      <c r="J350">
        <v>4.99</v>
      </c>
      <c r="K350">
        <v>0</v>
      </c>
      <c r="L350">
        <v>0</v>
      </c>
      <c r="M350">
        <v>339.46789999999999</v>
      </c>
      <c r="N350">
        <v>1030</v>
      </c>
      <c r="O350">
        <v>10512349</v>
      </c>
    </row>
    <row r="351" spans="2:15" x14ac:dyDescent="0.35">
      <c r="B351" t="s">
        <v>32</v>
      </c>
      <c r="C351">
        <v>2012</v>
      </c>
      <c r="D351">
        <v>23.08</v>
      </c>
      <c r="E351">
        <v>1.48</v>
      </c>
      <c r="F351">
        <v>7.8002000000000002</v>
      </c>
      <c r="G351">
        <v>5.0561999999999996</v>
      </c>
      <c r="H351">
        <v>27002</v>
      </c>
      <c r="I351">
        <v>10.2037</v>
      </c>
      <c r="J351">
        <v>4.88</v>
      </c>
      <c r="K351">
        <v>0</v>
      </c>
      <c r="L351">
        <v>0</v>
      </c>
      <c r="M351">
        <v>339.46789999999999</v>
      </c>
      <c r="N351">
        <v>1187</v>
      </c>
      <c r="O351">
        <v>10577755</v>
      </c>
    </row>
    <row r="352" spans="2:15" x14ac:dyDescent="0.35">
      <c r="B352" t="s">
        <v>32</v>
      </c>
      <c r="C352">
        <v>2013</v>
      </c>
      <c r="D352">
        <v>18.57</v>
      </c>
      <c r="E352">
        <v>0.73</v>
      </c>
      <c r="F352">
        <v>7.6216999999999997</v>
      </c>
      <c r="G352">
        <v>4.3819999999999997</v>
      </c>
      <c r="H352">
        <v>30323</v>
      </c>
      <c r="I352">
        <v>10.319699999999999</v>
      </c>
      <c r="J352">
        <v>4.51</v>
      </c>
      <c r="K352">
        <v>0</v>
      </c>
      <c r="L352">
        <v>0</v>
      </c>
      <c r="M352">
        <v>339.46789999999999</v>
      </c>
      <c r="N352">
        <v>1267</v>
      </c>
      <c r="O352">
        <v>10997465</v>
      </c>
    </row>
    <row r="353" spans="2:15" x14ac:dyDescent="0.35">
      <c r="B353" t="s">
        <v>32</v>
      </c>
      <c r="C353">
        <v>2014</v>
      </c>
      <c r="D353">
        <v>18.8</v>
      </c>
      <c r="E353">
        <v>0.55000000000000004</v>
      </c>
      <c r="F353">
        <v>7.6416000000000004</v>
      </c>
      <c r="G353">
        <v>4.1109</v>
      </c>
      <c r="H353">
        <v>31411</v>
      </c>
      <c r="I353">
        <v>10.354900000000001</v>
      </c>
      <c r="J353">
        <v>4.62</v>
      </c>
      <c r="K353">
        <v>0</v>
      </c>
      <c r="L353">
        <v>0</v>
      </c>
      <c r="M353">
        <v>339.46789999999999</v>
      </c>
      <c r="N353">
        <v>1328</v>
      </c>
      <c r="O353">
        <v>11081692</v>
      </c>
    </row>
    <row r="354" spans="2:15" x14ac:dyDescent="0.35">
      <c r="B354" t="s">
        <v>32</v>
      </c>
      <c r="C354">
        <v>2015</v>
      </c>
      <c r="D354">
        <v>17.75</v>
      </c>
      <c r="E354">
        <v>1.1100000000000001</v>
      </c>
      <c r="F354">
        <v>7.5914000000000001</v>
      </c>
      <c r="G354">
        <v>4.8202999999999996</v>
      </c>
      <c r="H354">
        <v>33769</v>
      </c>
      <c r="I354">
        <v>10.427300000000001</v>
      </c>
      <c r="J354">
        <v>5.9</v>
      </c>
      <c r="K354">
        <v>0</v>
      </c>
      <c r="L354">
        <v>0</v>
      </c>
      <c r="M354">
        <v>339.46789999999999</v>
      </c>
      <c r="N354">
        <v>1452</v>
      </c>
      <c r="O354">
        <v>11163018</v>
      </c>
    </row>
    <row r="355" spans="2:15" x14ac:dyDescent="0.35">
      <c r="B355" t="s">
        <v>32</v>
      </c>
      <c r="C355">
        <v>2016</v>
      </c>
      <c r="D355">
        <v>18.95</v>
      </c>
      <c r="E355">
        <v>3.43</v>
      </c>
      <c r="F355">
        <v>7.6642999999999999</v>
      </c>
      <c r="G355">
        <v>5.9558</v>
      </c>
      <c r="H355">
        <v>35740</v>
      </c>
      <c r="I355">
        <v>10.484</v>
      </c>
      <c r="J355">
        <v>8.3000000000000007</v>
      </c>
      <c r="K355">
        <v>0</v>
      </c>
      <c r="L355">
        <v>0</v>
      </c>
      <c r="M355">
        <v>339.46789999999999</v>
      </c>
      <c r="N355">
        <v>1838</v>
      </c>
      <c r="O355">
        <v>11242720</v>
      </c>
    </row>
    <row r="356" spans="2:15" x14ac:dyDescent="0.35">
      <c r="B356" t="s">
        <v>32</v>
      </c>
      <c r="C356">
        <v>2017</v>
      </c>
      <c r="D356">
        <v>16.23</v>
      </c>
      <c r="E356">
        <v>4.58</v>
      </c>
      <c r="F356">
        <v>7.5159000000000002</v>
      </c>
      <c r="G356">
        <v>6.25</v>
      </c>
      <c r="H356">
        <v>37232</v>
      </c>
      <c r="I356">
        <v>10.524900000000001</v>
      </c>
      <c r="J356">
        <v>9</v>
      </c>
      <c r="K356">
        <v>0</v>
      </c>
      <c r="L356">
        <v>0</v>
      </c>
      <c r="M356">
        <v>339.46789999999999</v>
      </c>
      <c r="N356">
        <v>2356</v>
      </c>
      <c r="O356">
        <v>11320892</v>
      </c>
    </row>
    <row r="357" spans="2:15" x14ac:dyDescent="0.35">
      <c r="B357" t="s">
        <v>32</v>
      </c>
      <c r="C357">
        <v>2018</v>
      </c>
      <c r="D357">
        <v>13.45</v>
      </c>
      <c r="E357">
        <v>10.91</v>
      </c>
      <c r="F357">
        <v>7.3304</v>
      </c>
      <c r="G357">
        <v>7.1212999999999997</v>
      </c>
      <c r="H357">
        <v>38773</v>
      </c>
      <c r="I357">
        <v>10.5655</v>
      </c>
      <c r="J357">
        <v>8.8000000000000007</v>
      </c>
      <c r="K357">
        <v>0</v>
      </c>
      <c r="L357">
        <v>0</v>
      </c>
      <c r="M357">
        <v>339.46789999999999</v>
      </c>
      <c r="N357">
        <v>3594</v>
      </c>
      <c r="O357">
        <v>11348937</v>
      </c>
    </row>
    <row r="358" spans="2:15" x14ac:dyDescent="0.35">
      <c r="B358" t="s">
        <v>32</v>
      </c>
      <c r="C358">
        <v>2019</v>
      </c>
      <c r="D358">
        <v>10.34</v>
      </c>
      <c r="E358">
        <v>64.2</v>
      </c>
      <c r="F358">
        <v>7.0750000000000002</v>
      </c>
      <c r="G358">
        <v>8.9011999999999993</v>
      </c>
      <c r="H358">
        <v>40789</v>
      </c>
      <c r="I358">
        <v>10.616199999999999</v>
      </c>
      <c r="J358">
        <v>8.6999999999999993</v>
      </c>
      <c r="K358">
        <v>0</v>
      </c>
      <c r="L358">
        <v>0</v>
      </c>
      <c r="M358">
        <v>339.46789999999999</v>
      </c>
      <c r="N358">
        <v>10935</v>
      </c>
      <c r="O358">
        <v>11433957</v>
      </c>
    </row>
    <row r="359" spans="2:15" x14ac:dyDescent="0.35">
      <c r="B359" t="s">
        <v>32</v>
      </c>
      <c r="C359">
        <v>2020</v>
      </c>
      <c r="D359">
        <v>12.22</v>
      </c>
      <c r="E359">
        <v>150.15</v>
      </c>
      <c r="F359">
        <v>7.2492000000000001</v>
      </c>
      <c r="G359">
        <v>9.7579999999999991</v>
      </c>
      <c r="H359">
        <v>42367</v>
      </c>
      <c r="I359">
        <v>10.6541</v>
      </c>
      <c r="J359">
        <v>9.6</v>
      </c>
      <c r="K359">
        <v>0</v>
      </c>
      <c r="L359">
        <v>1</v>
      </c>
      <c r="M359">
        <v>339.46789999999999</v>
      </c>
      <c r="N359">
        <v>28227</v>
      </c>
      <c r="O359">
        <v>11516840</v>
      </c>
    </row>
    <row r="360" spans="2:15" x14ac:dyDescent="0.35">
      <c r="B360" t="s">
        <v>32</v>
      </c>
      <c r="C360">
        <v>2021</v>
      </c>
      <c r="D360">
        <v>11.87</v>
      </c>
      <c r="E360">
        <v>131.36000000000001</v>
      </c>
      <c r="F360">
        <v>7.2276999999999996</v>
      </c>
      <c r="G360">
        <v>9.6313999999999993</v>
      </c>
      <c r="H360">
        <v>47422</v>
      </c>
      <c r="I360">
        <v>10.7668</v>
      </c>
      <c r="J360">
        <v>8.4</v>
      </c>
      <c r="K360">
        <v>0</v>
      </c>
      <c r="L360">
        <v>1</v>
      </c>
      <c r="M360">
        <v>339.46789999999999</v>
      </c>
      <c r="N360">
        <v>43462</v>
      </c>
      <c r="O360">
        <v>11597484</v>
      </c>
    </row>
    <row r="361" spans="2:15" x14ac:dyDescent="0.35">
      <c r="B361" t="s">
        <v>32</v>
      </c>
      <c r="C361">
        <v>2022</v>
      </c>
      <c r="D361">
        <v>13.12</v>
      </c>
      <c r="E361">
        <v>339.47</v>
      </c>
      <c r="F361">
        <v>7.3139000000000003</v>
      </c>
      <c r="G361">
        <v>10.567500000000001</v>
      </c>
      <c r="H361">
        <v>53704</v>
      </c>
      <c r="I361">
        <v>10.8912</v>
      </c>
      <c r="J361">
        <v>5.8</v>
      </c>
      <c r="K361">
        <v>0</v>
      </c>
      <c r="L361">
        <v>0</v>
      </c>
      <c r="M361">
        <v>339.46789999999999</v>
      </c>
      <c r="N361">
        <v>82312</v>
      </c>
      <c r="O361">
        <v>11444380</v>
      </c>
    </row>
    <row r="362" spans="2:15" x14ac:dyDescent="0.35">
      <c r="B362" t="s">
        <v>32</v>
      </c>
      <c r="C362">
        <v>2023</v>
      </c>
      <c r="D362">
        <v>10.94</v>
      </c>
      <c r="E362">
        <v>0.76</v>
      </c>
      <c r="F362">
        <v>7.1325000000000003</v>
      </c>
      <c r="G362">
        <v>4.4659000000000004</v>
      </c>
      <c r="H362">
        <v>58624</v>
      </c>
      <c r="I362">
        <v>10.978899999999999</v>
      </c>
      <c r="J362">
        <v>4.9000000000000004</v>
      </c>
      <c r="K362">
        <v>1</v>
      </c>
      <c r="L362">
        <v>0</v>
      </c>
      <c r="M362">
        <v>339.46789999999999</v>
      </c>
      <c r="N362">
        <v>82399</v>
      </c>
      <c r="O362">
        <v>11444380</v>
      </c>
    </row>
    <row r="363" spans="2:15" x14ac:dyDescent="0.35">
      <c r="B363" t="s">
        <v>32</v>
      </c>
      <c r="C363">
        <v>2024</v>
      </c>
      <c r="D363">
        <v>9.26</v>
      </c>
      <c r="E363">
        <v>45.04</v>
      </c>
      <c r="F363">
        <v>6.9984999999999999</v>
      </c>
      <c r="G363">
        <v>8.5803999999999991</v>
      </c>
      <c r="H363">
        <v>61827</v>
      </c>
      <c r="I363">
        <v>11.0321</v>
      </c>
      <c r="J363">
        <v>4</v>
      </c>
      <c r="K363">
        <v>1</v>
      </c>
      <c r="L363">
        <v>0</v>
      </c>
      <c r="M363">
        <v>339.46789999999999</v>
      </c>
      <c r="N363">
        <v>87725</v>
      </c>
      <c r="O363">
        <v>11824665</v>
      </c>
    </row>
    <row r="364" spans="2:15" x14ac:dyDescent="0.35">
      <c r="B364" t="s">
        <v>33</v>
      </c>
      <c r="C364">
        <v>2005</v>
      </c>
      <c r="D364">
        <v>38.92</v>
      </c>
      <c r="E364">
        <v>0.88</v>
      </c>
      <c r="F364">
        <v>8.6973000000000003</v>
      </c>
      <c r="G364">
        <v>4.9053000000000004</v>
      </c>
      <c r="H364">
        <v>16057</v>
      </c>
      <c r="I364">
        <v>9.6838999999999995</v>
      </c>
      <c r="J364">
        <v>12.86</v>
      </c>
      <c r="K364">
        <v>0</v>
      </c>
      <c r="L364">
        <v>0</v>
      </c>
      <c r="M364">
        <v>91.596599999999995</v>
      </c>
      <c r="N364">
        <v>135</v>
      </c>
      <c r="O364">
        <v>15383407</v>
      </c>
    </row>
    <row r="365" spans="2:15" x14ac:dyDescent="0.35">
      <c r="B365" t="s">
        <v>33</v>
      </c>
      <c r="C365">
        <v>2006</v>
      </c>
      <c r="D365">
        <v>37.32</v>
      </c>
      <c r="E365">
        <v>1.1100000000000001</v>
      </c>
      <c r="F365">
        <v>8.6668000000000003</v>
      </c>
      <c r="G365">
        <v>5.1532999999999998</v>
      </c>
      <c r="H365">
        <v>17693</v>
      </c>
      <c r="I365">
        <v>9.7809000000000008</v>
      </c>
      <c r="J365">
        <v>11.93</v>
      </c>
      <c r="K365">
        <v>0</v>
      </c>
      <c r="L365">
        <v>0</v>
      </c>
      <c r="M365">
        <v>91.596599999999995</v>
      </c>
      <c r="N365">
        <v>308</v>
      </c>
      <c r="O365">
        <v>15561720</v>
      </c>
    </row>
    <row r="366" spans="2:15" x14ac:dyDescent="0.35">
      <c r="B366" t="s">
        <v>33</v>
      </c>
      <c r="C366">
        <v>2007</v>
      </c>
      <c r="D366">
        <v>33.119999999999997</v>
      </c>
      <c r="E366">
        <v>1.31</v>
      </c>
      <c r="F366">
        <v>8.5383999999999993</v>
      </c>
      <c r="G366">
        <v>5.3083</v>
      </c>
      <c r="H366">
        <v>19245</v>
      </c>
      <c r="I366">
        <v>9.8650000000000002</v>
      </c>
      <c r="J366">
        <v>10.3</v>
      </c>
      <c r="K366">
        <v>0</v>
      </c>
      <c r="L366">
        <v>0</v>
      </c>
      <c r="M366">
        <v>91.596599999999995</v>
      </c>
      <c r="N366">
        <v>510</v>
      </c>
      <c r="O366">
        <v>15420450</v>
      </c>
    </row>
    <row r="367" spans="2:15" x14ac:dyDescent="0.35">
      <c r="B367" t="s">
        <v>33</v>
      </c>
      <c r="C367">
        <v>2008</v>
      </c>
      <c r="D367">
        <v>27.38</v>
      </c>
      <c r="E367">
        <v>1.52</v>
      </c>
      <c r="F367">
        <v>8.3770000000000007</v>
      </c>
      <c r="G367">
        <v>5.4889000000000001</v>
      </c>
      <c r="H367">
        <v>21621</v>
      </c>
      <c r="I367">
        <v>9.9814000000000007</v>
      </c>
      <c r="J367">
        <v>9.66</v>
      </c>
      <c r="K367">
        <v>0</v>
      </c>
      <c r="L367">
        <v>0</v>
      </c>
      <c r="M367">
        <v>91.596599999999995</v>
      </c>
      <c r="N367">
        <v>752</v>
      </c>
      <c r="O367">
        <v>15872362</v>
      </c>
    </row>
    <row r="368" spans="2:15" x14ac:dyDescent="0.35">
      <c r="B368" t="s">
        <v>33</v>
      </c>
      <c r="C368">
        <v>2009</v>
      </c>
      <c r="D368">
        <v>25.06</v>
      </c>
      <c r="E368">
        <v>1.0900000000000001</v>
      </c>
      <c r="F368">
        <v>8.2972999999999999</v>
      </c>
      <c r="G368">
        <v>5.1590999999999996</v>
      </c>
      <c r="H368">
        <v>22103</v>
      </c>
      <c r="I368">
        <v>10.003500000000001</v>
      </c>
      <c r="J368">
        <v>9.25</v>
      </c>
      <c r="K368">
        <v>0</v>
      </c>
      <c r="L368">
        <v>0</v>
      </c>
      <c r="M368">
        <v>91.596599999999995</v>
      </c>
      <c r="N368">
        <v>926</v>
      </c>
      <c r="O368">
        <v>16010429</v>
      </c>
    </row>
    <row r="369" spans="2:15" x14ac:dyDescent="0.35">
      <c r="B369" t="s">
        <v>33</v>
      </c>
      <c r="C369">
        <v>2010</v>
      </c>
      <c r="D369">
        <v>25.75</v>
      </c>
      <c r="E369">
        <v>2.16</v>
      </c>
      <c r="F369">
        <v>8.3231000000000002</v>
      </c>
      <c r="G369">
        <v>5.8434999999999997</v>
      </c>
      <c r="H369">
        <v>28134</v>
      </c>
      <c r="I369">
        <v>10.2447</v>
      </c>
      <c r="J369">
        <v>8.75</v>
      </c>
      <c r="K369">
        <v>0</v>
      </c>
      <c r="L369">
        <v>0</v>
      </c>
      <c r="M369">
        <v>91.596599999999995</v>
      </c>
      <c r="N369">
        <v>1271</v>
      </c>
      <c r="O369">
        <v>15989929</v>
      </c>
    </row>
    <row r="370" spans="2:15" x14ac:dyDescent="0.35">
      <c r="B370" t="s">
        <v>33</v>
      </c>
      <c r="C370">
        <v>2011</v>
      </c>
      <c r="D370">
        <v>21.19</v>
      </c>
      <c r="E370">
        <v>3</v>
      </c>
      <c r="F370">
        <v>8.1356000000000002</v>
      </c>
      <c r="G370">
        <v>6.18</v>
      </c>
      <c r="H370">
        <v>31824</v>
      </c>
      <c r="I370">
        <v>10.368</v>
      </c>
      <c r="J370">
        <v>8.26</v>
      </c>
      <c r="K370">
        <v>0</v>
      </c>
      <c r="L370">
        <v>0</v>
      </c>
      <c r="M370">
        <v>91.596599999999995</v>
      </c>
      <c r="N370">
        <v>1754</v>
      </c>
      <c r="O370">
        <v>16112678</v>
      </c>
    </row>
    <row r="371" spans="2:15" x14ac:dyDescent="0.35">
      <c r="B371" t="s">
        <v>33</v>
      </c>
      <c r="C371">
        <v>2012</v>
      </c>
      <c r="D371">
        <v>21.4</v>
      </c>
      <c r="E371">
        <v>1.74</v>
      </c>
      <c r="F371">
        <v>8.1527999999999992</v>
      </c>
      <c r="G371">
        <v>5.6454000000000004</v>
      </c>
      <c r="H371">
        <v>35418</v>
      </c>
      <c r="I371">
        <v>10.475</v>
      </c>
      <c r="J371">
        <v>6.83</v>
      </c>
      <c r="K371">
        <v>0</v>
      </c>
      <c r="L371">
        <v>0</v>
      </c>
      <c r="M371">
        <v>91.596599999999995</v>
      </c>
      <c r="N371">
        <v>2037</v>
      </c>
      <c r="O371">
        <v>16231365</v>
      </c>
    </row>
    <row r="372" spans="2:15" x14ac:dyDescent="0.35">
      <c r="B372" t="s">
        <v>33</v>
      </c>
      <c r="C372">
        <v>2013</v>
      </c>
      <c r="D372">
        <v>21.76</v>
      </c>
      <c r="E372">
        <v>0.85</v>
      </c>
      <c r="F372">
        <v>8.1781000000000006</v>
      </c>
      <c r="G372">
        <v>4.9344999999999999</v>
      </c>
      <c r="H372">
        <v>38379</v>
      </c>
      <c r="I372">
        <v>10.555300000000001</v>
      </c>
      <c r="J372">
        <v>7.63</v>
      </c>
      <c r="K372">
        <v>0</v>
      </c>
      <c r="L372">
        <v>0</v>
      </c>
      <c r="M372">
        <v>91.596599999999995</v>
      </c>
      <c r="N372">
        <v>2176</v>
      </c>
      <c r="O372">
        <v>16369179</v>
      </c>
    </row>
    <row r="373" spans="2:15" x14ac:dyDescent="0.35">
      <c r="B373" t="s">
        <v>33</v>
      </c>
      <c r="C373">
        <v>2014</v>
      </c>
      <c r="D373">
        <v>22.21</v>
      </c>
      <c r="E373">
        <v>0.37</v>
      </c>
      <c r="F373">
        <v>8.2041000000000004</v>
      </c>
      <c r="G373">
        <v>4.1109</v>
      </c>
      <c r="H373">
        <v>40767</v>
      </c>
      <c r="I373">
        <v>10.615600000000001</v>
      </c>
      <c r="J373">
        <v>8.09</v>
      </c>
      <c r="K373">
        <v>0</v>
      </c>
      <c r="L373">
        <v>0</v>
      </c>
      <c r="M373">
        <v>91.596599999999995</v>
      </c>
      <c r="N373">
        <v>2237</v>
      </c>
      <c r="O373">
        <v>16461173</v>
      </c>
    </row>
    <row r="374" spans="2:15" x14ac:dyDescent="0.35">
      <c r="B374" t="s">
        <v>33</v>
      </c>
      <c r="C374">
        <v>2015</v>
      </c>
      <c r="D374">
        <v>19.2</v>
      </c>
      <c r="E374">
        <v>1.06</v>
      </c>
      <c r="F374">
        <v>8.0640000000000001</v>
      </c>
      <c r="G374">
        <v>5.1647999999999996</v>
      </c>
      <c r="H374">
        <v>39827</v>
      </c>
      <c r="I374">
        <v>10.5923</v>
      </c>
      <c r="J374">
        <v>7.7</v>
      </c>
      <c r="K374">
        <v>0</v>
      </c>
      <c r="L374">
        <v>0</v>
      </c>
      <c r="M374">
        <v>91.596599999999995</v>
      </c>
      <c r="N374">
        <v>2412</v>
      </c>
      <c r="O374">
        <v>16550024</v>
      </c>
    </row>
    <row r="375" spans="2:15" x14ac:dyDescent="0.35">
      <c r="B375" t="s">
        <v>33</v>
      </c>
      <c r="C375">
        <v>2016</v>
      </c>
      <c r="D375">
        <v>24.26</v>
      </c>
      <c r="E375">
        <v>2.4</v>
      </c>
      <c r="F375">
        <v>8.3030000000000008</v>
      </c>
      <c r="G375">
        <v>5.9889999999999999</v>
      </c>
      <c r="H375">
        <v>38495</v>
      </c>
      <c r="I375">
        <v>10.558299999999999</v>
      </c>
      <c r="J375">
        <v>11.9</v>
      </c>
      <c r="K375">
        <v>0</v>
      </c>
      <c r="L375">
        <v>0</v>
      </c>
      <c r="M375">
        <v>91.596599999999995</v>
      </c>
      <c r="N375">
        <v>2811</v>
      </c>
      <c r="O375">
        <v>16635996</v>
      </c>
    </row>
    <row r="376" spans="2:15" x14ac:dyDescent="0.35">
      <c r="B376" t="s">
        <v>33</v>
      </c>
      <c r="C376">
        <v>2017</v>
      </c>
      <c r="D376">
        <v>26.43</v>
      </c>
      <c r="E376">
        <v>4.0199999999999996</v>
      </c>
      <c r="F376">
        <v>8.3937000000000008</v>
      </c>
      <c r="G376">
        <v>6.5103</v>
      </c>
      <c r="H376">
        <v>40170</v>
      </c>
      <c r="I376">
        <v>10.600899999999999</v>
      </c>
      <c r="J376">
        <v>15.1</v>
      </c>
      <c r="K376">
        <v>0</v>
      </c>
      <c r="L376">
        <v>0</v>
      </c>
      <c r="M376">
        <v>91.596599999999995</v>
      </c>
      <c r="N376">
        <v>3483</v>
      </c>
      <c r="O376">
        <v>16718956</v>
      </c>
    </row>
    <row r="377" spans="2:15" x14ac:dyDescent="0.35">
      <c r="B377" t="s">
        <v>33</v>
      </c>
      <c r="C377">
        <v>2018</v>
      </c>
      <c r="D377">
        <v>24.87</v>
      </c>
      <c r="E377">
        <v>8.6300000000000008</v>
      </c>
      <c r="F377">
        <v>8.3587000000000007</v>
      </c>
      <c r="G377">
        <v>7.3005000000000004</v>
      </c>
      <c r="H377">
        <v>44223</v>
      </c>
      <c r="I377">
        <v>10.696999999999999</v>
      </c>
      <c r="J377">
        <v>15.1</v>
      </c>
      <c r="K377">
        <v>0</v>
      </c>
      <c r="L377">
        <v>0</v>
      </c>
      <c r="M377">
        <v>91.596599999999995</v>
      </c>
      <c r="N377">
        <v>4964</v>
      </c>
      <c r="O377">
        <v>17159960</v>
      </c>
    </row>
    <row r="378" spans="2:15" x14ac:dyDescent="0.35">
      <c r="B378" t="s">
        <v>33</v>
      </c>
      <c r="C378">
        <v>2019</v>
      </c>
      <c r="D378">
        <v>13.39</v>
      </c>
      <c r="E378">
        <v>8.6999999999999993</v>
      </c>
      <c r="F378">
        <v>7.7454000000000001</v>
      </c>
      <c r="G378">
        <v>7.3146000000000004</v>
      </c>
      <c r="H378">
        <v>45174</v>
      </c>
      <c r="I378">
        <v>10.718299999999999</v>
      </c>
      <c r="J378">
        <v>14.8</v>
      </c>
      <c r="K378">
        <v>0</v>
      </c>
      <c r="L378">
        <v>0</v>
      </c>
      <c r="M378">
        <v>91.596599999999995</v>
      </c>
      <c r="N378">
        <v>6466</v>
      </c>
      <c r="O378">
        <v>17264943</v>
      </c>
    </row>
    <row r="379" spans="2:15" x14ac:dyDescent="0.35">
      <c r="B379" t="s">
        <v>33</v>
      </c>
      <c r="C379">
        <v>2020</v>
      </c>
      <c r="D379">
        <v>15.8</v>
      </c>
      <c r="E379">
        <v>18.55</v>
      </c>
      <c r="F379">
        <v>7.9172000000000002</v>
      </c>
      <c r="G379">
        <v>8.0774000000000008</v>
      </c>
      <c r="H379">
        <v>43408</v>
      </c>
      <c r="I379">
        <v>10.6784</v>
      </c>
      <c r="J379">
        <v>17.600000000000001</v>
      </c>
      <c r="K379">
        <v>0</v>
      </c>
      <c r="L379">
        <v>1</v>
      </c>
      <c r="M379">
        <v>91.596599999999995</v>
      </c>
      <c r="N379">
        <v>9687</v>
      </c>
      <c r="O379">
        <v>17366189</v>
      </c>
    </row>
    <row r="380" spans="2:15" x14ac:dyDescent="0.35">
      <c r="B380" t="s">
        <v>33</v>
      </c>
      <c r="C380">
        <v>2021</v>
      </c>
      <c r="D380">
        <v>17.18</v>
      </c>
      <c r="E380">
        <v>45.56</v>
      </c>
      <c r="F380">
        <v>8.0063999999999993</v>
      </c>
      <c r="G380">
        <v>8.9817999999999998</v>
      </c>
      <c r="H380">
        <v>54360</v>
      </c>
      <c r="I380">
        <v>10.9034</v>
      </c>
      <c r="J380">
        <v>16.899999999999999</v>
      </c>
      <c r="K380">
        <v>0</v>
      </c>
      <c r="L380">
        <v>1</v>
      </c>
      <c r="M380">
        <v>91.596599999999995</v>
      </c>
      <c r="N380">
        <v>17644</v>
      </c>
      <c r="O380">
        <v>17463349</v>
      </c>
    </row>
    <row r="381" spans="2:15" x14ac:dyDescent="0.35">
      <c r="B381" t="s">
        <v>33</v>
      </c>
      <c r="C381">
        <v>2022</v>
      </c>
      <c r="D381">
        <v>15.19</v>
      </c>
      <c r="E381">
        <v>91.6</v>
      </c>
      <c r="F381">
        <v>7.7988999999999997</v>
      </c>
      <c r="G381">
        <v>9.5960000000000001</v>
      </c>
      <c r="H381">
        <v>71847</v>
      </c>
      <c r="I381">
        <v>11.1823</v>
      </c>
      <c r="J381">
        <v>12.8</v>
      </c>
      <c r="K381">
        <v>0</v>
      </c>
      <c r="L381">
        <v>0</v>
      </c>
      <c r="M381">
        <v>91.596599999999995</v>
      </c>
      <c r="N381">
        <v>32350</v>
      </c>
      <c r="O381">
        <v>16055174</v>
      </c>
    </row>
    <row r="382" spans="2:15" x14ac:dyDescent="0.35">
      <c r="B382" t="s">
        <v>33</v>
      </c>
      <c r="C382">
        <v>2023</v>
      </c>
      <c r="D382">
        <v>16.09</v>
      </c>
      <c r="E382">
        <v>0.31</v>
      </c>
      <c r="F382">
        <v>7.8571</v>
      </c>
      <c r="G382">
        <v>3.8917999999999999</v>
      </c>
      <c r="H382">
        <v>73053</v>
      </c>
      <c r="I382">
        <v>11.1989</v>
      </c>
      <c r="J382">
        <v>11</v>
      </c>
      <c r="K382">
        <v>1</v>
      </c>
      <c r="L382">
        <v>0</v>
      </c>
      <c r="M382">
        <v>91.596599999999995</v>
      </c>
      <c r="N382">
        <v>32399</v>
      </c>
      <c r="O382">
        <v>16055174</v>
      </c>
    </row>
    <row r="383" spans="2:15" x14ac:dyDescent="0.35">
      <c r="B383" t="s">
        <v>33</v>
      </c>
      <c r="C383">
        <v>2024</v>
      </c>
      <c r="D383">
        <v>11.81</v>
      </c>
      <c r="E383">
        <v>15.89</v>
      </c>
      <c r="F383">
        <v>7.6173000000000002</v>
      </c>
      <c r="G383">
        <v>7.9142999999999999</v>
      </c>
      <c r="H383">
        <v>74008</v>
      </c>
      <c r="I383">
        <v>11.2119</v>
      </c>
      <c r="J383">
        <v>9</v>
      </c>
      <c r="K383">
        <v>1</v>
      </c>
      <c r="L383">
        <v>0</v>
      </c>
      <c r="M383">
        <v>91.596599999999995</v>
      </c>
      <c r="N383">
        <v>35135</v>
      </c>
      <c r="O383">
        <v>17219679</v>
      </c>
    </row>
    <row r="384" spans="2:15" x14ac:dyDescent="0.35">
      <c r="B384" t="s">
        <v>34</v>
      </c>
      <c r="C384">
        <v>2005</v>
      </c>
      <c r="D384">
        <v>8.99</v>
      </c>
      <c r="E384">
        <v>0.5</v>
      </c>
      <c r="F384">
        <v>5.5983999999999998</v>
      </c>
      <c r="G384">
        <v>2.7081</v>
      </c>
      <c r="H384">
        <v>5951</v>
      </c>
      <c r="I384">
        <v>8.6913</v>
      </c>
      <c r="J384">
        <v>11.98</v>
      </c>
      <c r="K384">
        <v>0</v>
      </c>
      <c r="L384">
        <v>0</v>
      </c>
      <c r="M384">
        <v>74.998599999999996</v>
      </c>
      <c r="N384">
        <v>15</v>
      </c>
      <c r="O384">
        <v>3003087</v>
      </c>
    </row>
    <row r="385" spans="2:15" x14ac:dyDescent="0.35">
      <c r="B385" t="s">
        <v>34</v>
      </c>
      <c r="C385">
        <v>2006</v>
      </c>
      <c r="D385">
        <v>9.9499999999999993</v>
      </c>
      <c r="E385">
        <v>0.26</v>
      </c>
      <c r="F385">
        <v>5.7137000000000002</v>
      </c>
      <c r="G385">
        <v>2.0794000000000001</v>
      </c>
      <c r="H385">
        <v>6753</v>
      </c>
      <c r="I385">
        <v>8.8177000000000003</v>
      </c>
      <c r="J385">
        <v>9.73</v>
      </c>
      <c r="K385">
        <v>0</v>
      </c>
      <c r="L385">
        <v>0</v>
      </c>
      <c r="M385">
        <v>74.998599999999996</v>
      </c>
      <c r="N385">
        <v>23</v>
      </c>
      <c r="O385">
        <v>3043760</v>
      </c>
    </row>
    <row r="386" spans="2:15" x14ac:dyDescent="0.35">
      <c r="B386" t="s">
        <v>34</v>
      </c>
      <c r="C386">
        <v>2007</v>
      </c>
      <c r="D386">
        <v>14.63</v>
      </c>
      <c r="E386">
        <v>0.3</v>
      </c>
      <c r="F386">
        <v>6.0890000000000004</v>
      </c>
      <c r="G386">
        <v>2.1972</v>
      </c>
      <c r="H386">
        <v>7607</v>
      </c>
      <c r="I386">
        <v>8.9367999999999999</v>
      </c>
      <c r="J386">
        <v>10.050000000000001</v>
      </c>
      <c r="K386">
        <v>0</v>
      </c>
      <c r="L386">
        <v>0</v>
      </c>
      <c r="M386">
        <v>74.998599999999996</v>
      </c>
      <c r="N386">
        <v>32</v>
      </c>
      <c r="O386">
        <v>3013740</v>
      </c>
    </row>
    <row r="387" spans="2:15" x14ac:dyDescent="0.35">
      <c r="B387" t="s">
        <v>34</v>
      </c>
      <c r="C387">
        <v>2008</v>
      </c>
      <c r="D387">
        <v>17.420000000000002</v>
      </c>
      <c r="E387">
        <v>0.23</v>
      </c>
      <c r="F387">
        <v>6.2934000000000001</v>
      </c>
      <c r="G387">
        <v>1.9459</v>
      </c>
      <c r="H387">
        <v>8203</v>
      </c>
      <c r="I387">
        <v>9.0122999999999998</v>
      </c>
      <c r="J387">
        <v>8.6300000000000008</v>
      </c>
      <c r="K387">
        <v>0</v>
      </c>
      <c r="L387">
        <v>0</v>
      </c>
      <c r="M387">
        <v>74.998599999999996</v>
      </c>
      <c r="N387">
        <v>39</v>
      </c>
      <c r="O387">
        <v>3106436</v>
      </c>
    </row>
    <row r="388" spans="2:15" x14ac:dyDescent="0.35">
      <c r="B388" t="s">
        <v>34</v>
      </c>
      <c r="C388">
        <v>2009</v>
      </c>
      <c r="D388">
        <v>19.57</v>
      </c>
      <c r="E388">
        <v>0.32</v>
      </c>
      <c r="F388">
        <v>6.42</v>
      </c>
      <c r="G388">
        <v>2.3026</v>
      </c>
      <c r="H388">
        <v>8894</v>
      </c>
      <c r="I388">
        <v>9.0930999999999997</v>
      </c>
      <c r="J388">
        <v>11.69</v>
      </c>
      <c r="K388">
        <v>0</v>
      </c>
      <c r="L388">
        <v>0</v>
      </c>
      <c r="M388">
        <v>74.998599999999996</v>
      </c>
      <c r="N388">
        <v>49</v>
      </c>
      <c r="O388">
        <v>3137541</v>
      </c>
    </row>
    <row r="389" spans="2:15" x14ac:dyDescent="0.35">
      <c r="B389" t="s">
        <v>34</v>
      </c>
      <c r="C389">
        <v>2010</v>
      </c>
      <c r="D389">
        <v>19.41</v>
      </c>
      <c r="E389">
        <v>0.63</v>
      </c>
      <c r="F389">
        <v>6.4215999999999998</v>
      </c>
      <c r="G389">
        <v>2.9956999999999998</v>
      </c>
      <c r="H389">
        <v>11422</v>
      </c>
      <c r="I389">
        <v>9.3432999999999993</v>
      </c>
      <c r="J389">
        <v>11.11</v>
      </c>
      <c r="K389">
        <v>0</v>
      </c>
      <c r="L389">
        <v>0</v>
      </c>
      <c r="M389">
        <v>74.998599999999996</v>
      </c>
      <c r="N389">
        <v>69</v>
      </c>
      <c r="O389">
        <v>3168027</v>
      </c>
    </row>
    <row r="390" spans="2:15" x14ac:dyDescent="0.35">
      <c r="B390" t="s">
        <v>34</v>
      </c>
      <c r="C390">
        <v>2011</v>
      </c>
      <c r="D390">
        <v>24.35</v>
      </c>
      <c r="E390">
        <v>0.72</v>
      </c>
      <c r="F390">
        <v>6.6580000000000004</v>
      </c>
      <c r="G390">
        <v>3.1355</v>
      </c>
      <c r="H390">
        <v>12816</v>
      </c>
      <c r="I390">
        <v>9.4583999999999993</v>
      </c>
      <c r="J390">
        <v>10.53</v>
      </c>
      <c r="K390">
        <v>0</v>
      </c>
      <c r="L390">
        <v>0</v>
      </c>
      <c r="M390">
        <v>74.998599999999996</v>
      </c>
      <c r="N390">
        <v>92</v>
      </c>
      <c r="O390">
        <v>3198657</v>
      </c>
    </row>
    <row r="391" spans="2:15" x14ac:dyDescent="0.35">
      <c r="B391" t="s">
        <v>34</v>
      </c>
      <c r="C391">
        <v>2012</v>
      </c>
      <c r="D391">
        <v>26.33</v>
      </c>
      <c r="E391">
        <v>1.46</v>
      </c>
      <c r="F391">
        <v>6.7451999999999996</v>
      </c>
      <c r="G391">
        <v>3.8500999999999999</v>
      </c>
      <c r="H391">
        <v>14377</v>
      </c>
      <c r="I391">
        <v>9.5733999999999995</v>
      </c>
      <c r="J391">
        <v>8.1199999999999992</v>
      </c>
      <c r="K391">
        <v>0</v>
      </c>
      <c r="L391">
        <v>0</v>
      </c>
      <c r="M391">
        <v>74.998599999999996</v>
      </c>
      <c r="N391">
        <v>139</v>
      </c>
      <c r="O391">
        <v>3228198</v>
      </c>
    </row>
    <row r="392" spans="2:15" x14ac:dyDescent="0.35">
      <c r="B392" t="s">
        <v>34</v>
      </c>
      <c r="C392">
        <v>2013</v>
      </c>
      <c r="D392">
        <v>34.17</v>
      </c>
      <c r="E392">
        <v>1.1299999999999999</v>
      </c>
      <c r="F392">
        <v>7.0500999999999996</v>
      </c>
      <c r="G392">
        <v>3.6375999999999999</v>
      </c>
      <c r="H392">
        <v>15269</v>
      </c>
      <c r="I392">
        <v>9.6335999999999995</v>
      </c>
      <c r="J392">
        <v>11.82</v>
      </c>
      <c r="K392">
        <v>0</v>
      </c>
      <c r="L392">
        <v>0</v>
      </c>
      <c r="M392">
        <v>74.998599999999996</v>
      </c>
      <c r="N392">
        <v>177</v>
      </c>
      <c r="O392">
        <v>3373959</v>
      </c>
    </row>
    <row r="393" spans="2:15" x14ac:dyDescent="0.35">
      <c r="B393" t="s">
        <v>34</v>
      </c>
      <c r="C393">
        <v>2014</v>
      </c>
      <c r="D393">
        <v>38.61</v>
      </c>
      <c r="E393">
        <v>0.97</v>
      </c>
      <c r="F393">
        <v>7.1824000000000003</v>
      </c>
      <c r="G393">
        <v>3.4965000000000002</v>
      </c>
      <c r="H393">
        <v>15849</v>
      </c>
      <c r="I393">
        <v>9.6708999999999996</v>
      </c>
      <c r="J393">
        <v>12.14</v>
      </c>
      <c r="K393">
        <v>0</v>
      </c>
      <c r="L393">
        <v>0</v>
      </c>
      <c r="M393">
        <v>74.998599999999996</v>
      </c>
      <c r="N393">
        <v>210</v>
      </c>
      <c r="O393">
        <v>3408510</v>
      </c>
    </row>
    <row r="394" spans="2:15" x14ac:dyDescent="0.35">
      <c r="B394" t="s">
        <v>34</v>
      </c>
      <c r="C394">
        <v>2015</v>
      </c>
      <c r="D394">
        <v>35.97</v>
      </c>
      <c r="E394">
        <v>0.32</v>
      </c>
      <c r="F394">
        <v>7.1212999999999997</v>
      </c>
      <c r="G394">
        <v>2.3978999999999999</v>
      </c>
      <c r="H394">
        <v>16632</v>
      </c>
      <c r="I394">
        <v>9.7190999999999992</v>
      </c>
      <c r="J394">
        <v>12.1</v>
      </c>
      <c r="K394">
        <v>0</v>
      </c>
      <c r="L394">
        <v>0</v>
      </c>
      <c r="M394">
        <v>74.998599999999996</v>
      </c>
      <c r="N394">
        <v>221</v>
      </c>
      <c r="O394">
        <v>3442175</v>
      </c>
    </row>
    <row r="395" spans="2:15" x14ac:dyDescent="0.35">
      <c r="B395" t="s">
        <v>34</v>
      </c>
      <c r="C395">
        <v>2016</v>
      </c>
      <c r="D395">
        <v>45.12</v>
      </c>
      <c r="E395">
        <v>2.19</v>
      </c>
      <c r="F395">
        <v>7.3575999999999997</v>
      </c>
      <c r="G395">
        <v>4.3307000000000002</v>
      </c>
      <c r="H395">
        <v>17173</v>
      </c>
      <c r="I395">
        <v>9.7510999999999992</v>
      </c>
      <c r="J395">
        <v>14.3</v>
      </c>
      <c r="K395">
        <v>0</v>
      </c>
      <c r="L395">
        <v>0</v>
      </c>
      <c r="M395">
        <v>74.998599999999996</v>
      </c>
      <c r="N395">
        <v>297</v>
      </c>
      <c r="O395">
        <v>3474998</v>
      </c>
    </row>
    <row r="396" spans="2:15" x14ac:dyDescent="0.35">
      <c r="B396" t="s">
        <v>34</v>
      </c>
      <c r="C396">
        <v>2017</v>
      </c>
      <c r="D396">
        <v>54.86</v>
      </c>
      <c r="E396">
        <v>2.2200000000000002</v>
      </c>
      <c r="F396">
        <v>7.5621999999999998</v>
      </c>
      <c r="G396">
        <v>4.3567</v>
      </c>
      <c r="H396">
        <v>18336</v>
      </c>
      <c r="I396">
        <v>9.8165999999999993</v>
      </c>
      <c r="J396">
        <v>14.7</v>
      </c>
      <c r="K396">
        <v>0</v>
      </c>
      <c r="L396">
        <v>0</v>
      </c>
      <c r="M396">
        <v>74.998599999999996</v>
      </c>
      <c r="N396">
        <v>375</v>
      </c>
      <c r="O396">
        <v>3507003</v>
      </c>
    </row>
    <row r="397" spans="2:15" x14ac:dyDescent="0.35">
      <c r="B397" t="s">
        <v>34</v>
      </c>
      <c r="C397">
        <v>2018</v>
      </c>
      <c r="D397">
        <v>47.17</v>
      </c>
      <c r="E397">
        <v>3.08</v>
      </c>
      <c r="F397">
        <v>7.4031000000000002</v>
      </c>
      <c r="G397">
        <v>4.6727999999999996</v>
      </c>
      <c r="H397">
        <v>19250</v>
      </c>
      <c r="I397">
        <v>9.8652999999999995</v>
      </c>
      <c r="J397">
        <v>13.7</v>
      </c>
      <c r="K397">
        <v>0</v>
      </c>
      <c r="L397">
        <v>0</v>
      </c>
      <c r="M397">
        <v>74.998599999999996</v>
      </c>
      <c r="N397">
        <v>482</v>
      </c>
      <c r="O397">
        <v>3479010</v>
      </c>
    </row>
    <row r="398" spans="2:15" x14ac:dyDescent="0.35">
      <c r="B398" t="s">
        <v>34</v>
      </c>
      <c r="C398">
        <v>2019</v>
      </c>
      <c r="D398">
        <v>33.56</v>
      </c>
      <c r="E398">
        <v>26.78</v>
      </c>
      <c r="F398">
        <v>7.0707000000000004</v>
      </c>
      <c r="G398">
        <v>6.8448000000000002</v>
      </c>
      <c r="H398">
        <v>20342</v>
      </c>
      <c r="I398">
        <v>9.9204000000000008</v>
      </c>
      <c r="J398">
        <v>13.3</v>
      </c>
      <c r="K398">
        <v>0</v>
      </c>
      <c r="L398">
        <v>0</v>
      </c>
      <c r="M398">
        <v>74.998599999999996</v>
      </c>
      <c r="N398">
        <v>1421</v>
      </c>
      <c r="O398">
        <v>3506853</v>
      </c>
    </row>
    <row r="399" spans="2:15" x14ac:dyDescent="0.35">
      <c r="B399" t="s">
        <v>34</v>
      </c>
      <c r="C399">
        <v>2020</v>
      </c>
      <c r="D399">
        <v>34.799999999999997</v>
      </c>
      <c r="E399">
        <v>33.42</v>
      </c>
      <c r="F399">
        <v>7.1147999999999998</v>
      </c>
      <c r="G399">
        <v>7.0740999999999996</v>
      </c>
      <c r="H399">
        <v>20253</v>
      </c>
      <c r="I399">
        <v>9.9161000000000001</v>
      </c>
      <c r="J399">
        <v>16.100000000000001</v>
      </c>
      <c r="K399">
        <v>0</v>
      </c>
      <c r="L399">
        <v>1</v>
      </c>
      <c r="M399">
        <v>74.998599999999996</v>
      </c>
      <c r="N399">
        <v>2602</v>
      </c>
      <c r="O399">
        <v>3534165</v>
      </c>
    </row>
    <row r="400" spans="2:15" x14ac:dyDescent="0.35">
      <c r="B400" t="s">
        <v>34</v>
      </c>
      <c r="C400">
        <v>2021</v>
      </c>
      <c r="D400">
        <v>28.48</v>
      </c>
      <c r="E400">
        <v>54.26</v>
      </c>
      <c r="F400">
        <v>6.9217000000000004</v>
      </c>
      <c r="G400">
        <v>7.5663</v>
      </c>
      <c r="H400">
        <v>22517</v>
      </c>
      <c r="I400">
        <v>10.022</v>
      </c>
      <c r="J400">
        <v>14.9</v>
      </c>
      <c r="K400">
        <v>0</v>
      </c>
      <c r="L400">
        <v>1</v>
      </c>
      <c r="M400">
        <v>74.998599999999996</v>
      </c>
      <c r="N400">
        <v>4534</v>
      </c>
      <c r="O400">
        <v>3560903</v>
      </c>
    </row>
    <row r="401" spans="2:15" x14ac:dyDescent="0.35">
      <c r="B401" t="s">
        <v>34</v>
      </c>
      <c r="C401">
        <v>2022</v>
      </c>
      <c r="D401">
        <v>29.22</v>
      </c>
      <c r="E401">
        <v>75</v>
      </c>
      <c r="F401">
        <v>6.8720999999999997</v>
      </c>
      <c r="G401">
        <v>7.8148</v>
      </c>
      <c r="H401">
        <v>28407</v>
      </c>
      <c r="I401">
        <v>10.2544</v>
      </c>
      <c r="J401">
        <v>11.7</v>
      </c>
      <c r="K401">
        <v>0</v>
      </c>
      <c r="L401">
        <v>0</v>
      </c>
      <c r="M401">
        <v>74.998599999999996</v>
      </c>
      <c r="N401">
        <v>7011</v>
      </c>
      <c r="O401">
        <v>3302729</v>
      </c>
    </row>
    <row r="402" spans="2:15" x14ac:dyDescent="0.35">
      <c r="B402" t="s">
        <v>34</v>
      </c>
      <c r="C402">
        <v>2023</v>
      </c>
      <c r="D402">
        <v>21.38</v>
      </c>
      <c r="E402">
        <v>0.09</v>
      </c>
      <c r="F402">
        <v>6.5595999999999997</v>
      </c>
      <c r="G402">
        <v>1.0986</v>
      </c>
      <c r="H402">
        <v>30805</v>
      </c>
      <c r="I402">
        <v>10.3354</v>
      </c>
      <c r="J402">
        <v>10.3</v>
      </c>
      <c r="K402">
        <v>1</v>
      </c>
      <c r="L402">
        <v>0</v>
      </c>
      <c r="M402">
        <v>74.998599999999996</v>
      </c>
      <c r="N402">
        <v>7014</v>
      </c>
      <c r="O402">
        <v>3302729</v>
      </c>
    </row>
    <row r="403" spans="2:15" x14ac:dyDescent="0.35">
      <c r="B403" t="s">
        <v>34</v>
      </c>
      <c r="C403">
        <v>2024</v>
      </c>
      <c r="D403">
        <v>17.59</v>
      </c>
      <c r="E403">
        <v>18.920000000000002</v>
      </c>
      <c r="F403">
        <v>6.4069000000000003</v>
      </c>
      <c r="G403">
        <v>6.48</v>
      </c>
      <c r="H403">
        <v>32670</v>
      </c>
      <c r="I403">
        <v>10.3942</v>
      </c>
      <c r="J403">
        <v>9.1</v>
      </c>
      <c r="K403">
        <v>1</v>
      </c>
      <c r="L403">
        <v>0</v>
      </c>
      <c r="M403">
        <v>74.998599999999996</v>
      </c>
      <c r="N403">
        <v>7666</v>
      </c>
      <c r="O403">
        <v>3446071</v>
      </c>
    </row>
    <row r="404" spans="2:15" x14ac:dyDescent="0.35">
      <c r="B404" t="s">
        <v>35</v>
      </c>
      <c r="C404">
        <v>2005</v>
      </c>
      <c r="D404">
        <v>24.05</v>
      </c>
      <c r="E404">
        <v>0</v>
      </c>
      <c r="F404">
        <v>5.9108000000000001</v>
      </c>
      <c r="H404">
        <v>8396</v>
      </c>
      <c r="I404">
        <v>9.0355000000000008</v>
      </c>
      <c r="J404">
        <v>7.68</v>
      </c>
      <c r="K404">
        <v>0</v>
      </c>
      <c r="L404">
        <v>0</v>
      </c>
      <c r="M404">
        <v>351.00009999999997</v>
      </c>
      <c r="N404">
        <v>0</v>
      </c>
      <c r="O404">
        <v>1534594</v>
      </c>
    </row>
    <row r="405" spans="2:15" x14ac:dyDescent="0.35">
      <c r="B405" t="s">
        <v>35</v>
      </c>
      <c r="C405">
        <v>2006</v>
      </c>
      <c r="D405">
        <v>24.83</v>
      </c>
      <c r="E405">
        <v>0.13</v>
      </c>
      <c r="F405">
        <v>5.9610000000000003</v>
      </c>
      <c r="G405">
        <v>0.69310000000000005</v>
      </c>
      <c r="H405">
        <v>8389</v>
      </c>
      <c r="I405">
        <v>9.0347000000000008</v>
      </c>
      <c r="J405">
        <v>7.72</v>
      </c>
      <c r="K405">
        <v>0</v>
      </c>
      <c r="L405">
        <v>0</v>
      </c>
      <c r="M405">
        <v>351.00009999999997</v>
      </c>
      <c r="N405">
        <v>2</v>
      </c>
      <c r="O405">
        <v>1562417</v>
      </c>
    </row>
    <row r="406" spans="2:15" x14ac:dyDescent="0.35">
      <c r="B406" t="s">
        <v>35</v>
      </c>
      <c r="C406">
        <v>2007</v>
      </c>
      <c r="D406">
        <v>22.22</v>
      </c>
      <c r="E406">
        <v>0</v>
      </c>
      <c r="F406">
        <v>5.7777000000000003</v>
      </c>
      <c r="H406">
        <v>10320</v>
      </c>
      <c r="I406">
        <v>9.2417999999999996</v>
      </c>
      <c r="J406">
        <v>8.3699999999999992</v>
      </c>
      <c r="K406">
        <v>0</v>
      </c>
      <c r="L406">
        <v>0</v>
      </c>
      <c r="M406">
        <v>351.00009999999997</v>
      </c>
      <c r="N406">
        <v>2</v>
      </c>
      <c r="O406">
        <v>1453756</v>
      </c>
    </row>
    <row r="407" spans="2:15" x14ac:dyDescent="0.35">
      <c r="B407" t="s">
        <v>35</v>
      </c>
      <c r="C407">
        <v>2008</v>
      </c>
      <c r="D407">
        <v>18.95</v>
      </c>
      <c r="E407">
        <v>0</v>
      </c>
      <c r="F407">
        <v>5.6454000000000004</v>
      </c>
      <c r="H407">
        <v>11977</v>
      </c>
      <c r="I407">
        <v>9.3907000000000007</v>
      </c>
      <c r="J407">
        <v>8.0500000000000007</v>
      </c>
      <c r="K407">
        <v>0</v>
      </c>
      <c r="L407">
        <v>0</v>
      </c>
      <c r="M407">
        <v>351.00009999999997</v>
      </c>
      <c r="N407">
        <v>2</v>
      </c>
      <c r="O407">
        <v>1493565</v>
      </c>
    </row>
    <row r="408" spans="2:15" x14ac:dyDescent="0.35">
      <c r="B408" t="s">
        <v>35</v>
      </c>
      <c r="C408">
        <v>2009</v>
      </c>
      <c r="D408">
        <v>23.21</v>
      </c>
      <c r="E408">
        <v>0</v>
      </c>
      <c r="F408">
        <v>5.8551000000000002</v>
      </c>
      <c r="H408">
        <v>13455</v>
      </c>
      <c r="I408">
        <v>9.5070999999999994</v>
      </c>
      <c r="J408">
        <v>9.1199999999999992</v>
      </c>
      <c r="K408">
        <v>0</v>
      </c>
      <c r="L408">
        <v>0</v>
      </c>
      <c r="M408">
        <v>351.00009999999997</v>
      </c>
      <c r="N408">
        <v>2</v>
      </c>
      <c r="O408">
        <v>1503928</v>
      </c>
    </row>
    <row r="409" spans="2:15" x14ac:dyDescent="0.35">
      <c r="B409" t="s">
        <v>35</v>
      </c>
      <c r="C409">
        <v>2010</v>
      </c>
      <c r="D409">
        <v>22.27</v>
      </c>
      <c r="E409">
        <v>0.51</v>
      </c>
      <c r="F409">
        <v>5.8521999999999998</v>
      </c>
      <c r="G409">
        <v>2.0794000000000001</v>
      </c>
      <c r="H409">
        <v>15302</v>
      </c>
      <c r="I409">
        <v>9.6356999999999999</v>
      </c>
      <c r="J409">
        <v>6.66</v>
      </c>
      <c r="K409">
        <v>0</v>
      </c>
      <c r="L409">
        <v>0</v>
      </c>
      <c r="M409">
        <v>351.00009999999997</v>
      </c>
      <c r="N409">
        <v>10</v>
      </c>
      <c r="O409">
        <v>1562409</v>
      </c>
    </row>
    <row r="410" spans="2:15" x14ac:dyDescent="0.35">
      <c r="B410" t="s">
        <v>35</v>
      </c>
      <c r="C410">
        <v>2011</v>
      </c>
      <c r="D410">
        <v>18.079999999999998</v>
      </c>
      <c r="E410">
        <v>0.06</v>
      </c>
      <c r="F410">
        <v>5.6524999999999999</v>
      </c>
      <c r="G410">
        <v>0</v>
      </c>
      <c r="H410">
        <v>17492</v>
      </c>
      <c r="I410">
        <v>9.7695000000000007</v>
      </c>
      <c r="J410">
        <v>4.21</v>
      </c>
      <c r="K410">
        <v>0</v>
      </c>
      <c r="L410">
        <v>0</v>
      </c>
      <c r="M410">
        <v>351.00009999999997</v>
      </c>
      <c r="N410">
        <v>11</v>
      </c>
      <c r="O410">
        <v>1576455</v>
      </c>
    </row>
    <row r="411" spans="2:15" x14ac:dyDescent="0.35">
      <c r="B411" t="s">
        <v>35</v>
      </c>
      <c r="C411">
        <v>2012</v>
      </c>
      <c r="D411">
        <v>21.26</v>
      </c>
      <c r="E411">
        <v>0.13</v>
      </c>
      <c r="F411">
        <v>5.8230000000000004</v>
      </c>
      <c r="G411">
        <v>0.69310000000000005</v>
      </c>
      <c r="H411">
        <v>18939</v>
      </c>
      <c r="I411">
        <v>9.8490000000000002</v>
      </c>
      <c r="J411">
        <v>6.39</v>
      </c>
      <c r="K411">
        <v>0</v>
      </c>
      <c r="L411">
        <v>0</v>
      </c>
      <c r="M411">
        <v>351.00009999999997</v>
      </c>
      <c r="N411">
        <v>13</v>
      </c>
      <c r="O411">
        <v>1590011</v>
      </c>
    </row>
    <row r="412" spans="2:15" x14ac:dyDescent="0.35">
      <c r="B412" t="s">
        <v>35</v>
      </c>
      <c r="C412">
        <v>2013</v>
      </c>
      <c r="D412">
        <v>17.36</v>
      </c>
      <c r="E412">
        <v>0</v>
      </c>
      <c r="F412">
        <v>5.7038000000000002</v>
      </c>
      <c r="H412">
        <v>18008</v>
      </c>
      <c r="I412">
        <v>9.7986000000000004</v>
      </c>
      <c r="J412">
        <v>6.1</v>
      </c>
      <c r="K412">
        <v>0</v>
      </c>
      <c r="L412">
        <v>0</v>
      </c>
      <c r="M412">
        <v>351.00009999999997</v>
      </c>
      <c r="N412">
        <v>13</v>
      </c>
      <c r="O412">
        <v>1728214</v>
      </c>
    </row>
    <row r="413" spans="2:15" x14ac:dyDescent="0.35">
      <c r="B413" t="s">
        <v>35</v>
      </c>
      <c r="C413">
        <v>2014</v>
      </c>
      <c r="D413">
        <v>22.76</v>
      </c>
      <c r="E413">
        <v>0.17</v>
      </c>
      <c r="F413">
        <v>5.9865000000000004</v>
      </c>
      <c r="G413">
        <v>1.0986</v>
      </c>
      <c r="H413">
        <v>19463</v>
      </c>
      <c r="I413">
        <v>9.8763000000000005</v>
      </c>
      <c r="J413">
        <v>5.41</v>
      </c>
      <c r="K413">
        <v>0</v>
      </c>
      <c r="L413">
        <v>0</v>
      </c>
      <c r="M413">
        <v>351.00009999999997</v>
      </c>
      <c r="N413">
        <v>16</v>
      </c>
      <c r="O413">
        <v>1748531</v>
      </c>
    </row>
    <row r="414" spans="2:15" x14ac:dyDescent="0.35">
      <c r="B414" t="s">
        <v>35</v>
      </c>
      <c r="C414">
        <v>2015</v>
      </c>
      <c r="D414">
        <v>21.6</v>
      </c>
      <c r="E414">
        <v>0.23</v>
      </c>
      <c r="F414">
        <v>5.9454000000000002</v>
      </c>
      <c r="G414">
        <v>1.3863000000000001</v>
      </c>
      <c r="H414">
        <v>20678</v>
      </c>
      <c r="I414">
        <v>9.9367999999999999</v>
      </c>
      <c r="J414">
        <v>5.7</v>
      </c>
      <c r="K414">
        <v>0</v>
      </c>
      <c r="L414">
        <v>0</v>
      </c>
      <c r="M414">
        <v>351.00009999999997</v>
      </c>
      <c r="N414">
        <v>20</v>
      </c>
      <c r="O414">
        <v>1768204</v>
      </c>
    </row>
    <row r="415" spans="2:15" x14ac:dyDescent="0.35">
      <c r="B415" t="s">
        <v>35</v>
      </c>
      <c r="C415">
        <v>2016</v>
      </c>
      <c r="D415">
        <v>26.02</v>
      </c>
      <c r="E415">
        <v>4.7</v>
      </c>
      <c r="F415">
        <v>6.1420000000000003</v>
      </c>
      <c r="G415">
        <v>4.4307999999999996</v>
      </c>
      <c r="H415">
        <v>22078</v>
      </c>
      <c r="I415">
        <v>10.0023</v>
      </c>
      <c r="J415">
        <v>8</v>
      </c>
      <c r="K415">
        <v>0</v>
      </c>
      <c r="L415">
        <v>0</v>
      </c>
      <c r="M415">
        <v>351.00009999999997</v>
      </c>
      <c r="N415">
        <v>104</v>
      </c>
      <c r="O415">
        <v>1787279</v>
      </c>
    </row>
    <row r="416" spans="2:15" x14ac:dyDescent="0.35">
      <c r="B416" t="s">
        <v>35</v>
      </c>
      <c r="C416">
        <v>2017</v>
      </c>
      <c r="D416">
        <v>20.82</v>
      </c>
      <c r="E416">
        <v>4.87</v>
      </c>
      <c r="F416">
        <v>5.9295999999999998</v>
      </c>
      <c r="G416">
        <v>4.4772999999999996</v>
      </c>
      <c r="H416">
        <v>24098</v>
      </c>
      <c r="I416">
        <v>10.0899</v>
      </c>
      <c r="J416">
        <v>8.1999999999999993</v>
      </c>
      <c r="K416">
        <v>0</v>
      </c>
      <c r="L416">
        <v>0</v>
      </c>
      <c r="M416">
        <v>351.00009999999997</v>
      </c>
      <c r="N416">
        <v>192</v>
      </c>
      <c r="O416">
        <v>1805788</v>
      </c>
    </row>
    <row r="417" spans="2:15" x14ac:dyDescent="0.35">
      <c r="B417" t="s">
        <v>35</v>
      </c>
      <c r="C417">
        <v>2018</v>
      </c>
      <c r="D417">
        <v>17.18</v>
      </c>
      <c r="E417">
        <v>11.78</v>
      </c>
      <c r="F417">
        <v>5.7103999999999999</v>
      </c>
      <c r="G417">
        <v>5.3327</v>
      </c>
      <c r="H417">
        <v>25554</v>
      </c>
      <c r="I417">
        <v>10.1485</v>
      </c>
      <c r="J417">
        <v>9.1999999999999993</v>
      </c>
      <c r="K417">
        <v>0</v>
      </c>
      <c r="L417">
        <v>0</v>
      </c>
      <c r="M417">
        <v>351.00009999999997</v>
      </c>
      <c r="N417">
        <v>399</v>
      </c>
      <c r="O417">
        <v>1757589</v>
      </c>
    </row>
    <row r="418" spans="2:15" x14ac:dyDescent="0.35">
      <c r="B418" t="s">
        <v>35</v>
      </c>
      <c r="C418">
        <v>2019</v>
      </c>
      <c r="D418">
        <v>14.52</v>
      </c>
      <c r="E418">
        <v>53.79</v>
      </c>
      <c r="F418">
        <v>5.5529999999999999</v>
      </c>
      <c r="G418">
        <v>6.8628</v>
      </c>
      <c r="H418">
        <v>26497</v>
      </c>
      <c r="I418">
        <v>10.184799999999999</v>
      </c>
      <c r="J418">
        <v>8.1</v>
      </c>
      <c r="K418">
        <v>0</v>
      </c>
      <c r="L418">
        <v>0</v>
      </c>
      <c r="M418">
        <v>351.00009999999997</v>
      </c>
      <c r="N418">
        <v>1355</v>
      </c>
      <c r="O418">
        <v>1777225</v>
      </c>
    </row>
    <row r="419" spans="2:15" x14ac:dyDescent="0.35">
      <c r="B419" t="s">
        <v>35</v>
      </c>
      <c r="C419">
        <v>2020</v>
      </c>
      <c r="D419">
        <v>14.25</v>
      </c>
      <c r="E419">
        <v>105.71</v>
      </c>
      <c r="F419">
        <v>5.5452000000000004</v>
      </c>
      <c r="G419">
        <v>7.5491000000000001</v>
      </c>
      <c r="H419">
        <v>28722</v>
      </c>
      <c r="I419">
        <v>10.2654</v>
      </c>
      <c r="J419">
        <v>10.6</v>
      </c>
      <c r="K419">
        <v>0</v>
      </c>
      <c r="L419">
        <v>1</v>
      </c>
      <c r="M419">
        <v>351.00009999999997</v>
      </c>
      <c r="N419">
        <v>3254</v>
      </c>
      <c r="O419">
        <v>1796460</v>
      </c>
    </row>
    <row r="420" spans="2:15" x14ac:dyDescent="0.35">
      <c r="B420" t="s">
        <v>35</v>
      </c>
      <c r="C420">
        <v>2021</v>
      </c>
      <c r="D420">
        <v>17.850000000000001</v>
      </c>
      <c r="E420">
        <v>195.18</v>
      </c>
      <c r="F420">
        <v>5.7807000000000004</v>
      </c>
      <c r="G420">
        <v>8.1727000000000007</v>
      </c>
      <c r="H420">
        <v>32045</v>
      </c>
      <c r="I420">
        <v>10.3749</v>
      </c>
      <c r="J420">
        <v>8.9</v>
      </c>
      <c r="K420">
        <v>0</v>
      </c>
      <c r="L420">
        <v>1</v>
      </c>
      <c r="M420">
        <v>351.00009999999997</v>
      </c>
      <c r="N420">
        <v>6797</v>
      </c>
      <c r="O420">
        <v>1815278</v>
      </c>
    </row>
    <row r="421" spans="2:15" x14ac:dyDescent="0.35">
      <c r="B421" t="s">
        <v>35</v>
      </c>
      <c r="C421">
        <v>2022</v>
      </c>
      <c r="D421">
        <v>23.91</v>
      </c>
      <c r="E421">
        <v>351</v>
      </c>
      <c r="F421">
        <v>5.9348999999999998</v>
      </c>
      <c r="G421">
        <v>8.6216000000000008</v>
      </c>
      <c r="H421">
        <v>42244</v>
      </c>
      <c r="I421">
        <v>10.651199999999999</v>
      </c>
      <c r="J421">
        <v>4.9000000000000004</v>
      </c>
      <c r="K421">
        <v>0</v>
      </c>
      <c r="L421">
        <v>0</v>
      </c>
      <c r="M421">
        <v>351.00009999999997</v>
      </c>
      <c r="N421">
        <v>12347</v>
      </c>
      <c r="O421">
        <v>1581196</v>
      </c>
    </row>
    <row r="422" spans="2:15" x14ac:dyDescent="0.35">
      <c r="B422" t="s">
        <v>35</v>
      </c>
      <c r="C422">
        <v>2023</v>
      </c>
      <c r="D422">
        <v>20.68</v>
      </c>
      <c r="E422">
        <v>0.51</v>
      </c>
      <c r="F422">
        <v>5.79</v>
      </c>
      <c r="G422">
        <v>2.0794000000000001</v>
      </c>
      <c r="H422">
        <v>48353</v>
      </c>
      <c r="I422">
        <v>10.786300000000001</v>
      </c>
      <c r="J422">
        <v>2.9</v>
      </c>
      <c r="K422">
        <v>1</v>
      </c>
      <c r="L422">
        <v>0</v>
      </c>
      <c r="M422">
        <v>351.00009999999997</v>
      </c>
      <c r="N422">
        <v>12355</v>
      </c>
      <c r="O422">
        <v>1581196</v>
      </c>
    </row>
    <row r="423" spans="2:15" x14ac:dyDescent="0.35">
      <c r="B423" t="s">
        <v>35</v>
      </c>
      <c r="C423">
        <v>2024</v>
      </c>
      <c r="D423">
        <v>18.96</v>
      </c>
      <c r="E423">
        <v>21.65</v>
      </c>
      <c r="F423">
        <v>5.8021000000000003</v>
      </c>
      <c r="G423">
        <v>5.9348999999999998</v>
      </c>
      <c r="H423">
        <v>48766</v>
      </c>
      <c r="I423">
        <v>10.7948</v>
      </c>
      <c r="J423">
        <v>2.9</v>
      </c>
      <c r="K423">
        <v>1</v>
      </c>
      <c r="L423">
        <v>0</v>
      </c>
      <c r="M423">
        <v>351.00009999999997</v>
      </c>
      <c r="N423">
        <v>12733</v>
      </c>
      <c r="O423">
        <v>1746227</v>
      </c>
    </row>
    <row r="424" spans="2:15" x14ac:dyDescent="0.35">
      <c r="B424" t="s">
        <v>36</v>
      </c>
      <c r="C424">
        <v>2005</v>
      </c>
      <c r="D424">
        <v>7.16</v>
      </c>
      <c r="E424">
        <v>0.51</v>
      </c>
      <c r="F424">
        <v>3.3321999999999998</v>
      </c>
      <c r="G424">
        <v>0.69310000000000005</v>
      </c>
      <c r="H424">
        <v>8124</v>
      </c>
      <c r="I424">
        <v>9.0025999999999993</v>
      </c>
      <c r="J424">
        <v>16.89</v>
      </c>
      <c r="K424">
        <v>0</v>
      </c>
      <c r="L424">
        <v>0</v>
      </c>
      <c r="M424">
        <v>80.884900000000002</v>
      </c>
      <c r="N424">
        <v>2</v>
      </c>
      <c r="O424">
        <v>391317</v>
      </c>
    </row>
    <row r="425" spans="2:15" x14ac:dyDescent="0.35">
      <c r="B425" t="s">
        <v>36</v>
      </c>
      <c r="C425">
        <v>2006</v>
      </c>
      <c r="D425">
        <v>9.42</v>
      </c>
      <c r="E425">
        <v>0</v>
      </c>
      <c r="F425">
        <v>3.6375999999999999</v>
      </c>
      <c r="H425">
        <v>9074</v>
      </c>
      <c r="I425">
        <v>9.1132000000000009</v>
      </c>
      <c r="J425">
        <v>9.91</v>
      </c>
      <c r="K425">
        <v>0</v>
      </c>
      <c r="L425">
        <v>0</v>
      </c>
      <c r="M425">
        <v>80.884900000000002</v>
      </c>
      <c r="N425">
        <v>2</v>
      </c>
      <c r="O425">
        <v>403344</v>
      </c>
    </row>
    <row r="426" spans="2:15" x14ac:dyDescent="0.35">
      <c r="B426" t="s">
        <v>36</v>
      </c>
      <c r="C426">
        <v>2007</v>
      </c>
      <c r="D426">
        <v>7.08</v>
      </c>
      <c r="E426">
        <v>0</v>
      </c>
      <c r="F426">
        <v>3.3321999999999998</v>
      </c>
      <c r="H426">
        <v>10535</v>
      </c>
      <c r="I426">
        <v>9.2624999999999993</v>
      </c>
      <c r="J426">
        <v>12.07</v>
      </c>
      <c r="K426">
        <v>0</v>
      </c>
      <c r="L426">
        <v>0</v>
      </c>
      <c r="M426">
        <v>80.884900000000002</v>
      </c>
      <c r="N426">
        <v>2</v>
      </c>
      <c r="O426">
        <v>395725</v>
      </c>
    </row>
    <row r="427" spans="2:15" x14ac:dyDescent="0.35">
      <c r="B427" t="s">
        <v>36</v>
      </c>
      <c r="C427">
        <v>2008</v>
      </c>
      <c r="D427">
        <v>7.03</v>
      </c>
      <c r="E427">
        <v>0</v>
      </c>
      <c r="F427">
        <v>3.3673000000000002</v>
      </c>
      <c r="H427">
        <v>11844</v>
      </c>
      <c r="I427">
        <v>9.3795999999999999</v>
      </c>
      <c r="J427">
        <v>7.35</v>
      </c>
      <c r="K427">
        <v>0</v>
      </c>
      <c r="L427">
        <v>0</v>
      </c>
      <c r="M427">
        <v>80.884900000000002</v>
      </c>
      <c r="N427">
        <v>2</v>
      </c>
      <c r="O427">
        <v>412783</v>
      </c>
    </row>
    <row r="428" spans="2:15" x14ac:dyDescent="0.35">
      <c r="B428" t="s">
        <v>36</v>
      </c>
      <c r="C428">
        <v>2009</v>
      </c>
      <c r="D428">
        <v>6.41</v>
      </c>
      <c r="E428">
        <v>0</v>
      </c>
      <c r="F428">
        <v>3.2957999999999998</v>
      </c>
      <c r="H428">
        <v>13269</v>
      </c>
      <c r="I428">
        <v>9.4931999999999999</v>
      </c>
      <c r="J428">
        <v>11.32</v>
      </c>
      <c r="K428">
        <v>0</v>
      </c>
      <c r="L428">
        <v>0</v>
      </c>
      <c r="M428">
        <v>80.884900000000002</v>
      </c>
      <c r="N428">
        <v>2</v>
      </c>
      <c r="O428">
        <v>421499</v>
      </c>
    </row>
    <row r="429" spans="2:15" x14ac:dyDescent="0.35">
      <c r="B429" t="s">
        <v>36</v>
      </c>
      <c r="C429">
        <v>2010</v>
      </c>
      <c r="D429">
        <v>6.44</v>
      </c>
      <c r="E429">
        <v>0.44</v>
      </c>
      <c r="F429">
        <v>3.3673000000000002</v>
      </c>
      <c r="G429">
        <v>0.69310000000000005</v>
      </c>
      <c r="H429">
        <v>14738</v>
      </c>
      <c r="I429">
        <v>9.5982000000000003</v>
      </c>
      <c r="J429">
        <v>10.54</v>
      </c>
      <c r="K429">
        <v>0</v>
      </c>
      <c r="L429">
        <v>0</v>
      </c>
      <c r="M429">
        <v>80.884900000000002</v>
      </c>
      <c r="N429">
        <v>4</v>
      </c>
      <c r="O429">
        <v>450479</v>
      </c>
    </row>
    <row r="430" spans="2:15" x14ac:dyDescent="0.35">
      <c r="B430" t="s">
        <v>36</v>
      </c>
      <c r="C430">
        <v>2011</v>
      </c>
      <c r="D430">
        <v>5.43</v>
      </c>
      <c r="E430">
        <v>0.65</v>
      </c>
      <c r="F430">
        <v>3.2189000000000001</v>
      </c>
      <c r="G430">
        <v>1.0986</v>
      </c>
      <c r="H430">
        <v>15872</v>
      </c>
      <c r="I430">
        <v>9.6722999999999999</v>
      </c>
      <c r="J430">
        <v>9.77</v>
      </c>
      <c r="K430">
        <v>0</v>
      </c>
      <c r="L430">
        <v>0</v>
      </c>
      <c r="M430">
        <v>80.884900000000002</v>
      </c>
      <c r="N430">
        <v>7</v>
      </c>
      <c r="O430">
        <v>460165</v>
      </c>
    </row>
    <row r="431" spans="2:15" x14ac:dyDescent="0.35">
      <c r="B431" t="s">
        <v>36</v>
      </c>
      <c r="C431">
        <v>2012</v>
      </c>
      <c r="D431">
        <v>6.82</v>
      </c>
      <c r="E431">
        <v>1.7</v>
      </c>
      <c r="F431">
        <v>3.4657</v>
      </c>
      <c r="G431">
        <v>2.0794000000000001</v>
      </c>
      <c r="H431">
        <v>16424</v>
      </c>
      <c r="I431">
        <v>9.7065000000000001</v>
      </c>
      <c r="J431">
        <v>10.18</v>
      </c>
      <c r="K431">
        <v>0</v>
      </c>
      <c r="L431">
        <v>0</v>
      </c>
      <c r="M431">
        <v>80.884900000000002</v>
      </c>
      <c r="N431">
        <v>15</v>
      </c>
      <c r="O431">
        <v>469524</v>
      </c>
    </row>
    <row r="432" spans="2:15" x14ac:dyDescent="0.35">
      <c r="B432" t="s">
        <v>36</v>
      </c>
      <c r="C432">
        <v>2013</v>
      </c>
      <c r="D432">
        <v>14.14</v>
      </c>
      <c r="E432">
        <v>0</v>
      </c>
      <c r="F432">
        <v>4.2340999999999998</v>
      </c>
      <c r="H432">
        <v>18462</v>
      </c>
      <c r="I432">
        <v>9.8234999999999992</v>
      </c>
      <c r="J432">
        <v>7.96</v>
      </c>
      <c r="K432">
        <v>0</v>
      </c>
      <c r="L432">
        <v>0</v>
      </c>
      <c r="M432">
        <v>80.884900000000002</v>
      </c>
      <c r="N432">
        <v>15</v>
      </c>
      <c r="O432">
        <v>488072</v>
      </c>
    </row>
    <row r="433" spans="2:15" x14ac:dyDescent="0.35">
      <c r="B433" t="s">
        <v>36</v>
      </c>
      <c r="C433">
        <v>2014</v>
      </c>
      <c r="D433">
        <v>9.4600000000000009</v>
      </c>
      <c r="E433">
        <v>0.2</v>
      </c>
      <c r="F433">
        <v>3.8500999999999999</v>
      </c>
      <c r="G433">
        <v>0</v>
      </c>
      <c r="H433">
        <v>19608</v>
      </c>
      <c r="I433">
        <v>9.8836999999999993</v>
      </c>
      <c r="J433">
        <v>8.24</v>
      </c>
      <c r="K433">
        <v>0</v>
      </c>
      <c r="L433">
        <v>0</v>
      </c>
      <c r="M433">
        <v>80.884900000000002</v>
      </c>
      <c r="N433">
        <v>16</v>
      </c>
      <c r="O433">
        <v>496936</v>
      </c>
    </row>
    <row r="434" spans="2:15" x14ac:dyDescent="0.35">
      <c r="B434" t="s">
        <v>36</v>
      </c>
      <c r="C434">
        <v>2015</v>
      </c>
      <c r="D434">
        <v>11.67</v>
      </c>
      <c r="E434">
        <v>0.2</v>
      </c>
      <c r="F434">
        <v>4.0774999999999997</v>
      </c>
      <c r="G434">
        <v>0</v>
      </c>
      <c r="H434">
        <v>20256</v>
      </c>
      <c r="I434">
        <v>9.9161999999999999</v>
      </c>
      <c r="J434">
        <v>8.6999999999999993</v>
      </c>
      <c r="K434">
        <v>0</v>
      </c>
      <c r="L434">
        <v>0</v>
      </c>
      <c r="M434">
        <v>80.884900000000002</v>
      </c>
      <c r="N434">
        <v>17</v>
      </c>
      <c r="O434">
        <v>505665</v>
      </c>
    </row>
    <row r="435" spans="2:15" x14ac:dyDescent="0.35">
      <c r="B435" t="s">
        <v>36</v>
      </c>
      <c r="C435">
        <v>2016</v>
      </c>
      <c r="D435">
        <v>13.61</v>
      </c>
      <c r="E435">
        <v>0</v>
      </c>
      <c r="F435">
        <v>4.2484999999999999</v>
      </c>
      <c r="H435">
        <v>21417</v>
      </c>
      <c r="I435">
        <v>9.9718999999999998</v>
      </c>
      <c r="J435">
        <v>8.9</v>
      </c>
      <c r="K435">
        <v>0</v>
      </c>
      <c r="L435">
        <v>0</v>
      </c>
      <c r="M435">
        <v>80.884900000000002</v>
      </c>
      <c r="N435">
        <v>17</v>
      </c>
      <c r="O435">
        <v>514229</v>
      </c>
    </row>
    <row r="436" spans="2:15" x14ac:dyDescent="0.35">
      <c r="B436" t="s">
        <v>36</v>
      </c>
      <c r="C436">
        <v>2017</v>
      </c>
      <c r="D436">
        <v>18.37</v>
      </c>
      <c r="E436">
        <v>1.34</v>
      </c>
      <c r="F436">
        <v>4.5643000000000002</v>
      </c>
      <c r="G436">
        <v>1.9459</v>
      </c>
      <c r="H436">
        <v>23161</v>
      </c>
      <c r="I436">
        <v>10.0502</v>
      </c>
      <c r="J436">
        <v>10</v>
      </c>
      <c r="K436">
        <v>0</v>
      </c>
      <c r="L436">
        <v>0</v>
      </c>
      <c r="M436">
        <v>80.884900000000002</v>
      </c>
      <c r="N436">
        <v>24</v>
      </c>
      <c r="O436">
        <v>522636</v>
      </c>
    </row>
    <row r="437" spans="2:15" x14ac:dyDescent="0.35">
      <c r="B437" t="s">
        <v>36</v>
      </c>
      <c r="C437">
        <v>2018</v>
      </c>
      <c r="D437">
        <v>31.57</v>
      </c>
      <c r="E437">
        <v>2.78</v>
      </c>
      <c r="F437">
        <v>5.2039999999999997</v>
      </c>
      <c r="G437">
        <v>2.7726000000000002</v>
      </c>
      <c r="H437">
        <v>23189</v>
      </c>
      <c r="I437">
        <v>10.051399999999999</v>
      </c>
      <c r="J437">
        <v>12.4</v>
      </c>
      <c r="K437">
        <v>0</v>
      </c>
      <c r="L437">
        <v>0</v>
      </c>
      <c r="M437">
        <v>80.884900000000002</v>
      </c>
      <c r="N437">
        <v>40</v>
      </c>
      <c r="O437">
        <v>576568</v>
      </c>
    </row>
    <row r="438" spans="2:15" x14ac:dyDescent="0.35">
      <c r="B438" t="s">
        <v>36</v>
      </c>
      <c r="C438">
        <v>2019</v>
      </c>
      <c r="D438">
        <v>13.7</v>
      </c>
      <c r="E438">
        <v>10.4</v>
      </c>
      <c r="F438">
        <v>4.4188000000000001</v>
      </c>
      <c r="G438">
        <v>4.1430999999999996</v>
      </c>
      <c r="H438">
        <v>23594</v>
      </c>
      <c r="I438">
        <v>10.0687</v>
      </c>
      <c r="J438">
        <v>15.1</v>
      </c>
      <c r="K438">
        <v>0</v>
      </c>
      <c r="L438">
        <v>0</v>
      </c>
      <c r="M438">
        <v>80.884900000000002</v>
      </c>
      <c r="N438">
        <v>103</v>
      </c>
      <c r="O438">
        <v>605761</v>
      </c>
    </row>
    <row r="439" spans="2:15" x14ac:dyDescent="0.35">
      <c r="B439" t="s">
        <v>36</v>
      </c>
      <c r="C439">
        <v>2020</v>
      </c>
      <c r="D439">
        <v>16</v>
      </c>
      <c r="E439">
        <v>16.48</v>
      </c>
      <c r="F439">
        <v>4.6151</v>
      </c>
      <c r="G439">
        <v>4.6444000000000001</v>
      </c>
      <c r="H439">
        <v>25388</v>
      </c>
      <c r="I439">
        <v>10.141999999999999</v>
      </c>
      <c r="J439">
        <v>16.8</v>
      </c>
      <c r="K439">
        <v>0</v>
      </c>
      <c r="L439">
        <v>1</v>
      </c>
      <c r="M439">
        <v>80.884900000000002</v>
      </c>
      <c r="N439">
        <v>207</v>
      </c>
      <c r="O439">
        <v>631181</v>
      </c>
    </row>
    <row r="440" spans="2:15" x14ac:dyDescent="0.35">
      <c r="B440" t="s">
        <v>36</v>
      </c>
      <c r="C440">
        <v>2021</v>
      </c>
      <c r="D440">
        <v>16.09</v>
      </c>
      <c r="E440">
        <v>36.92</v>
      </c>
      <c r="F440">
        <v>4.6539999999999999</v>
      </c>
      <c r="G440">
        <v>5.4847999999999999</v>
      </c>
      <c r="H440">
        <v>27888</v>
      </c>
      <c r="I440">
        <v>10.236000000000001</v>
      </c>
      <c r="J440">
        <v>12.1</v>
      </c>
      <c r="K440">
        <v>0</v>
      </c>
      <c r="L440">
        <v>1</v>
      </c>
      <c r="M440">
        <v>80.884900000000002</v>
      </c>
      <c r="N440">
        <v>448</v>
      </c>
      <c r="O440">
        <v>652713</v>
      </c>
    </row>
    <row r="441" spans="2:15" x14ac:dyDescent="0.35">
      <c r="B441" t="s">
        <v>36</v>
      </c>
      <c r="C441">
        <v>2022</v>
      </c>
      <c r="D441">
        <v>16.18</v>
      </c>
      <c r="E441">
        <v>80.88</v>
      </c>
      <c r="F441">
        <v>4.6346999999999996</v>
      </c>
      <c r="G441">
        <v>6.2442000000000002</v>
      </c>
      <c r="H441">
        <v>33132</v>
      </c>
      <c r="I441">
        <v>10.408300000000001</v>
      </c>
      <c r="J441">
        <v>6.1</v>
      </c>
      <c r="K441">
        <v>0</v>
      </c>
      <c r="L441">
        <v>0</v>
      </c>
      <c r="M441">
        <v>80.884900000000002</v>
      </c>
      <c r="N441">
        <v>963</v>
      </c>
      <c r="O441">
        <v>636707</v>
      </c>
    </row>
    <row r="442" spans="2:15" x14ac:dyDescent="0.35">
      <c r="B442" t="s">
        <v>36</v>
      </c>
      <c r="C442">
        <v>2023</v>
      </c>
      <c r="D442">
        <v>16.489999999999998</v>
      </c>
      <c r="E442">
        <v>0.94</v>
      </c>
      <c r="F442">
        <v>4.6539999999999999</v>
      </c>
      <c r="G442">
        <v>1.7918000000000001</v>
      </c>
      <c r="H442">
        <v>39461</v>
      </c>
      <c r="I442">
        <v>10.5831</v>
      </c>
      <c r="J442">
        <v>6.7</v>
      </c>
      <c r="K442">
        <v>1</v>
      </c>
      <c r="L442">
        <v>0</v>
      </c>
      <c r="M442">
        <v>80.884900000000002</v>
      </c>
      <c r="N442">
        <v>969</v>
      </c>
      <c r="O442">
        <v>636707</v>
      </c>
    </row>
    <row r="443" spans="2:15" x14ac:dyDescent="0.35">
      <c r="B443" t="s">
        <v>36</v>
      </c>
      <c r="C443">
        <v>2024</v>
      </c>
      <c r="D443">
        <v>9.6300000000000008</v>
      </c>
      <c r="E443">
        <v>7.81</v>
      </c>
      <c r="F443">
        <v>4.2340999999999998</v>
      </c>
      <c r="G443">
        <v>4.0254000000000003</v>
      </c>
      <c r="H443">
        <v>39946</v>
      </c>
      <c r="I443">
        <v>10.5953</v>
      </c>
      <c r="J443">
        <v>6.8</v>
      </c>
      <c r="K443">
        <v>1</v>
      </c>
      <c r="L443">
        <v>0</v>
      </c>
      <c r="M443">
        <v>80.884900000000002</v>
      </c>
      <c r="N443">
        <v>1025</v>
      </c>
      <c r="O443">
        <v>716793</v>
      </c>
    </row>
    <row r="444" spans="2:15" x14ac:dyDescent="0.35">
      <c r="B444" t="s">
        <v>37</v>
      </c>
      <c r="C444">
        <v>2005</v>
      </c>
      <c r="D444">
        <v>13.56</v>
      </c>
      <c r="E444">
        <v>1.38</v>
      </c>
      <c r="F444">
        <v>7.2937000000000003</v>
      </c>
      <c r="G444">
        <v>5.0106000000000002</v>
      </c>
      <c r="H444">
        <v>13298</v>
      </c>
      <c r="I444">
        <v>9.4954000000000001</v>
      </c>
      <c r="J444">
        <v>7.21</v>
      </c>
      <c r="K444">
        <v>0</v>
      </c>
      <c r="L444">
        <v>0</v>
      </c>
      <c r="M444">
        <v>273.30790000000002</v>
      </c>
      <c r="N444">
        <v>150</v>
      </c>
      <c r="O444">
        <v>10845087</v>
      </c>
    </row>
    <row r="445" spans="2:15" x14ac:dyDescent="0.35">
      <c r="B445" t="s">
        <v>37</v>
      </c>
      <c r="C445">
        <v>2006</v>
      </c>
      <c r="D445">
        <v>12.94</v>
      </c>
      <c r="E445">
        <v>10.8</v>
      </c>
      <c r="F445">
        <v>7.2576999999999998</v>
      </c>
      <c r="G445">
        <v>7.0766999999999998</v>
      </c>
      <c r="H445">
        <v>14305</v>
      </c>
      <c r="I445">
        <v>9.5684000000000005</v>
      </c>
      <c r="J445">
        <v>6.92</v>
      </c>
      <c r="K445">
        <v>0</v>
      </c>
      <c r="L445">
        <v>0</v>
      </c>
      <c r="M445">
        <v>273.30790000000002</v>
      </c>
      <c r="N445">
        <v>1334</v>
      </c>
      <c r="O445">
        <v>10963219</v>
      </c>
    </row>
    <row r="446" spans="2:15" x14ac:dyDescent="0.35">
      <c r="B446" t="s">
        <v>37</v>
      </c>
      <c r="C446">
        <v>2007</v>
      </c>
      <c r="D446">
        <v>15.64</v>
      </c>
      <c r="E446">
        <v>3.62</v>
      </c>
      <c r="F446">
        <v>7.4116</v>
      </c>
      <c r="G446">
        <v>5.9480000000000004</v>
      </c>
      <c r="H446">
        <v>16689</v>
      </c>
      <c r="I446">
        <v>9.7225000000000001</v>
      </c>
      <c r="J446">
        <v>7.33</v>
      </c>
      <c r="K446">
        <v>0</v>
      </c>
      <c r="L446">
        <v>0</v>
      </c>
      <c r="M446">
        <v>273.30790000000002</v>
      </c>
      <c r="N446">
        <v>1717</v>
      </c>
      <c r="O446">
        <v>10582887</v>
      </c>
    </row>
    <row r="447" spans="2:15" x14ac:dyDescent="0.35">
      <c r="B447" t="s">
        <v>37</v>
      </c>
      <c r="C447">
        <v>2008</v>
      </c>
      <c r="D447">
        <v>16.54</v>
      </c>
      <c r="E447">
        <v>2.93</v>
      </c>
      <c r="F447">
        <v>7.4927999999999999</v>
      </c>
      <c r="G447">
        <v>5.7621000000000002</v>
      </c>
      <c r="H447">
        <v>18378</v>
      </c>
      <c r="I447">
        <v>9.8188999999999993</v>
      </c>
      <c r="J447">
        <v>6.08</v>
      </c>
      <c r="K447">
        <v>0</v>
      </c>
      <c r="L447">
        <v>0</v>
      </c>
      <c r="M447">
        <v>273.30790000000002</v>
      </c>
      <c r="N447">
        <v>2035</v>
      </c>
      <c r="O447">
        <v>10855228</v>
      </c>
    </row>
    <row r="448" spans="2:15" x14ac:dyDescent="0.35">
      <c r="B448" t="s">
        <v>37</v>
      </c>
      <c r="C448">
        <v>2009</v>
      </c>
      <c r="D448">
        <v>15.04</v>
      </c>
      <c r="E448">
        <v>4.37</v>
      </c>
      <c r="F448">
        <v>7.4031000000000002</v>
      </c>
      <c r="G448">
        <v>6.1675000000000004</v>
      </c>
      <c r="H448">
        <v>19778</v>
      </c>
      <c r="I448">
        <v>9.8923000000000005</v>
      </c>
      <c r="J448">
        <v>6.69</v>
      </c>
      <c r="K448">
        <v>0</v>
      </c>
      <c r="L448">
        <v>0</v>
      </c>
      <c r="M448">
        <v>273.30790000000002</v>
      </c>
      <c r="N448">
        <v>2512</v>
      </c>
      <c r="O448">
        <v>10914128</v>
      </c>
    </row>
    <row r="449" spans="2:15" x14ac:dyDescent="0.35">
      <c r="B449" t="s">
        <v>37</v>
      </c>
      <c r="C449">
        <v>2010</v>
      </c>
      <c r="D449">
        <v>13.98</v>
      </c>
      <c r="E449">
        <v>3.4</v>
      </c>
      <c r="F449">
        <v>7.3098999999999998</v>
      </c>
      <c r="G449">
        <v>5.8971999999999998</v>
      </c>
      <c r="H449">
        <v>22559</v>
      </c>
      <c r="I449">
        <v>10.023899999999999</v>
      </c>
      <c r="J449">
        <v>5.85</v>
      </c>
      <c r="K449">
        <v>0</v>
      </c>
      <c r="L449">
        <v>0</v>
      </c>
      <c r="M449">
        <v>273.30790000000002</v>
      </c>
      <c r="N449">
        <v>2876</v>
      </c>
      <c r="O449">
        <v>10693929</v>
      </c>
    </row>
    <row r="450" spans="2:15" x14ac:dyDescent="0.35">
      <c r="B450" t="s">
        <v>37</v>
      </c>
      <c r="C450">
        <v>2011</v>
      </c>
      <c r="D450">
        <v>14.25</v>
      </c>
      <c r="E450">
        <v>8.5299999999999994</v>
      </c>
      <c r="F450">
        <v>7.3323999999999998</v>
      </c>
      <c r="G450">
        <v>6.8189000000000002</v>
      </c>
      <c r="H450">
        <v>24695</v>
      </c>
      <c r="I450">
        <v>10.1144</v>
      </c>
      <c r="J450">
        <v>5.01</v>
      </c>
      <c r="K450">
        <v>0</v>
      </c>
      <c r="L450">
        <v>0</v>
      </c>
      <c r="M450">
        <v>273.30790000000002</v>
      </c>
      <c r="N450">
        <v>3791</v>
      </c>
      <c r="O450">
        <v>10733030</v>
      </c>
    </row>
    <row r="451" spans="2:15" x14ac:dyDescent="0.35">
      <c r="B451" t="s">
        <v>37</v>
      </c>
      <c r="C451">
        <v>2012</v>
      </c>
      <c r="D451">
        <v>16.13</v>
      </c>
      <c r="E451">
        <v>4.53</v>
      </c>
      <c r="F451">
        <v>7.4599000000000002</v>
      </c>
      <c r="G451">
        <v>6.1902999999999997</v>
      </c>
      <c r="H451">
        <v>26707</v>
      </c>
      <c r="I451">
        <v>10.1927</v>
      </c>
      <c r="J451">
        <v>4.96</v>
      </c>
      <c r="K451">
        <v>0</v>
      </c>
      <c r="L451">
        <v>0</v>
      </c>
      <c r="M451">
        <v>273.30790000000002</v>
      </c>
      <c r="N451">
        <v>4279</v>
      </c>
      <c r="O451">
        <v>10768025</v>
      </c>
    </row>
    <row r="452" spans="2:15" x14ac:dyDescent="0.35">
      <c r="B452" t="s">
        <v>37</v>
      </c>
      <c r="C452">
        <v>2013</v>
      </c>
      <c r="D452">
        <v>15.33</v>
      </c>
      <c r="E452">
        <v>1.87</v>
      </c>
      <c r="F452">
        <v>7.4447999999999999</v>
      </c>
      <c r="G452">
        <v>5.3422999999999998</v>
      </c>
      <c r="H452">
        <v>29765</v>
      </c>
      <c r="I452">
        <v>10.3011</v>
      </c>
      <c r="J452">
        <v>4.82</v>
      </c>
      <c r="K452">
        <v>0</v>
      </c>
      <c r="L452">
        <v>0</v>
      </c>
      <c r="M452">
        <v>273.30790000000002</v>
      </c>
      <c r="N452">
        <v>4488</v>
      </c>
      <c r="O452">
        <v>11164043</v>
      </c>
    </row>
    <row r="453" spans="2:15" x14ac:dyDescent="0.35">
      <c r="B453" t="s">
        <v>37</v>
      </c>
      <c r="C453">
        <v>2014</v>
      </c>
      <c r="D453">
        <v>18.309999999999999</v>
      </c>
      <c r="E453">
        <v>1.86</v>
      </c>
      <c r="F453">
        <v>7.6265999999999998</v>
      </c>
      <c r="G453">
        <v>5.3375000000000004</v>
      </c>
      <c r="H453">
        <v>31927</v>
      </c>
      <c r="I453">
        <v>10.3712</v>
      </c>
      <c r="J453">
        <v>5</v>
      </c>
      <c r="K453">
        <v>0</v>
      </c>
      <c r="L453">
        <v>0</v>
      </c>
      <c r="M453">
        <v>273.30790000000002</v>
      </c>
      <c r="N453">
        <v>4696</v>
      </c>
      <c r="O453">
        <v>11207274</v>
      </c>
    </row>
    <row r="454" spans="2:15" x14ac:dyDescent="0.35">
      <c r="B454" t="s">
        <v>37</v>
      </c>
      <c r="C454">
        <v>2015</v>
      </c>
      <c r="D454">
        <v>20.28</v>
      </c>
      <c r="E454">
        <v>4.2300000000000004</v>
      </c>
      <c r="F454">
        <v>7.7324000000000002</v>
      </c>
      <c r="G454">
        <v>6.1654</v>
      </c>
      <c r="H454">
        <v>33961</v>
      </c>
      <c r="I454">
        <v>10.433</v>
      </c>
      <c r="J454">
        <v>6.4</v>
      </c>
      <c r="K454">
        <v>0</v>
      </c>
      <c r="L454">
        <v>0</v>
      </c>
      <c r="M454">
        <v>273.30790000000002</v>
      </c>
      <c r="N454">
        <v>5172</v>
      </c>
      <c r="O454">
        <v>11247972</v>
      </c>
    </row>
    <row r="455" spans="2:15" x14ac:dyDescent="0.35">
      <c r="B455" t="s">
        <v>37</v>
      </c>
      <c r="C455">
        <v>2016</v>
      </c>
      <c r="D455">
        <v>22.2</v>
      </c>
      <c r="E455">
        <v>7.65</v>
      </c>
      <c r="F455">
        <v>7.8263999999999996</v>
      </c>
      <c r="G455">
        <v>6.7603999999999997</v>
      </c>
      <c r="H455">
        <v>36219</v>
      </c>
      <c r="I455">
        <v>10.497299999999999</v>
      </c>
      <c r="J455">
        <v>8.3000000000000007</v>
      </c>
      <c r="K455">
        <v>0</v>
      </c>
      <c r="L455">
        <v>0</v>
      </c>
      <c r="M455">
        <v>273.30790000000002</v>
      </c>
      <c r="N455">
        <v>6035</v>
      </c>
      <c r="O455">
        <v>11286500</v>
      </c>
    </row>
    <row r="456" spans="2:15" x14ac:dyDescent="0.35">
      <c r="B456" t="s">
        <v>37</v>
      </c>
      <c r="C456">
        <v>2017</v>
      </c>
      <c r="D456">
        <v>22.8</v>
      </c>
      <c r="E456">
        <v>12.89</v>
      </c>
      <c r="F456">
        <v>7.8563000000000001</v>
      </c>
      <c r="G456">
        <v>7.2862</v>
      </c>
      <c r="H456">
        <v>37382</v>
      </c>
      <c r="I456">
        <v>10.5289</v>
      </c>
      <c r="J456">
        <v>8.5</v>
      </c>
      <c r="K456">
        <v>0</v>
      </c>
      <c r="L456">
        <v>0</v>
      </c>
      <c r="M456">
        <v>273.30790000000002</v>
      </c>
      <c r="N456">
        <v>7495</v>
      </c>
      <c r="O456">
        <v>11322895</v>
      </c>
    </row>
    <row r="457" spans="2:15" x14ac:dyDescent="0.35">
      <c r="B457" t="s">
        <v>37</v>
      </c>
      <c r="C457">
        <v>2018</v>
      </c>
      <c r="D457">
        <v>18.260000000000002</v>
      </c>
      <c r="E457">
        <v>18.170000000000002</v>
      </c>
      <c r="F457">
        <v>7.6348000000000003</v>
      </c>
      <c r="G457">
        <v>7.63</v>
      </c>
      <c r="H457">
        <v>40363</v>
      </c>
      <c r="I457">
        <v>10.605700000000001</v>
      </c>
      <c r="J457">
        <v>8.1999999999999993</v>
      </c>
      <c r="K457">
        <v>0</v>
      </c>
      <c r="L457">
        <v>0</v>
      </c>
      <c r="M457">
        <v>273.30790000000002</v>
      </c>
      <c r="N457">
        <v>9554</v>
      </c>
      <c r="O457">
        <v>11329605</v>
      </c>
    </row>
    <row r="458" spans="2:15" x14ac:dyDescent="0.35">
      <c r="B458" t="s">
        <v>37</v>
      </c>
      <c r="C458">
        <v>2019</v>
      </c>
      <c r="D458">
        <v>14.05</v>
      </c>
      <c r="E458">
        <v>96.31</v>
      </c>
      <c r="F458">
        <v>7.3771000000000004</v>
      </c>
      <c r="G458">
        <v>9.3017000000000003</v>
      </c>
      <c r="H458">
        <v>42406</v>
      </c>
      <c r="I458">
        <v>10.654999999999999</v>
      </c>
      <c r="J458">
        <v>8.1999999999999993</v>
      </c>
      <c r="K458">
        <v>0</v>
      </c>
      <c r="L458">
        <v>0</v>
      </c>
      <c r="M458">
        <v>273.30790000000002</v>
      </c>
      <c r="N458">
        <v>20511</v>
      </c>
      <c r="O458">
        <v>11377239</v>
      </c>
    </row>
    <row r="459" spans="2:15" x14ac:dyDescent="0.35">
      <c r="B459" t="s">
        <v>37</v>
      </c>
      <c r="C459">
        <v>2020</v>
      </c>
      <c r="D459">
        <v>13.46</v>
      </c>
      <c r="E459">
        <v>138.97</v>
      </c>
      <c r="F459">
        <v>7.3376000000000001</v>
      </c>
      <c r="G459">
        <v>9.6724999999999994</v>
      </c>
      <c r="H459">
        <v>41228</v>
      </c>
      <c r="I459">
        <v>10.626899999999999</v>
      </c>
      <c r="J459">
        <v>9.3000000000000007</v>
      </c>
      <c r="K459">
        <v>0</v>
      </c>
      <c r="L459">
        <v>1</v>
      </c>
      <c r="M459">
        <v>273.30790000000002</v>
      </c>
      <c r="N459">
        <v>36386</v>
      </c>
      <c r="O459">
        <v>11422973</v>
      </c>
    </row>
    <row r="460" spans="2:15" x14ac:dyDescent="0.35">
      <c r="B460" t="s">
        <v>37</v>
      </c>
      <c r="C460">
        <v>2021</v>
      </c>
      <c r="D460">
        <v>12.02</v>
      </c>
      <c r="E460">
        <v>215.13</v>
      </c>
      <c r="F460">
        <v>7.2283999999999997</v>
      </c>
      <c r="G460">
        <v>10.113300000000001</v>
      </c>
      <c r="H460">
        <v>50694</v>
      </c>
      <c r="I460">
        <v>10.833600000000001</v>
      </c>
      <c r="J460">
        <v>8.6999999999999993</v>
      </c>
      <c r="K460">
        <v>0</v>
      </c>
      <c r="L460">
        <v>1</v>
      </c>
      <c r="M460">
        <v>273.30790000000002</v>
      </c>
      <c r="N460">
        <v>61054</v>
      </c>
      <c r="O460">
        <v>11466630</v>
      </c>
    </row>
    <row r="461" spans="2:15" x14ac:dyDescent="0.35">
      <c r="B461" t="s">
        <v>37</v>
      </c>
      <c r="C461">
        <v>2022</v>
      </c>
      <c r="D461">
        <v>13.58</v>
      </c>
      <c r="E461">
        <v>273.31</v>
      </c>
      <c r="F461">
        <v>7.2984</v>
      </c>
      <c r="G461">
        <v>10.3004</v>
      </c>
      <c r="H461">
        <v>54547</v>
      </c>
      <c r="I461">
        <v>10.9068</v>
      </c>
      <c r="J461">
        <v>6.1</v>
      </c>
      <c r="K461">
        <v>0</v>
      </c>
      <c r="L461">
        <v>0</v>
      </c>
      <c r="M461">
        <v>273.30790000000002</v>
      </c>
      <c r="N461">
        <v>90798</v>
      </c>
      <c r="O461">
        <v>10882965</v>
      </c>
    </row>
    <row r="462" spans="2:15" x14ac:dyDescent="0.35">
      <c r="B462" t="s">
        <v>37</v>
      </c>
      <c r="C462">
        <v>2023</v>
      </c>
      <c r="D462">
        <v>12.93</v>
      </c>
      <c r="E462">
        <v>1.38</v>
      </c>
      <c r="F462">
        <v>7.2492000000000001</v>
      </c>
      <c r="G462">
        <v>5.0106000000000002</v>
      </c>
      <c r="H462">
        <v>59736</v>
      </c>
      <c r="I462">
        <v>10.9977</v>
      </c>
      <c r="J462">
        <v>5.3</v>
      </c>
      <c r="K462">
        <v>1</v>
      </c>
      <c r="L462">
        <v>0</v>
      </c>
      <c r="M462">
        <v>273.30790000000002</v>
      </c>
      <c r="N462">
        <v>90948</v>
      </c>
      <c r="O462">
        <v>10882965</v>
      </c>
    </row>
    <row r="463" spans="2:15" x14ac:dyDescent="0.35">
      <c r="B463" t="s">
        <v>37</v>
      </c>
      <c r="C463">
        <v>2024</v>
      </c>
      <c r="D463">
        <v>10.93</v>
      </c>
      <c r="E463">
        <v>47.75</v>
      </c>
      <c r="F463">
        <v>7.1123000000000003</v>
      </c>
      <c r="G463">
        <v>8.5870999999999995</v>
      </c>
      <c r="H463">
        <v>61199</v>
      </c>
      <c r="I463">
        <v>11.0219</v>
      </c>
      <c r="J463">
        <v>5.0999999999999996</v>
      </c>
      <c r="K463">
        <v>1</v>
      </c>
      <c r="L463">
        <v>0</v>
      </c>
      <c r="M463">
        <v>273.30790000000002</v>
      </c>
      <c r="N463">
        <v>96310</v>
      </c>
      <c r="O463">
        <v>11229915</v>
      </c>
    </row>
    <row r="464" spans="2:15" x14ac:dyDescent="0.35">
      <c r="B464" t="s">
        <v>38</v>
      </c>
      <c r="C464">
        <v>2005</v>
      </c>
      <c r="D464">
        <v>6.58</v>
      </c>
      <c r="E464">
        <v>1.35</v>
      </c>
      <c r="F464">
        <v>5.9558</v>
      </c>
      <c r="G464">
        <v>4.3693999999999997</v>
      </c>
      <c r="H464">
        <v>14543</v>
      </c>
      <c r="I464">
        <v>9.5848999999999993</v>
      </c>
      <c r="J464">
        <v>4.91</v>
      </c>
      <c r="K464">
        <v>0</v>
      </c>
      <c r="L464">
        <v>0</v>
      </c>
      <c r="M464">
        <v>371.16500000000002</v>
      </c>
      <c r="N464">
        <v>79</v>
      </c>
      <c r="O464">
        <v>5866568</v>
      </c>
    </row>
    <row r="465" spans="2:15" x14ac:dyDescent="0.35">
      <c r="B465" t="s">
        <v>38</v>
      </c>
      <c r="C465">
        <v>2006</v>
      </c>
      <c r="D465">
        <v>6.39</v>
      </c>
      <c r="E465">
        <v>0.89</v>
      </c>
      <c r="F465">
        <v>5.9428000000000001</v>
      </c>
      <c r="G465">
        <v>3.9702999999999999</v>
      </c>
      <c r="H465">
        <v>15633</v>
      </c>
      <c r="I465">
        <v>9.6570999999999998</v>
      </c>
      <c r="J465">
        <v>5.16</v>
      </c>
      <c r="K465">
        <v>0</v>
      </c>
      <c r="L465">
        <v>0</v>
      </c>
      <c r="M465">
        <v>371.16500000000002</v>
      </c>
      <c r="N465">
        <v>132</v>
      </c>
      <c r="O465">
        <v>5958266</v>
      </c>
    </row>
    <row r="466" spans="2:15" x14ac:dyDescent="0.35">
      <c r="B466" t="s">
        <v>38</v>
      </c>
      <c r="C466">
        <v>2007</v>
      </c>
      <c r="D466">
        <v>6.44</v>
      </c>
      <c r="E466">
        <v>0.68</v>
      </c>
      <c r="F466">
        <v>5.9348999999999998</v>
      </c>
      <c r="G466">
        <v>3.6888999999999998</v>
      </c>
      <c r="H466">
        <v>17834</v>
      </c>
      <c r="I466">
        <v>9.7888999999999999</v>
      </c>
      <c r="J466">
        <v>5.2</v>
      </c>
      <c r="K466">
        <v>0</v>
      </c>
      <c r="L466">
        <v>0</v>
      </c>
      <c r="M466">
        <v>371.16500000000002</v>
      </c>
      <c r="N466">
        <v>172</v>
      </c>
      <c r="O466">
        <v>5866487</v>
      </c>
    </row>
    <row r="467" spans="2:15" x14ac:dyDescent="0.35">
      <c r="B467" t="s">
        <v>38</v>
      </c>
      <c r="C467">
        <v>2008</v>
      </c>
      <c r="D467">
        <v>8.24</v>
      </c>
      <c r="E467">
        <v>1.1399999999999999</v>
      </c>
      <c r="F467">
        <v>6.2126000000000001</v>
      </c>
      <c r="G467">
        <v>4.2340999999999998</v>
      </c>
      <c r="H467">
        <v>20368</v>
      </c>
      <c r="I467">
        <v>9.9216999999999995</v>
      </c>
      <c r="J467">
        <v>4.75</v>
      </c>
      <c r="K467">
        <v>0</v>
      </c>
      <c r="L467">
        <v>0</v>
      </c>
      <c r="M467">
        <v>371.16500000000002</v>
      </c>
      <c r="N467">
        <v>241</v>
      </c>
      <c r="O467">
        <v>6052587</v>
      </c>
    </row>
    <row r="468" spans="2:15" x14ac:dyDescent="0.35">
      <c r="B468" t="s">
        <v>38</v>
      </c>
      <c r="C468">
        <v>2009</v>
      </c>
      <c r="D468">
        <v>8.25</v>
      </c>
      <c r="E468">
        <v>2.4700000000000002</v>
      </c>
      <c r="F468">
        <v>6.2245999999999997</v>
      </c>
      <c r="G468">
        <v>5.0172999999999996</v>
      </c>
      <c r="H468">
        <v>21214</v>
      </c>
      <c r="I468">
        <v>9.9624000000000006</v>
      </c>
      <c r="J468">
        <v>5.65</v>
      </c>
      <c r="K468">
        <v>0</v>
      </c>
      <c r="L468">
        <v>0</v>
      </c>
      <c r="M468">
        <v>371.16500000000002</v>
      </c>
      <c r="N468">
        <v>392</v>
      </c>
      <c r="O468">
        <v>6118743</v>
      </c>
    </row>
    <row r="469" spans="2:15" x14ac:dyDescent="0.35">
      <c r="B469" t="s">
        <v>38</v>
      </c>
      <c r="C469">
        <v>2010</v>
      </c>
      <c r="D469">
        <v>7.63</v>
      </c>
      <c r="E469">
        <v>1.95</v>
      </c>
      <c r="F469">
        <v>6.1675000000000004</v>
      </c>
      <c r="G469">
        <v>4.8040000000000003</v>
      </c>
      <c r="H469">
        <v>24602</v>
      </c>
      <c r="I469">
        <v>10.1106</v>
      </c>
      <c r="J469">
        <v>4.63</v>
      </c>
      <c r="K469">
        <v>0</v>
      </c>
      <c r="L469">
        <v>0</v>
      </c>
      <c r="M469">
        <v>371.16500000000002</v>
      </c>
      <c r="N469">
        <v>514</v>
      </c>
      <c r="O469">
        <v>6248436</v>
      </c>
    </row>
    <row r="470" spans="2:15" x14ac:dyDescent="0.35">
      <c r="B470" t="s">
        <v>38</v>
      </c>
      <c r="C470">
        <v>2011</v>
      </c>
      <c r="D470">
        <v>7.61</v>
      </c>
      <c r="E470">
        <v>3.09</v>
      </c>
      <c r="F470">
        <v>6.1759000000000004</v>
      </c>
      <c r="G470">
        <v>5.2729999999999997</v>
      </c>
      <c r="H470">
        <v>27555</v>
      </c>
      <c r="I470">
        <v>10.2239</v>
      </c>
      <c r="J470">
        <v>3.61</v>
      </c>
      <c r="K470">
        <v>0</v>
      </c>
      <c r="L470">
        <v>0</v>
      </c>
      <c r="M470">
        <v>371.16500000000002</v>
      </c>
      <c r="N470">
        <v>709</v>
      </c>
      <c r="O470">
        <v>6317054</v>
      </c>
    </row>
    <row r="471" spans="2:15" x14ac:dyDescent="0.35">
      <c r="B471" t="s">
        <v>38</v>
      </c>
      <c r="C471">
        <v>2012</v>
      </c>
      <c r="D471">
        <v>7.78</v>
      </c>
      <c r="E471">
        <v>2.4500000000000002</v>
      </c>
      <c r="F471">
        <v>6.2046000000000001</v>
      </c>
      <c r="G471">
        <v>5.0499000000000001</v>
      </c>
      <c r="H471">
        <v>30143</v>
      </c>
      <c r="I471">
        <v>10.313700000000001</v>
      </c>
      <c r="J471">
        <v>3.14</v>
      </c>
      <c r="K471">
        <v>0</v>
      </c>
      <c r="L471">
        <v>0</v>
      </c>
      <c r="M471">
        <v>371.16500000000002</v>
      </c>
      <c r="N471">
        <v>865</v>
      </c>
      <c r="O471">
        <v>6362734</v>
      </c>
    </row>
    <row r="472" spans="2:15" x14ac:dyDescent="0.35">
      <c r="B472" t="s">
        <v>38</v>
      </c>
      <c r="C472">
        <v>2013</v>
      </c>
      <c r="D472">
        <v>6.62</v>
      </c>
      <c r="E472">
        <v>1.18</v>
      </c>
      <c r="F472">
        <v>6.0845000000000002</v>
      </c>
      <c r="G472">
        <v>4.3567</v>
      </c>
      <c r="H472">
        <v>32334</v>
      </c>
      <c r="I472">
        <v>10.383900000000001</v>
      </c>
      <c r="J472">
        <v>3.36</v>
      </c>
      <c r="K472">
        <v>0</v>
      </c>
      <c r="L472">
        <v>0</v>
      </c>
      <c r="M472">
        <v>371.16500000000002</v>
      </c>
      <c r="N472">
        <v>943</v>
      </c>
      <c r="O472">
        <v>6634254</v>
      </c>
    </row>
    <row r="473" spans="2:15" x14ac:dyDescent="0.35">
      <c r="B473" t="s">
        <v>38</v>
      </c>
      <c r="C473">
        <v>2014</v>
      </c>
      <c r="D473">
        <v>7.37</v>
      </c>
      <c r="E473">
        <v>2.04</v>
      </c>
      <c r="F473">
        <v>6.2065999999999999</v>
      </c>
      <c r="G473">
        <v>4.92</v>
      </c>
      <c r="H473">
        <v>36056</v>
      </c>
      <c r="I473">
        <v>10.492800000000001</v>
      </c>
      <c r="J473">
        <v>3.13</v>
      </c>
      <c r="K473">
        <v>0</v>
      </c>
      <c r="L473">
        <v>0</v>
      </c>
      <c r="M473">
        <v>371.16500000000002</v>
      </c>
      <c r="N473">
        <v>1080</v>
      </c>
      <c r="O473">
        <v>6727148</v>
      </c>
    </row>
    <row r="474" spans="2:15" x14ac:dyDescent="0.35">
      <c r="B474" t="s">
        <v>38</v>
      </c>
      <c r="C474">
        <v>2015</v>
      </c>
      <c r="D474">
        <v>8.26</v>
      </c>
      <c r="E474">
        <v>2.23</v>
      </c>
      <c r="F474">
        <v>6.3333000000000004</v>
      </c>
      <c r="G474">
        <v>5.0239000000000003</v>
      </c>
      <c r="H474">
        <v>36526</v>
      </c>
      <c r="I474">
        <v>10.505800000000001</v>
      </c>
      <c r="J474">
        <v>4.2</v>
      </c>
      <c r="K474">
        <v>0</v>
      </c>
      <c r="L474">
        <v>0</v>
      </c>
      <c r="M474">
        <v>371.16500000000002</v>
      </c>
      <c r="N474">
        <v>1232</v>
      </c>
      <c r="O474">
        <v>6819190</v>
      </c>
    </row>
    <row r="475" spans="2:15" x14ac:dyDescent="0.35">
      <c r="B475" t="s">
        <v>38</v>
      </c>
      <c r="C475">
        <v>2016</v>
      </c>
      <c r="D475">
        <v>8.8000000000000007</v>
      </c>
      <c r="E475">
        <v>6.29</v>
      </c>
      <c r="F475">
        <v>6.4101999999999997</v>
      </c>
      <c r="G475">
        <v>6.0753000000000004</v>
      </c>
      <c r="H475">
        <v>37154</v>
      </c>
      <c r="I475">
        <v>10.5228</v>
      </c>
      <c r="J475">
        <v>6.4</v>
      </c>
      <c r="K475">
        <v>0</v>
      </c>
      <c r="L475">
        <v>0</v>
      </c>
      <c r="M475">
        <v>371.16500000000002</v>
      </c>
      <c r="N475">
        <v>1667</v>
      </c>
      <c r="O475">
        <v>6910553</v>
      </c>
    </row>
    <row r="476" spans="2:15" x14ac:dyDescent="0.35">
      <c r="B476" t="s">
        <v>38</v>
      </c>
      <c r="C476">
        <v>2017</v>
      </c>
      <c r="D476">
        <v>9.56</v>
      </c>
      <c r="E476">
        <v>7.14</v>
      </c>
      <c r="F476">
        <v>6.5057999999999998</v>
      </c>
      <c r="G476">
        <v>6.2145999999999999</v>
      </c>
      <c r="H476">
        <v>39603</v>
      </c>
      <c r="I476">
        <v>10.5867</v>
      </c>
      <c r="J476">
        <v>7.2</v>
      </c>
      <c r="K476">
        <v>0</v>
      </c>
      <c r="L476">
        <v>0</v>
      </c>
      <c r="M476">
        <v>371.16500000000002</v>
      </c>
      <c r="N476">
        <v>2167</v>
      </c>
      <c r="O476">
        <v>7001161</v>
      </c>
    </row>
    <row r="477" spans="2:15" x14ac:dyDescent="0.35">
      <c r="B477" t="s">
        <v>38</v>
      </c>
      <c r="C477">
        <v>2018</v>
      </c>
      <c r="D477">
        <v>6.35</v>
      </c>
      <c r="E477">
        <v>14.74</v>
      </c>
      <c r="F477">
        <v>6.1070000000000002</v>
      </c>
      <c r="G477">
        <v>6.9499000000000004</v>
      </c>
      <c r="H477">
        <v>42149</v>
      </c>
      <c r="I477">
        <v>10.648999999999999</v>
      </c>
      <c r="J477">
        <v>6.5</v>
      </c>
      <c r="K477">
        <v>0</v>
      </c>
      <c r="L477">
        <v>0</v>
      </c>
      <c r="M477">
        <v>371.16500000000002</v>
      </c>
      <c r="N477">
        <v>3210</v>
      </c>
      <c r="O477">
        <v>7075494</v>
      </c>
    </row>
    <row r="478" spans="2:15" x14ac:dyDescent="0.35">
      <c r="B478" t="s">
        <v>38</v>
      </c>
      <c r="C478">
        <v>2019</v>
      </c>
      <c r="D478">
        <v>5.51</v>
      </c>
      <c r="E478">
        <v>100.77</v>
      </c>
      <c r="F478">
        <v>5.9789000000000003</v>
      </c>
      <c r="G478">
        <v>8.8846000000000007</v>
      </c>
      <c r="H478">
        <v>45118</v>
      </c>
      <c r="I478">
        <v>10.717000000000001</v>
      </c>
      <c r="J478">
        <v>6.2</v>
      </c>
      <c r="K478">
        <v>0</v>
      </c>
      <c r="L478">
        <v>0</v>
      </c>
      <c r="M478">
        <v>371.16500000000002</v>
      </c>
      <c r="N478">
        <v>10430</v>
      </c>
      <c r="O478">
        <v>7164788</v>
      </c>
    </row>
    <row r="479" spans="2:15" x14ac:dyDescent="0.35">
      <c r="B479" t="s">
        <v>38</v>
      </c>
      <c r="C479">
        <v>2020</v>
      </c>
      <c r="D479">
        <v>5.27</v>
      </c>
      <c r="E479">
        <v>179.33</v>
      </c>
      <c r="F479">
        <v>5.9454000000000002</v>
      </c>
      <c r="G479">
        <v>9.4732000000000003</v>
      </c>
      <c r="H479">
        <v>48159</v>
      </c>
      <c r="I479">
        <v>10.782299999999999</v>
      </c>
      <c r="J479">
        <v>6.3</v>
      </c>
      <c r="K479">
        <v>0</v>
      </c>
      <c r="L479">
        <v>1</v>
      </c>
      <c r="M479">
        <v>371.16500000000002</v>
      </c>
      <c r="N479">
        <v>23436</v>
      </c>
      <c r="O479">
        <v>7252502</v>
      </c>
    </row>
    <row r="480" spans="2:15" x14ac:dyDescent="0.35">
      <c r="B480" t="s">
        <v>38</v>
      </c>
      <c r="C480">
        <v>2021</v>
      </c>
      <c r="D480">
        <v>5.18</v>
      </c>
      <c r="E480">
        <v>153.79</v>
      </c>
      <c r="F480">
        <v>5.9401999999999999</v>
      </c>
      <c r="G480">
        <v>9.3313000000000006</v>
      </c>
      <c r="H480">
        <v>58401</v>
      </c>
      <c r="I480">
        <v>10.975099999999999</v>
      </c>
      <c r="J480">
        <v>5.5</v>
      </c>
      <c r="K480">
        <v>0</v>
      </c>
      <c r="L480">
        <v>1</v>
      </c>
      <c r="M480">
        <v>371.16500000000002</v>
      </c>
      <c r="N480">
        <v>34722</v>
      </c>
      <c r="O480">
        <v>7338473</v>
      </c>
    </row>
    <row r="481" spans="2:15" x14ac:dyDescent="0.35">
      <c r="B481" t="s">
        <v>38</v>
      </c>
      <c r="C481">
        <v>2022</v>
      </c>
      <c r="D481">
        <v>4.1100000000000003</v>
      </c>
      <c r="E481">
        <v>371.17</v>
      </c>
      <c r="F481">
        <v>5.7462</v>
      </c>
      <c r="G481">
        <v>10.248699999999999</v>
      </c>
      <c r="H481">
        <v>61268</v>
      </c>
      <c r="I481">
        <v>11.023</v>
      </c>
      <c r="J481">
        <v>3.9</v>
      </c>
      <c r="K481">
        <v>0</v>
      </c>
      <c r="L481">
        <v>0</v>
      </c>
      <c r="M481">
        <v>371.16500000000002</v>
      </c>
      <c r="N481">
        <v>62969</v>
      </c>
      <c r="O481">
        <v>7610361</v>
      </c>
    </row>
    <row r="482" spans="2:15" x14ac:dyDescent="0.35">
      <c r="B482" t="s">
        <v>38</v>
      </c>
      <c r="C482">
        <v>2023</v>
      </c>
      <c r="D482">
        <v>3.9</v>
      </c>
      <c r="E482">
        <v>0.97</v>
      </c>
      <c r="F482">
        <v>5.6936999999999998</v>
      </c>
      <c r="G482">
        <v>4.3041</v>
      </c>
      <c r="H482">
        <v>67460</v>
      </c>
      <c r="I482">
        <v>11.119300000000001</v>
      </c>
      <c r="J482">
        <v>3.5</v>
      </c>
      <c r="K482">
        <v>1</v>
      </c>
      <c r="L482">
        <v>0</v>
      </c>
      <c r="M482">
        <v>371.16500000000002</v>
      </c>
      <c r="N482">
        <v>63043</v>
      </c>
      <c r="O482">
        <v>7610361</v>
      </c>
    </row>
    <row r="483" spans="2:15" x14ac:dyDescent="0.35">
      <c r="B483" t="s">
        <v>38</v>
      </c>
      <c r="C483">
        <v>2024</v>
      </c>
      <c r="D483">
        <v>3.78</v>
      </c>
      <c r="E483">
        <v>72.78</v>
      </c>
      <c r="F483">
        <v>5.7202999999999999</v>
      </c>
      <c r="G483">
        <v>8.6768000000000001</v>
      </c>
      <c r="H483">
        <v>69506</v>
      </c>
      <c r="I483">
        <v>11.1492</v>
      </c>
      <c r="J483">
        <v>3.1</v>
      </c>
      <c r="K483">
        <v>1</v>
      </c>
      <c r="L483">
        <v>0</v>
      </c>
      <c r="M483">
        <v>371.16500000000002</v>
      </c>
      <c r="N483">
        <v>68908</v>
      </c>
      <c r="O483">
        <v>8058441</v>
      </c>
    </row>
    <row r="484" spans="2:15" x14ac:dyDescent="0.35">
      <c r="B484" t="s">
        <v>39</v>
      </c>
      <c r="C484">
        <v>2005</v>
      </c>
      <c r="D484">
        <v>16.52</v>
      </c>
      <c r="E484">
        <v>0</v>
      </c>
      <c r="F484">
        <v>5.7838000000000003</v>
      </c>
      <c r="H484">
        <v>6823</v>
      </c>
      <c r="I484">
        <v>8.8280999999999992</v>
      </c>
      <c r="J484">
        <v>13.98</v>
      </c>
      <c r="K484">
        <v>0</v>
      </c>
      <c r="L484">
        <v>0</v>
      </c>
      <c r="M484">
        <v>47.420699999999997</v>
      </c>
      <c r="N484">
        <v>0</v>
      </c>
      <c r="O484">
        <v>1967791</v>
      </c>
    </row>
    <row r="485" spans="2:15" x14ac:dyDescent="0.35">
      <c r="B485" t="s">
        <v>39</v>
      </c>
      <c r="C485">
        <v>2006</v>
      </c>
      <c r="D485">
        <v>20.69</v>
      </c>
      <c r="E485">
        <v>0</v>
      </c>
      <c r="F485">
        <v>6.0259</v>
      </c>
      <c r="H485">
        <v>7559</v>
      </c>
      <c r="I485">
        <v>8.9305000000000003</v>
      </c>
      <c r="J485">
        <v>10.29</v>
      </c>
      <c r="K485">
        <v>0</v>
      </c>
      <c r="L485">
        <v>0</v>
      </c>
      <c r="M485">
        <v>47.420699999999997</v>
      </c>
      <c r="N485">
        <v>0</v>
      </c>
      <c r="O485">
        <v>2000738</v>
      </c>
    </row>
    <row r="486" spans="2:15" x14ac:dyDescent="0.35">
      <c r="B486" t="s">
        <v>39</v>
      </c>
      <c r="C486">
        <v>2007</v>
      </c>
      <c r="D486">
        <v>17.84</v>
      </c>
      <c r="E486">
        <v>0</v>
      </c>
      <c r="F486">
        <v>5.8464</v>
      </c>
      <c r="H486">
        <v>8712</v>
      </c>
      <c r="I486">
        <v>9.0724999999999998</v>
      </c>
      <c r="J486">
        <v>9.77</v>
      </c>
      <c r="K486">
        <v>0</v>
      </c>
      <c r="L486">
        <v>0</v>
      </c>
      <c r="M486">
        <v>47.420699999999997</v>
      </c>
      <c r="N486">
        <v>0</v>
      </c>
      <c r="O486">
        <v>1939426</v>
      </c>
    </row>
    <row r="487" spans="2:15" x14ac:dyDescent="0.35">
      <c r="B487" t="s">
        <v>39</v>
      </c>
      <c r="C487">
        <v>2008</v>
      </c>
      <c r="D487">
        <v>18.66</v>
      </c>
      <c r="E487">
        <v>0</v>
      </c>
      <c r="F487">
        <v>5.9215999999999998</v>
      </c>
      <c r="H487">
        <v>9779</v>
      </c>
      <c r="I487">
        <v>9.1880000000000006</v>
      </c>
      <c r="J487">
        <v>8.43</v>
      </c>
      <c r="K487">
        <v>0</v>
      </c>
      <c r="L487">
        <v>0</v>
      </c>
      <c r="M487">
        <v>47.420699999999997</v>
      </c>
      <c r="N487">
        <v>0</v>
      </c>
      <c r="O487">
        <v>1999374</v>
      </c>
    </row>
    <row r="488" spans="2:15" x14ac:dyDescent="0.35">
      <c r="B488" t="s">
        <v>39</v>
      </c>
      <c r="C488">
        <v>2009</v>
      </c>
      <c r="D488">
        <v>22.18</v>
      </c>
      <c r="E488">
        <v>0</v>
      </c>
      <c r="F488">
        <v>6.1048</v>
      </c>
      <c r="H488">
        <v>9787</v>
      </c>
      <c r="I488">
        <v>9.1888000000000005</v>
      </c>
      <c r="J488">
        <v>12.01</v>
      </c>
      <c r="K488">
        <v>0</v>
      </c>
      <c r="L488">
        <v>0</v>
      </c>
      <c r="M488">
        <v>47.420699999999997</v>
      </c>
      <c r="N488">
        <v>0</v>
      </c>
      <c r="O488">
        <v>2019679</v>
      </c>
    </row>
    <row r="489" spans="2:15" x14ac:dyDescent="0.35">
      <c r="B489" t="s">
        <v>39</v>
      </c>
      <c r="C489">
        <v>2010</v>
      </c>
      <c r="D489">
        <v>22.29</v>
      </c>
      <c r="E489">
        <v>0</v>
      </c>
      <c r="F489">
        <v>6.1334</v>
      </c>
      <c r="H489">
        <v>12768</v>
      </c>
      <c r="I489">
        <v>9.4547000000000008</v>
      </c>
      <c r="J489">
        <v>10.48</v>
      </c>
      <c r="K489">
        <v>0</v>
      </c>
      <c r="L489">
        <v>0</v>
      </c>
      <c r="M489">
        <v>47.420699999999997</v>
      </c>
      <c r="N489">
        <v>0</v>
      </c>
      <c r="O489">
        <v>2068017</v>
      </c>
    </row>
    <row r="490" spans="2:15" x14ac:dyDescent="0.35">
      <c r="B490" t="s">
        <v>39</v>
      </c>
      <c r="C490">
        <v>2011</v>
      </c>
      <c r="D490">
        <v>25.17</v>
      </c>
      <c r="E490">
        <v>0</v>
      </c>
      <c r="F490">
        <v>6.2652999999999999</v>
      </c>
      <c r="H490">
        <v>13929</v>
      </c>
      <c r="I490">
        <v>9.5417000000000005</v>
      </c>
      <c r="J490">
        <v>8.9600000000000009</v>
      </c>
      <c r="K490">
        <v>0</v>
      </c>
      <c r="L490">
        <v>0</v>
      </c>
      <c r="M490">
        <v>47.420699999999997</v>
      </c>
      <c r="N490">
        <v>0</v>
      </c>
      <c r="O490">
        <v>2089819</v>
      </c>
    </row>
    <row r="491" spans="2:15" x14ac:dyDescent="0.35">
      <c r="B491" t="s">
        <v>39</v>
      </c>
      <c r="C491">
        <v>2012</v>
      </c>
      <c r="D491">
        <v>30.94</v>
      </c>
      <c r="E491">
        <v>0.05</v>
      </c>
      <c r="F491">
        <v>6.4816000000000003</v>
      </c>
      <c r="G491">
        <v>0</v>
      </c>
      <c r="H491">
        <v>15564</v>
      </c>
      <c r="I491">
        <v>9.6526999999999994</v>
      </c>
      <c r="J491">
        <v>8.5</v>
      </c>
      <c r="K491">
        <v>0</v>
      </c>
      <c r="L491">
        <v>0</v>
      </c>
      <c r="M491">
        <v>47.420699999999997</v>
      </c>
      <c r="N491">
        <v>1</v>
      </c>
      <c r="O491">
        <v>2110867</v>
      </c>
    </row>
    <row r="492" spans="2:15" x14ac:dyDescent="0.35">
      <c r="B492" t="s">
        <v>39</v>
      </c>
      <c r="C492">
        <v>2013</v>
      </c>
      <c r="D492">
        <v>32.93</v>
      </c>
      <c r="E492">
        <v>0.14000000000000001</v>
      </c>
      <c r="F492">
        <v>6.5834000000000001</v>
      </c>
      <c r="G492">
        <v>1.0986</v>
      </c>
      <c r="H492">
        <v>16094</v>
      </c>
      <c r="I492">
        <v>9.6861999999999995</v>
      </c>
      <c r="J492">
        <v>9.32</v>
      </c>
      <c r="K492">
        <v>0</v>
      </c>
      <c r="L492">
        <v>0</v>
      </c>
      <c r="M492">
        <v>47.420699999999997</v>
      </c>
      <c r="N492">
        <v>4</v>
      </c>
      <c r="O492">
        <v>2195662</v>
      </c>
    </row>
    <row r="493" spans="2:15" x14ac:dyDescent="0.35">
      <c r="B493" t="s">
        <v>39</v>
      </c>
      <c r="C493">
        <v>2014</v>
      </c>
      <c r="D493">
        <v>40.369999999999997</v>
      </c>
      <c r="E493">
        <v>0</v>
      </c>
      <c r="F493">
        <v>6.7979000000000003</v>
      </c>
      <c r="H493">
        <v>16883</v>
      </c>
      <c r="I493">
        <v>9.7340999999999998</v>
      </c>
      <c r="J493">
        <v>8.65</v>
      </c>
      <c r="K493">
        <v>0</v>
      </c>
      <c r="L493">
        <v>0</v>
      </c>
      <c r="M493">
        <v>47.420699999999997</v>
      </c>
      <c r="N493">
        <v>4</v>
      </c>
      <c r="O493">
        <v>2219574</v>
      </c>
    </row>
    <row r="494" spans="2:15" x14ac:dyDescent="0.35">
      <c r="B494" t="s">
        <v>39</v>
      </c>
      <c r="C494">
        <v>2015</v>
      </c>
      <c r="D494">
        <v>49.09</v>
      </c>
      <c r="E494">
        <v>0.36</v>
      </c>
      <c r="F494">
        <v>7.0039999999999996</v>
      </c>
      <c r="G494">
        <v>2.0794000000000001</v>
      </c>
      <c r="H494">
        <v>17190</v>
      </c>
      <c r="I494">
        <v>9.7521000000000004</v>
      </c>
      <c r="J494">
        <v>9.1999999999999993</v>
      </c>
      <c r="K494">
        <v>0</v>
      </c>
      <c r="L494">
        <v>0</v>
      </c>
      <c r="M494">
        <v>47.420699999999997</v>
      </c>
      <c r="N494">
        <v>12</v>
      </c>
      <c r="O494">
        <v>2242937</v>
      </c>
    </row>
    <row r="495" spans="2:15" x14ac:dyDescent="0.35">
      <c r="B495" t="s">
        <v>39</v>
      </c>
      <c r="C495">
        <v>2016</v>
      </c>
      <c r="D495">
        <v>55.74</v>
      </c>
      <c r="E495">
        <v>2.4300000000000002</v>
      </c>
      <c r="F495">
        <v>7.1412000000000004</v>
      </c>
      <c r="G495">
        <v>4.0072999999999999</v>
      </c>
      <c r="H495">
        <v>17159</v>
      </c>
      <c r="I495">
        <v>9.7502999999999993</v>
      </c>
      <c r="J495">
        <v>13.6</v>
      </c>
      <c r="K495">
        <v>0</v>
      </c>
      <c r="L495">
        <v>0</v>
      </c>
      <c r="M495">
        <v>47.420699999999997</v>
      </c>
      <c r="N495">
        <v>67</v>
      </c>
      <c r="O495">
        <v>2265779</v>
      </c>
    </row>
    <row r="496" spans="2:15" x14ac:dyDescent="0.35">
      <c r="B496" t="s">
        <v>39</v>
      </c>
      <c r="C496">
        <v>2017</v>
      </c>
      <c r="D496">
        <v>47.94</v>
      </c>
      <c r="E496">
        <v>3.76</v>
      </c>
      <c r="F496">
        <v>7.0003000000000002</v>
      </c>
      <c r="G496">
        <v>4.4542999999999999</v>
      </c>
      <c r="H496">
        <v>17793</v>
      </c>
      <c r="I496">
        <v>9.7866</v>
      </c>
      <c r="J496">
        <v>14.6</v>
      </c>
      <c r="K496">
        <v>0</v>
      </c>
      <c r="L496">
        <v>0</v>
      </c>
      <c r="M496">
        <v>47.420699999999997</v>
      </c>
      <c r="N496">
        <v>153</v>
      </c>
      <c r="O496">
        <v>2288116</v>
      </c>
    </row>
    <row r="497" spans="2:15" x14ac:dyDescent="0.35">
      <c r="B497" t="s">
        <v>39</v>
      </c>
      <c r="C497">
        <v>2018</v>
      </c>
      <c r="D497">
        <v>42.18</v>
      </c>
      <c r="E497">
        <v>4.13</v>
      </c>
      <c r="F497">
        <v>6.8680000000000003</v>
      </c>
      <c r="G497">
        <v>4.5433000000000003</v>
      </c>
      <c r="H497">
        <v>18443</v>
      </c>
      <c r="I497">
        <v>9.8224</v>
      </c>
      <c r="J497">
        <v>16.8</v>
      </c>
      <c r="K497">
        <v>0</v>
      </c>
      <c r="L497">
        <v>0</v>
      </c>
      <c r="M497">
        <v>47.420699999999997</v>
      </c>
      <c r="N497">
        <v>247</v>
      </c>
      <c r="O497">
        <v>2278308</v>
      </c>
    </row>
    <row r="498" spans="2:15" x14ac:dyDescent="0.35">
      <c r="B498" t="s">
        <v>39</v>
      </c>
      <c r="C498">
        <v>2019</v>
      </c>
      <c r="D498">
        <v>33.93</v>
      </c>
      <c r="E498">
        <v>15.84</v>
      </c>
      <c r="F498">
        <v>6.6593</v>
      </c>
      <c r="G498">
        <v>5.8971999999999998</v>
      </c>
      <c r="H498">
        <v>19441</v>
      </c>
      <c r="I498">
        <v>9.8750999999999998</v>
      </c>
      <c r="J498">
        <v>15.2</v>
      </c>
      <c r="K498">
        <v>0</v>
      </c>
      <c r="L498">
        <v>0</v>
      </c>
      <c r="M498">
        <v>47.420699999999997</v>
      </c>
      <c r="N498">
        <v>611</v>
      </c>
      <c r="O498">
        <v>2298696</v>
      </c>
    </row>
    <row r="499" spans="2:15" x14ac:dyDescent="0.35">
      <c r="B499" t="s">
        <v>39</v>
      </c>
      <c r="C499">
        <v>2020</v>
      </c>
      <c r="D499">
        <v>35.49</v>
      </c>
      <c r="E499">
        <v>26.69</v>
      </c>
      <c r="F499">
        <v>6.7130000000000001</v>
      </c>
      <c r="G499">
        <v>6.4280999999999997</v>
      </c>
      <c r="H499">
        <v>19583</v>
      </c>
      <c r="I499">
        <v>9.8824000000000005</v>
      </c>
      <c r="J499">
        <v>18.899999999999999</v>
      </c>
      <c r="K499">
        <v>0</v>
      </c>
      <c r="L499">
        <v>1</v>
      </c>
      <c r="M499">
        <v>47.420699999999997</v>
      </c>
      <c r="N499">
        <v>1230</v>
      </c>
      <c r="O499">
        <v>2318822</v>
      </c>
    </row>
    <row r="500" spans="2:15" x14ac:dyDescent="0.35">
      <c r="B500" t="s">
        <v>39</v>
      </c>
      <c r="C500">
        <v>2021</v>
      </c>
      <c r="D500">
        <v>28.39</v>
      </c>
      <c r="E500">
        <v>42.89</v>
      </c>
      <c r="F500">
        <v>6.4983000000000004</v>
      </c>
      <c r="G500">
        <v>6.9108000000000001</v>
      </c>
      <c r="H500">
        <v>22177</v>
      </c>
      <c r="I500">
        <v>10.0068</v>
      </c>
      <c r="J500">
        <v>18</v>
      </c>
      <c r="K500">
        <v>0</v>
      </c>
      <c r="L500">
        <v>1</v>
      </c>
      <c r="M500">
        <v>47.420699999999997</v>
      </c>
      <c r="N500">
        <v>2233</v>
      </c>
      <c r="O500">
        <v>2338474</v>
      </c>
    </row>
    <row r="501" spans="2:15" x14ac:dyDescent="0.35">
      <c r="B501" t="s">
        <v>39</v>
      </c>
      <c r="C501">
        <v>2022</v>
      </c>
      <c r="D501">
        <v>29.59</v>
      </c>
      <c r="E501">
        <v>47.42</v>
      </c>
      <c r="F501">
        <v>6.4831000000000003</v>
      </c>
      <c r="G501">
        <v>6.9546000000000001</v>
      </c>
      <c r="H501">
        <v>25960</v>
      </c>
      <c r="I501">
        <v>10.164300000000001</v>
      </c>
      <c r="J501">
        <v>13.1</v>
      </c>
      <c r="K501">
        <v>0</v>
      </c>
      <c r="L501">
        <v>0</v>
      </c>
      <c r="M501">
        <v>47.420699999999997</v>
      </c>
      <c r="N501">
        <v>3281</v>
      </c>
      <c r="O501">
        <v>2210004</v>
      </c>
    </row>
    <row r="502" spans="2:15" x14ac:dyDescent="0.35">
      <c r="B502" t="s">
        <v>39</v>
      </c>
      <c r="C502">
        <v>2023</v>
      </c>
      <c r="D502">
        <v>25.88</v>
      </c>
      <c r="E502">
        <v>0.05</v>
      </c>
      <c r="F502">
        <v>6.3491</v>
      </c>
      <c r="G502">
        <v>0</v>
      </c>
      <c r="H502">
        <v>27519</v>
      </c>
      <c r="I502">
        <v>10.2226</v>
      </c>
      <c r="J502">
        <v>10.9</v>
      </c>
      <c r="K502">
        <v>1</v>
      </c>
      <c r="L502">
        <v>0</v>
      </c>
      <c r="M502">
        <v>47.420699999999997</v>
      </c>
      <c r="N502">
        <v>3282</v>
      </c>
      <c r="O502">
        <v>2210004</v>
      </c>
    </row>
    <row r="503" spans="2:15" x14ac:dyDescent="0.35">
      <c r="B503" t="s">
        <v>39</v>
      </c>
      <c r="C503">
        <v>2024</v>
      </c>
      <c r="D503">
        <v>17.28</v>
      </c>
      <c r="E503">
        <v>1.05</v>
      </c>
      <c r="F503">
        <v>5.9813999999999998</v>
      </c>
      <c r="G503">
        <v>3.1781000000000001</v>
      </c>
      <c r="H503">
        <v>28579</v>
      </c>
      <c r="I503">
        <v>10.260400000000001</v>
      </c>
      <c r="J503">
        <v>8.9</v>
      </c>
      <c r="K503">
        <v>1</v>
      </c>
      <c r="L503">
        <v>0</v>
      </c>
      <c r="M503">
        <v>47.420699999999997</v>
      </c>
      <c r="N503">
        <v>3306</v>
      </c>
      <c r="O503">
        <v>2291077</v>
      </c>
    </row>
    <row r="504" spans="2:15" x14ac:dyDescent="0.35">
      <c r="B504" t="s">
        <v>40</v>
      </c>
      <c r="C504">
        <v>2005</v>
      </c>
      <c r="D504">
        <v>14.3</v>
      </c>
      <c r="E504">
        <v>1.48</v>
      </c>
      <c r="F504">
        <v>8.6629000000000005</v>
      </c>
      <c r="G504">
        <v>6.3936000000000002</v>
      </c>
      <c r="H504">
        <v>17976</v>
      </c>
      <c r="I504">
        <v>9.7967999999999993</v>
      </c>
      <c r="J504">
        <v>11.76</v>
      </c>
      <c r="K504">
        <v>0</v>
      </c>
      <c r="L504">
        <v>0</v>
      </c>
      <c r="M504">
        <v>190.7603</v>
      </c>
      <c r="N504">
        <v>598</v>
      </c>
      <c r="O504">
        <v>40442795</v>
      </c>
    </row>
    <row r="505" spans="2:15" x14ac:dyDescent="0.35">
      <c r="B505" t="s">
        <v>40</v>
      </c>
      <c r="C505">
        <v>2006</v>
      </c>
      <c r="D505">
        <v>14</v>
      </c>
      <c r="E505">
        <v>1.58</v>
      </c>
      <c r="F505">
        <v>8.6565999999999992</v>
      </c>
      <c r="G505">
        <v>6.4770000000000003</v>
      </c>
      <c r="H505">
        <v>19550</v>
      </c>
      <c r="I505">
        <v>9.8806999999999992</v>
      </c>
      <c r="J505">
        <v>10.23</v>
      </c>
      <c r="K505">
        <v>0</v>
      </c>
      <c r="L505">
        <v>0</v>
      </c>
      <c r="M505">
        <v>190.7603</v>
      </c>
      <c r="N505">
        <v>1248</v>
      </c>
      <c r="O505">
        <v>41055734</v>
      </c>
    </row>
    <row r="506" spans="2:15" x14ac:dyDescent="0.35">
      <c r="B506" t="s">
        <v>40</v>
      </c>
      <c r="C506">
        <v>2007</v>
      </c>
      <c r="D506">
        <v>10.37</v>
      </c>
      <c r="E506">
        <v>2.2999999999999998</v>
      </c>
      <c r="F506">
        <v>8.3257999999999992</v>
      </c>
      <c r="G506">
        <v>6.82</v>
      </c>
      <c r="H506">
        <v>22667</v>
      </c>
      <c r="I506">
        <v>10.028700000000001</v>
      </c>
      <c r="J506">
        <v>9.52</v>
      </c>
      <c r="K506">
        <v>0</v>
      </c>
      <c r="L506">
        <v>0</v>
      </c>
      <c r="M506">
        <v>190.7603</v>
      </c>
      <c r="N506">
        <v>2164</v>
      </c>
      <c r="O506">
        <v>39827690</v>
      </c>
    </row>
    <row r="507" spans="2:15" x14ac:dyDescent="0.35">
      <c r="B507" t="s">
        <v>40</v>
      </c>
      <c r="C507">
        <v>2008</v>
      </c>
      <c r="D507">
        <v>9.42</v>
      </c>
      <c r="E507">
        <v>3.15</v>
      </c>
      <c r="F507">
        <v>8.2597000000000005</v>
      </c>
      <c r="G507">
        <v>7.1631999999999998</v>
      </c>
      <c r="H507">
        <v>24457</v>
      </c>
      <c r="I507">
        <v>10.104699999999999</v>
      </c>
      <c r="J507">
        <v>8.19</v>
      </c>
      <c r="K507">
        <v>0</v>
      </c>
      <c r="L507">
        <v>0</v>
      </c>
      <c r="M507">
        <v>190.7603</v>
      </c>
      <c r="N507">
        <v>3455</v>
      </c>
      <c r="O507">
        <v>41011638</v>
      </c>
    </row>
    <row r="508" spans="2:15" x14ac:dyDescent="0.35">
      <c r="B508" t="s">
        <v>40</v>
      </c>
      <c r="C508">
        <v>2009</v>
      </c>
      <c r="D508">
        <v>9.26</v>
      </c>
      <c r="E508">
        <v>6.39</v>
      </c>
      <c r="F508">
        <v>8.2508999999999997</v>
      </c>
      <c r="G508">
        <v>7.8807999999999998</v>
      </c>
      <c r="H508">
        <v>26202</v>
      </c>
      <c r="I508">
        <v>10.1736</v>
      </c>
      <c r="J508">
        <v>9.8000000000000007</v>
      </c>
      <c r="K508">
        <v>0</v>
      </c>
      <c r="L508">
        <v>0</v>
      </c>
      <c r="M508">
        <v>190.7603</v>
      </c>
      <c r="N508">
        <v>6101</v>
      </c>
      <c r="O508">
        <v>41384039</v>
      </c>
    </row>
    <row r="509" spans="2:15" x14ac:dyDescent="0.35">
      <c r="B509" t="s">
        <v>40</v>
      </c>
      <c r="C509">
        <v>2010</v>
      </c>
      <c r="D509">
        <v>8.32</v>
      </c>
      <c r="E509">
        <v>6.35</v>
      </c>
      <c r="F509">
        <v>8.1415000000000006</v>
      </c>
      <c r="G509">
        <v>7.8708999999999998</v>
      </c>
      <c r="H509">
        <v>31377</v>
      </c>
      <c r="I509">
        <v>10.3538</v>
      </c>
      <c r="J509">
        <v>8.48</v>
      </c>
      <c r="K509">
        <v>0</v>
      </c>
      <c r="L509">
        <v>0</v>
      </c>
      <c r="M509">
        <v>190.7603</v>
      </c>
      <c r="N509">
        <v>8721</v>
      </c>
      <c r="O509">
        <v>41262199</v>
      </c>
    </row>
    <row r="510" spans="2:15" x14ac:dyDescent="0.35">
      <c r="B510" t="s">
        <v>40</v>
      </c>
      <c r="C510">
        <v>2011</v>
      </c>
      <c r="D510">
        <v>7.77</v>
      </c>
      <c r="E510">
        <v>5.91</v>
      </c>
      <c r="F510">
        <v>8.0805000000000007</v>
      </c>
      <c r="G510">
        <v>7.8067000000000002</v>
      </c>
      <c r="H510">
        <v>34546</v>
      </c>
      <c r="I510">
        <v>10.45</v>
      </c>
      <c r="J510">
        <v>7.15</v>
      </c>
      <c r="K510">
        <v>0</v>
      </c>
      <c r="L510">
        <v>0</v>
      </c>
      <c r="M510">
        <v>190.7603</v>
      </c>
      <c r="N510">
        <v>11178</v>
      </c>
      <c r="O510">
        <v>41587182</v>
      </c>
    </row>
    <row r="511" spans="2:15" x14ac:dyDescent="0.35">
      <c r="B511" t="s">
        <v>40</v>
      </c>
      <c r="C511">
        <v>2012</v>
      </c>
      <c r="D511">
        <v>9.1199999999999992</v>
      </c>
      <c r="E511">
        <v>4.8600000000000003</v>
      </c>
      <c r="F511">
        <v>8.2483000000000004</v>
      </c>
      <c r="G511">
        <v>7.6186999999999996</v>
      </c>
      <c r="H511">
        <v>37207</v>
      </c>
      <c r="I511">
        <v>10.5243</v>
      </c>
      <c r="J511">
        <v>6.37</v>
      </c>
      <c r="K511">
        <v>0</v>
      </c>
      <c r="L511">
        <v>0</v>
      </c>
      <c r="M511">
        <v>190.7603</v>
      </c>
      <c r="N511">
        <v>13214</v>
      </c>
      <c r="O511">
        <v>41901219</v>
      </c>
    </row>
    <row r="512" spans="2:15" x14ac:dyDescent="0.35">
      <c r="B512" t="s">
        <v>40</v>
      </c>
      <c r="C512">
        <v>2013</v>
      </c>
      <c r="D512">
        <v>7.81</v>
      </c>
      <c r="E512">
        <v>3.08</v>
      </c>
      <c r="F512">
        <v>8.1339000000000006</v>
      </c>
      <c r="G512">
        <v>7.2034000000000002</v>
      </c>
      <c r="H512">
        <v>39283</v>
      </c>
      <c r="I512">
        <v>10.5785</v>
      </c>
      <c r="J512">
        <v>6.67</v>
      </c>
      <c r="K512">
        <v>0</v>
      </c>
      <c r="L512">
        <v>0</v>
      </c>
      <c r="M512">
        <v>190.7603</v>
      </c>
      <c r="N512">
        <v>14558</v>
      </c>
      <c r="O512">
        <v>43663669</v>
      </c>
    </row>
    <row r="513" spans="2:15" x14ac:dyDescent="0.35">
      <c r="B513" t="s">
        <v>40</v>
      </c>
      <c r="C513">
        <v>2014</v>
      </c>
      <c r="D513">
        <v>8.0299999999999994</v>
      </c>
      <c r="E513">
        <v>1.52</v>
      </c>
      <c r="F513">
        <v>8.1707999999999998</v>
      </c>
      <c r="G513">
        <v>6.5072999999999999</v>
      </c>
      <c r="H513">
        <v>42198</v>
      </c>
      <c r="I513">
        <v>10.6501</v>
      </c>
      <c r="J513">
        <v>7.9</v>
      </c>
      <c r="K513">
        <v>0</v>
      </c>
      <c r="L513">
        <v>0</v>
      </c>
      <c r="M513">
        <v>190.7603</v>
      </c>
      <c r="N513">
        <v>15228</v>
      </c>
      <c r="O513">
        <v>44035304</v>
      </c>
    </row>
    <row r="514" spans="2:15" x14ac:dyDescent="0.35">
      <c r="B514" t="s">
        <v>40</v>
      </c>
      <c r="C514">
        <v>2015</v>
      </c>
      <c r="D514">
        <v>6.91</v>
      </c>
      <c r="E514">
        <v>2.14</v>
      </c>
      <c r="F514">
        <v>8.0281000000000002</v>
      </c>
      <c r="G514">
        <v>6.8574999999999999</v>
      </c>
      <c r="H514">
        <v>43695</v>
      </c>
      <c r="I514">
        <v>10.685</v>
      </c>
      <c r="J514">
        <v>9.4</v>
      </c>
      <c r="K514">
        <v>0</v>
      </c>
      <c r="L514">
        <v>0</v>
      </c>
      <c r="M514">
        <v>190.7603</v>
      </c>
      <c r="N514">
        <v>16179</v>
      </c>
      <c r="O514">
        <v>44396484</v>
      </c>
    </row>
    <row r="515" spans="2:15" x14ac:dyDescent="0.35">
      <c r="B515" t="s">
        <v>40</v>
      </c>
      <c r="C515">
        <v>2016</v>
      </c>
      <c r="D515">
        <v>6.01</v>
      </c>
      <c r="E515">
        <v>4.46</v>
      </c>
      <c r="F515">
        <v>7.8973000000000004</v>
      </c>
      <c r="G515">
        <v>7.5979000000000001</v>
      </c>
      <c r="H515">
        <v>45559</v>
      </c>
      <c r="I515">
        <v>10.726800000000001</v>
      </c>
      <c r="J515">
        <v>12.5</v>
      </c>
      <c r="K515">
        <v>0</v>
      </c>
      <c r="L515">
        <v>0</v>
      </c>
      <c r="M515">
        <v>190.7603</v>
      </c>
      <c r="N515">
        <v>18173</v>
      </c>
      <c r="O515">
        <v>44749699</v>
      </c>
    </row>
    <row r="516" spans="2:15" x14ac:dyDescent="0.35">
      <c r="B516" t="s">
        <v>40</v>
      </c>
      <c r="C516">
        <v>2017</v>
      </c>
      <c r="D516">
        <v>5.52</v>
      </c>
      <c r="E516">
        <v>7.2</v>
      </c>
      <c r="F516">
        <v>7.82</v>
      </c>
      <c r="G516">
        <v>8.0858000000000008</v>
      </c>
      <c r="H516">
        <v>47029</v>
      </c>
      <c r="I516">
        <v>10.7585</v>
      </c>
      <c r="J516">
        <v>13.5</v>
      </c>
      <c r="K516">
        <v>0</v>
      </c>
      <c r="L516">
        <v>0</v>
      </c>
      <c r="M516">
        <v>190.7603</v>
      </c>
      <c r="N516">
        <v>21421</v>
      </c>
      <c r="O516">
        <v>45094866</v>
      </c>
    </row>
    <row r="517" spans="2:15" x14ac:dyDescent="0.35">
      <c r="B517" t="s">
        <v>40</v>
      </c>
      <c r="C517">
        <v>2018</v>
      </c>
      <c r="D517">
        <v>4.32</v>
      </c>
      <c r="E517">
        <v>10.01</v>
      </c>
      <c r="F517">
        <v>7.5838000000000001</v>
      </c>
      <c r="G517">
        <v>8.4248999999999992</v>
      </c>
      <c r="H517">
        <v>48542</v>
      </c>
      <c r="I517">
        <v>10.7902</v>
      </c>
      <c r="J517">
        <v>13.4</v>
      </c>
      <c r="K517">
        <v>0</v>
      </c>
      <c r="L517">
        <v>0</v>
      </c>
      <c r="M517">
        <v>190.7603</v>
      </c>
      <c r="N517">
        <v>25980</v>
      </c>
      <c r="O517">
        <v>45538936</v>
      </c>
    </row>
    <row r="518" spans="2:15" x14ac:dyDescent="0.35">
      <c r="B518" t="s">
        <v>40</v>
      </c>
      <c r="C518">
        <v>2019</v>
      </c>
      <c r="D518">
        <v>3.75</v>
      </c>
      <c r="E518">
        <v>53.87</v>
      </c>
      <c r="F518">
        <v>7.4507000000000003</v>
      </c>
      <c r="G518">
        <v>10.116099999999999</v>
      </c>
      <c r="H518">
        <v>51141</v>
      </c>
      <c r="I518">
        <v>10.8423</v>
      </c>
      <c r="J518">
        <v>12.6</v>
      </c>
      <c r="K518">
        <v>0</v>
      </c>
      <c r="L518">
        <v>0</v>
      </c>
      <c r="M518">
        <v>190.7603</v>
      </c>
      <c r="N518">
        <v>50717</v>
      </c>
      <c r="O518">
        <v>45919049</v>
      </c>
    </row>
    <row r="519" spans="2:15" x14ac:dyDescent="0.35">
      <c r="B519" t="s">
        <v>40</v>
      </c>
      <c r="C519">
        <v>2020</v>
      </c>
      <c r="D519">
        <v>3.81</v>
      </c>
      <c r="E519">
        <v>50.59</v>
      </c>
      <c r="F519">
        <v>7.4741999999999997</v>
      </c>
      <c r="G519">
        <v>10.061199999999999</v>
      </c>
      <c r="H519">
        <v>51365</v>
      </c>
      <c r="I519">
        <v>10.8467</v>
      </c>
      <c r="J519">
        <v>14.1</v>
      </c>
      <c r="K519">
        <v>0</v>
      </c>
      <c r="L519">
        <v>1</v>
      </c>
      <c r="M519">
        <v>190.7603</v>
      </c>
      <c r="N519">
        <v>74133</v>
      </c>
      <c r="O519">
        <v>46289333</v>
      </c>
    </row>
    <row r="520" spans="2:15" x14ac:dyDescent="0.35">
      <c r="B520" t="s">
        <v>40</v>
      </c>
      <c r="C520">
        <v>2021</v>
      </c>
      <c r="D520">
        <v>3.48</v>
      </c>
      <c r="E520">
        <v>129.04</v>
      </c>
      <c r="F520">
        <v>7.3914</v>
      </c>
      <c r="G520">
        <v>11.0053</v>
      </c>
      <c r="H520">
        <v>58302</v>
      </c>
      <c r="I520">
        <v>10.9734</v>
      </c>
      <c r="J520">
        <v>13.5</v>
      </c>
      <c r="K520">
        <v>0</v>
      </c>
      <c r="L520">
        <v>1</v>
      </c>
      <c r="M520">
        <v>190.7603</v>
      </c>
      <c r="N520">
        <v>134327</v>
      </c>
      <c r="O520">
        <v>46649132</v>
      </c>
    </row>
    <row r="521" spans="2:15" x14ac:dyDescent="0.35">
      <c r="B521" t="s">
        <v>40</v>
      </c>
      <c r="C521">
        <v>2022</v>
      </c>
      <c r="D521">
        <v>3.71</v>
      </c>
      <c r="E521">
        <v>190.76</v>
      </c>
      <c r="F521">
        <v>7.4078999999999997</v>
      </c>
      <c r="G521">
        <v>11.347099999999999</v>
      </c>
      <c r="H521">
        <v>70485</v>
      </c>
      <c r="I521">
        <v>11.1632</v>
      </c>
      <c r="J521">
        <v>9.1</v>
      </c>
      <c r="K521">
        <v>0</v>
      </c>
      <c r="L521">
        <v>0</v>
      </c>
      <c r="M521">
        <v>190.7603</v>
      </c>
      <c r="N521">
        <v>219046</v>
      </c>
      <c r="O521">
        <v>44411238</v>
      </c>
    </row>
    <row r="522" spans="2:15" x14ac:dyDescent="0.35">
      <c r="B522" t="s">
        <v>40</v>
      </c>
      <c r="C522">
        <v>2023</v>
      </c>
      <c r="D522">
        <v>3.29</v>
      </c>
      <c r="E522">
        <v>0.44</v>
      </c>
      <c r="F522">
        <v>7.2876000000000003</v>
      </c>
      <c r="G522">
        <v>5.2781000000000002</v>
      </c>
      <c r="H522">
        <v>77566</v>
      </c>
      <c r="I522">
        <v>11.258900000000001</v>
      </c>
      <c r="J522">
        <v>7.6</v>
      </c>
      <c r="K522">
        <v>1</v>
      </c>
      <c r="L522">
        <v>0</v>
      </c>
      <c r="M522">
        <v>190.7603</v>
      </c>
      <c r="N522">
        <v>219242</v>
      </c>
      <c r="O522">
        <v>44411238</v>
      </c>
    </row>
    <row r="523" spans="2:15" x14ac:dyDescent="0.35">
      <c r="B523" t="s">
        <v>40</v>
      </c>
      <c r="C523">
        <v>2024</v>
      </c>
      <c r="D523">
        <v>3.13</v>
      </c>
      <c r="E523">
        <v>59.74</v>
      </c>
      <c r="F523">
        <v>7.2724000000000002</v>
      </c>
      <c r="G523">
        <v>10.220599999999999</v>
      </c>
      <c r="H523">
        <v>82767</v>
      </c>
      <c r="I523">
        <v>11.3238</v>
      </c>
      <c r="J523">
        <v>6.5</v>
      </c>
      <c r="K523">
        <v>1</v>
      </c>
      <c r="L523">
        <v>0</v>
      </c>
      <c r="M523">
        <v>190.7603</v>
      </c>
      <c r="N523">
        <v>246705</v>
      </c>
      <c r="O523">
        <v>45973194</v>
      </c>
    </row>
    <row r="524" spans="2:15" x14ac:dyDescent="0.35">
      <c r="B524" t="s">
        <v>41</v>
      </c>
      <c r="C524">
        <v>2005</v>
      </c>
      <c r="D524">
        <v>6.28</v>
      </c>
      <c r="E524">
        <v>1.38</v>
      </c>
      <c r="F524">
        <v>4.4066999999999998</v>
      </c>
      <c r="G524">
        <v>2.8904000000000001</v>
      </c>
      <c r="H524">
        <v>6939</v>
      </c>
      <c r="I524">
        <v>8.8449000000000009</v>
      </c>
      <c r="J524">
        <v>7.1</v>
      </c>
      <c r="K524">
        <v>0</v>
      </c>
      <c r="L524">
        <v>0</v>
      </c>
      <c r="M524">
        <v>202.18860000000001</v>
      </c>
      <c r="N524">
        <v>18</v>
      </c>
      <c r="O524">
        <v>1305728</v>
      </c>
    </row>
    <row r="525" spans="2:15" x14ac:dyDescent="0.35">
      <c r="B525" t="s">
        <v>41</v>
      </c>
      <c r="C525">
        <v>2006</v>
      </c>
      <c r="D525">
        <v>6.68</v>
      </c>
      <c r="E525">
        <v>1.65</v>
      </c>
      <c r="F525">
        <v>4.4885999999999999</v>
      </c>
      <c r="G525">
        <v>3.0910000000000002</v>
      </c>
      <c r="H525">
        <v>7209</v>
      </c>
      <c r="I525">
        <v>8.8831000000000007</v>
      </c>
      <c r="J525">
        <v>6.91</v>
      </c>
      <c r="K525">
        <v>0</v>
      </c>
      <c r="L525">
        <v>0</v>
      </c>
      <c r="M525">
        <v>202.18860000000001</v>
      </c>
      <c r="N525">
        <v>40</v>
      </c>
      <c r="O525">
        <v>1332441</v>
      </c>
    </row>
    <row r="526" spans="2:15" x14ac:dyDescent="0.35">
      <c r="B526" t="s">
        <v>41</v>
      </c>
      <c r="C526">
        <v>2007</v>
      </c>
      <c r="D526">
        <v>6.83</v>
      </c>
      <c r="E526">
        <v>1.05</v>
      </c>
      <c r="F526">
        <v>4.4427000000000003</v>
      </c>
      <c r="G526">
        <v>2.5649000000000002</v>
      </c>
      <c r="H526">
        <v>8921</v>
      </c>
      <c r="I526">
        <v>9.0961999999999996</v>
      </c>
      <c r="J526">
        <v>6.83</v>
      </c>
      <c r="K526">
        <v>0</v>
      </c>
      <c r="L526">
        <v>0</v>
      </c>
      <c r="M526">
        <v>202.18860000000001</v>
      </c>
      <c r="N526">
        <v>53</v>
      </c>
      <c r="O526">
        <v>1243627</v>
      </c>
    </row>
    <row r="527" spans="2:15" x14ac:dyDescent="0.35">
      <c r="B527" t="s">
        <v>41</v>
      </c>
      <c r="C527">
        <v>2008</v>
      </c>
      <c r="D527">
        <v>7.34</v>
      </c>
      <c r="E527">
        <v>0.7</v>
      </c>
      <c r="F527">
        <v>4.5433000000000003</v>
      </c>
      <c r="G527">
        <v>2.1972</v>
      </c>
      <c r="H527">
        <v>10222</v>
      </c>
      <c r="I527">
        <v>9.2323000000000004</v>
      </c>
      <c r="J527">
        <v>6.49</v>
      </c>
      <c r="K527">
        <v>0</v>
      </c>
      <c r="L527">
        <v>0</v>
      </c>
      <c r="M527">
        <v>202.18860000000001</v>
      </c>
      <c r="N527">
        <v>62</v>
      </c>
      <c r="O527">
        <v>1280513</v>
      </c>
    </row>
    <row r="528" spans="2:15" x14ac:dyDescent="0.35">
      <c r="B528" t="s">
        <v>41</v>
      </c>
      <c r="C528">
        <v>2009</v>
      </c>
      <c r="D528">
        <v>9.52</v>
      </c>
      <c r="E528">
        <v>0.93</v>
      </c>
      <c r="F528">
        <v>4.8121999999999998</v>
      </c>
      <c r="G528">
        <v>2.4849000000000001</v>
      </c>
      <c r="H528">
        <v>11277</v>
      </c>
      <c r="I528">
        <v>9.3305000000000007</v>
      </c>
      <c r="J528">
        <v>7.88</v>
      </c>
      <c r="K528">
        <v>0</v>
      </c>
      <c r="L528">
        <v>0</v>
      </c>
      <c r="M528">
        <v>202.18860000000001</v>
      </c>
      <c r="N528">
        <v>74</v>
      </c>
      <c r="O528">
        <v>1292051</v>
      </c>
    </row>
    <row r="529" spans="2:15" x14ac:dyDescent="0.35">
      <c r="B529" t="s">
        <v>41</v>
      </c>
      <c r="C529">
        <v>2010</v>
      </c>
      <c r="D529">
        <v>9.0399999999999991</v>
      </c>
      <c r="E529">
        <v>1.73</v>
      </c>
      <c r="F529">
        <v>4.8282999999999996</v>
      </c>
      <c r="G529">
        <v>3.1781000000000001</v>
      </c>
      <c r="H529">
        <v>11858</v>
      </c>
      <c r="I529">
        <v>9.3808000000000007</v>
      </c>
      <c r="J529">
        <v>7.61</v>
      </c>
      <c r="K529">
        <v>0</v>
      </c>
      <c r="L529">
        <v>0</v>
      </c>
      <c r="M529">
        <v>202.18860000000001</v>
      </c>
      <c r="N529">
        <v>98</v>
      </c>
      <c r="O529">
        <v>1383445</v>
      </c>
    </row>
    <row r="530" spans="2:15" x14ac:dyDescent="0.35">
      <c r="B530" t="s">
        <v>41</v>
      </c>
      <c r="C530">
        <v>2011</v>
      </c>
      <c r="D530">
        <v>11.21</v>
      </c>
      <c r="E530">
        <v>2.64</v>
      </c>
      <c r="F530">
        <v>5.0561999999999996</v>
      </c>
      <c r="G530">
        <v>3.6109</v>
      </c>
      <c r="H530">
        <v>13096</v>
      </c>
      <c r="I530">
        <v>9.4801000000000002</v>
      </c>
      <c r="J530">
        <v>7.33</v>
      </c>
      <c r="K530">
        <v>0</v>
      </c>
      <c r="L530">
        <v>0</v>
      </c>
      <c r="M530">
        <v>202.18860000000001</v>
      </c>
      <c r="N530">
        <v>135</v>
      </c>
      <c r="O530">
        <v>1400892</v>
      </c>
    </row>
    <row r="531" spans="2:15" x14ac:dyDescent="0.35">
      <c r="B531" t="s">
        <v>41</v>
      </c>
      <c r="C531">
        <v>2012</v>
      </c>
      <c r="D531">
        <v>12.13</v>
      </c>
      <c r="E531">
        <v>3.1</v>
      </c>
      <c r="F531">
        <v>5.1475</v>
      </c>
      <c r="G531">
        <v>3.7841999999999998</v>
      </c>
      <c r="H531">
        <v>14590</v>
      </c>
      <c r="I531">
        <v>9.5881000000000007</v>
      </c>
      <c r="J531">
        <v>6.47</v>
      </c>
      <c r="K531">
        <v>0</v>
      </c>
      <c r="L531">
        <v>0</v>
      </c>
      <c r="M531">
        <v>202.18860000000001</v>
      </c>
      <c r="N531">
        <v>179</v>
      </c>
      <c r="O531">
        <v>1417694</v>
      </c>
    </row>
    <row r="532" spans="2:15" x14ac:dyDescent="0.35">
      <c r="B532" t="s">
        <v>41</v>
      </c>
      <c r="C532">
        <v>2013</v>
      </c>
      <c r="D532">
        <v>9.4700000000000006</v>
      </c>
      <c r="E532">
        <v>1.56</v>
      </c>
      <c r="F532">
        <v>4.9416000000000002</v>
      </c>
      <c r="G532">
        <v>3.1355</v>
      </c>
      <c r="H532">
        <v>16099</v>
      </c>
      <c r="I532">
        <v>9.6865000000000006</v>
      </c>
      <c r="J532">
        <v>7.06</v>
      </c>
      <c r="K532">
        <v>0</v>
      </c>
      <c r="L532">
        <v>0</v>
      </c>
      <c r="M532">
        <v>202.18860000000001</v>
      </c>
      <c r="N532">
        <v>202</v>
      </c>
      <c r="O532">
        <v>1478164</v>
      </c>
    </row>
    <row r="533" spans="2:15" x14ac:dyDescent="0.35">
      <c r="B533" t="s">
        <v>41</v>
      </c>
      <c r="C533">
        <v>2014</v>
      </c>
      <c r="D533">
        <v>10.96</v>
      </c>
      <c r="E533">
        <v>1.1399999999999999</v>
      </c>
      <c r="F533">
        <v>5.0998999999999999</v>
      </c>
      <c r="G533">
        <v>2.8332000000000002</v>
      </c>
      <c r="H533">
        <v>17496</v>
      </c>
      <c r="I533">
        <v>9.7697000000000003</v>
      </c>
      <c r="J533">
        <v>6.44</v>
      </c>
      <c r="K533">
        <v>0</v>
      </c>
      <c r="L533">
        <v>0</v>
      </c>
      <c r="M533">
        <v>202.18860000000001</v>
      </c>
      <c r="N533">
        <v>219</v>
      </c>
      <c r="O533">
        <v>1496880</v>
      </c>
    </row>
    <row r="534" spans="2:15" x14ac:dyDescent="0.35">
      <c r="B534" t="s">
        <v>41</v>
      </c>
      <c r="C534">
        <v>2015</v>
      </c>
      <c r="D534">
        <v>17.75</v>
      </c>
      <c r="E534">
        <v>0.53</v>
      </c>
      <c r="F534">
        <v>5.5946999999999996</v>
      </c>
      <c r="G534">
        <v>2.0794000000000001</v>
      </c>
      <c r="H534">
        <v>19094</v>
      </c>
      <c r="I534">
        <v>9.8571000000000009</v>
      </c>
      <c r="J534">
        <v>8.6999999999999993</v>
      </c>
      <c r="K534">
        <v>0</v>
      </c>
      <c r="L534">
        <v>0</v>
      </c>
      <c r="M534">
        <v>202.18860000000001</v>
      </c>
      <c r="N534">
        <v>227</v>
      </c>
      <c r="O534">
        <v>1515126</v>
      </c>
    </row>
    <row r="535" spans="2:15" x14ac:dyDescent="0.35">
      <c r="B535" t="s">
        <v>41</v>
      </c>
      <c r="C535">
        <v>2016</v>
      </c>
      <c r="D535">
        <v>19.77</v>
      </c>
      <c r="E535">
        <v>3.85</v>
      </c>
      <c r="F535">
        <v>5.7137000000000002</v>
      </c>
      <c r="G535">
        <v>4.0774999999999997</v>
      </c>
      <c r="H535">
        <v>20605</v>
      </c>
      <c r="I535">
        <v>9.9332999999999991</v>
      </c>
      <c r="J535">
        <v>11.5</v>
      </c>
      <c r="K535">
        <v>0</v>
      </c>
      <c r="L535">
        <v>0</v>
      </c>
      <c r="M535">
        <v>202.18860000000001</v>
      </c>
      <c r="N535">
        <v>286</v>
      </c>
      <c r="O535">
        <v>1532902</v>
      </c>
    </row>
    <row r="536" spans="2:15" x14ac:dyDescent="0.35">
      <c r="B536" t="s">
        <v>41</v>
      </c>
      <c r="C536">
        <v>2017</v>
      </c>
      <c r="D536">
        <v>20.71</v>
      </c>
      <c r="E536">
        <v>3.74</v>
      </c>
      <c r="F536">
        <v>5.7713999999999999</v>
      </c>
      <c r="G536">
        <v>4.0603999999999996</v>
      </c>
      <c r="H536">
        <v>22002</v>
      </c>
      <c r="I536">
        <v>9.9989000000000008</v>
      </c>
      <c r="J536">
        <v>11.7</v>
      </c>
      <c r="K536">
        <v>0</v>
      </c>
      <c r="L536">
        <v>0</v>
      </c>
      <c r="M536">
        <v>202.18860000000001</v>
      </c>
      <c r="N536">
        <v>344</v>
      </c>
      <c r="O536">
        <v>1550194</v>
      </c>
    </row>
    <row r="537" spans="2:15" x14ac:dyDescent="0.35">
      <c r="B537" t="s">
        <v>41</v>
      </c>
      <c r="C537">
        <v>2018</v>
      </c>
      <c r="D537">
        <v>19.739999999999998</v>
      </c>
      <c r="E537">
        <v>6.62</v>
      </c>
      <c r="F537">
        <v>5.7267999999999999</v>
      </c>
      <c r="G537">
        <v>4.6346999999999996</v>
      </c>
      <c r="H537">
        <v>22933</v>
      </c>
      <c r="I537">
        <v>10.0403</v>
      </c>
      <c r="J537">
        <v>10.7</v>
      </c>
      <c r="K537">
        <v>0</v>
      </c>
      <c r="L537">
        <v>0</v>
      </c>
      <c r="M537">
        <v>202.18860000000001</v>
      </c>
      <c r="N537">
        <v>447</v>
      </c>
      <c r="O537">
        <v>1555229</v>
      </c>
    </row>
    <row r="538" spans="2:15" x14ac:dyDescent="0.35">
      <c r="B538" t="s">
        <v>41</v>
      </c>
      <c r="C538">
        <v>2019</v>
      </c>
      <c r="D538">
        <v>15.7</v>
      </c>
      <c r="E538">
        <v>27.47</v>
      </c>
      <c r="F538">
        <v>5.5094000000000003</v>
      </c>
      <c r="G538">
        <v>6.0683999999999996</v>
      </c>
      <c r="H538">
        <v>25022</v>
      </c>
      <c r="I538">
        <v>10.1275</v>
      </c>
      <c r="J538">
        <v>11</v>
      </c>
      <c r="K538">
        <v>0</v>
      </c>
      <c r="L538">
        <v>0</v>
      </c>
      <c r="M538">
        <v>202.18860000000001</v>
      </c>
      <c r="N538">
        <v>879</v>
      </c>
      <c r="O538">
        <v>1572866</v>
      </c>
    </row>
    <row r="539" spans="2:15" x14ac:dyDescent="0.35">
      <c r="B539" t="s">
        <v>41</v>
      </c>
      <c r="C539">
        <v>2020</v>
      </c>
      <c r="D539">
        <v>17.29</v>
      </c>
      <c r="E539">
        <v>47.35</v>
      </c>
      <c r="F539">
        <v>5.6167999999999996</v>
      </c>
      <c r="G539">
        <v>6.6241000000000003</v>
      </c>
      <c r="H539">
        <v>27448</v>
      </c>
      <c r="I539">
        <v>10.220000000000001</v>
      </c>
      <c r="J539">
        <v>12.1</v>
      </c>
      <c r="K539">
        <v>0</v>
      </c>
      <c r="L539">
        <v>1</v>
      </c>
      <c r="M539">
        <v>202.18860000000001</v>
      </c>
      <c r="N539">
        <v>1632</v>
      </c>
      <c r="O539">
        <v>1590248</v>
      </c>
    </row>
    <row r="540" spans="2:15" x14ac:dyDescent="0.35">
      <c r="B540" t="s">
        <v>41</v>
      </c>
      <c r="C540">
        <v>2021</v>
      </c>
      <c r="D540">
        <v>15.62</v>
      </c>
      <c r="E540">
        <v>100.91</v>
      </c>
      <c r="F540">
        <v>5.5255000000000001</v>
      </c>
      <c r="G540">
        <v>7.3914</v>
      </c>
      <c r="H540">
        <v>32215</v>
      </c>
      <c r="I540">
        <v>10.3802</v>
      </c>
      <c r="J540">
        <v>13.4</v>
      </c>
      <c r="K540">
        <v>0</v>
      </c>
      <c r="L540">
        <v>1</v>
      </c>
      <c r="M540">
        <v>202.18860000000001</v>
      </c>
      <c r="N540">
        <v>3254</v>
      </c>
      <c r="O540">
        <v>1607363</v>
      </c>
    </row>
    <row r="541" spans="2:15" x14ac:dyDescent="0.35">
      <c r="B541" t="s">
        <v>41</v>
      </c>
      <c r="C541">
        <v>2022</v>
      </c>
      <c r="D541">
        <v>16.41</v>
      </c>
      <c r="E541">
        <v>202.19</v>
      </c>
      <c r="F541">
        <v>5.5133999999999999</v>
      </c>
      <c r="G541">
        <v>8.0249000000000006</v>
      </c>
      <c r="H541">
        <v>38512</v>
      </c>
      <c r="I541">
        <v>10.5587</v>
      </c>
      <c r="J541">
        <v>6.4</v>
      </c>
      <c r="K541">
        <v>0</v>
      </c>
      <c r="L541">
        <v>0</v>
      </c>
      <c r="M541">
        <v>202.18860000000001</v>
      </c>
      <c r="N541">
        <v>6310</v>
      </c>
      <c r="O541">
        <v>1511460</v>
      </c>
    </row>
    <row r="542" spans="2:15" x14ac:dyDescent="0.35">
      <c r="B542" t="s">
        <v>41</v>
      </c>
      <c r="C542">
        <v>2023</v>
      </c>
      <c r="D542">
        <v>17.670000000000002</v>
      </c>
      <c r="E542">
        <v>0.33</v>
      </c>
      <c r="F542">
        <v>5.5872000000000002</v>
      </c>
      <c r="G542">
        <v>1.6093999999999999</v>
      </c>
      <c r="H542">
        <v>42553</v>
      </c>
      <c r="I542">
        <v>10.6585</v>
      </c>
      <c r="J542">
        <v>6.1</v>
      </c>
      <c r="K542">
        <v>1</v>
      </c>
      <c r="L542">
        <v>0</v>
      </c>
      <c r="M542">
        <v>202.18860000000001</v>
      </c>
      <c r="N542">
        <v>6315</v>
      </c>
      <c r="O542">
        <v>1511460</v>
      </c>
    </row>
    <row r="543" spans="2:15" x14ac:dyDescent="0.35">
      <c r="B543" t="s">
        <v>41</v>
      </c>
      <c r="C543">
        <v>2024</v>
      </c>
      <c r="D543">
        <v>8.6199999999999992</v>
      </c>
      <c r="E543">
        <v>41.34</v>
      </c>
      <c r="F543">
        <v>4.9127000000000001</v>
      </c>
      <c r="G543">
        <v>6.48</v>
      </c>
      <c r="H543">
        <v>45296</v>
      </c>
      <c r="I543">
        <v>10.721</v>
      </c>
      <c r="J543">
        <v>5.4</v>
      </c>
      <c r="K543">
        <v>1</v>
      </c>
      <c r="L543">
        <v>0</v>
      </c>
      <c r="M543">
        <v>202.18860000000001</v>
      </c>
      <c r="N543">
        <v>6967</v>
      </c>
      <c r="O543">
        <v>1577342</v>
      </c>
    </row>
    <row r="544" spans="2:15" x14ac:dyDescent="0.35">
      <c r="B544" s="186" t="s">
        <v>146</v>
      </c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</row>
  </sheetData>
  <mergeCells count="3">
    <mergeCell ref="B2:M2"/>
    <mergeCell ref="B544:O544"/>
    <mergeCell ref="B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4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L1"/>
    </sheetView>
  </sheetViews>
  <sheetFormatPr defaultColWidth="8.6328125" defaultRowHeight="14.5" x14ac:dyDescent="0.35"/>
  <cols>
    <col min="1" max="2" width="7" customWidth="1"/>
    <col min="3" max="6" width="10" customWidth="1"/>
    <col min="7" max="7" width="13" customWidth="1"/>
    <col min="8" max="9" width="10" customWidth="1"/>
    <col min="10" max="11" width="8" customWidth="1"/>
    <col min="12" max="12" width="10" customWidth="1"/>
    <col min="13" max="13" width="14" customWidth="1"/>
  </cols>
  <sheetData>
    <row r="1" spans="1:13" ht="19.5" customHeight="1" x14ac:dyDescent="0.35">
      <c r="A1" s="192" t="s">
        <v>147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</row>
    <row r="2" spans="1:13" ht="12.75" customHeight="1" x14ac:dyDescent="0.35">
      <c r="A2" s="191" t="s">
        <v>148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</row>
    <row r="3" spans="1:13" ht="19.5" customHeight="1" x14ac:dyDescent="0.35">
      <c r="A3" s="1" t="s">
        <v>149</v>
      </c>
      <c r="B3" s="1" t="s">
        <v>150</v>
      </c>
      <c r="C3" s="41" t="s">
        <v>151</v>
      </c>
      <c r="D3" s="2" t="s">
        <v>152</v>
      </c>
      <c r="E3" s="41" t="s">
        <v>153</v>
      </c>
      <c r="F3" s="2" t="s">
        <v>154</v>
      </c>
      <c r="G3" s="54" t="s">
        <v>155</v>
      </c>
      <c r="H3" s="54" t="s">
        <v>156</v>
      </c>
      <c r="I3" s="84" t="s">
        <v>157</v>
      </c>
      <c r="J3" s="40" t="s">
        <v>158</v>
      </c>
      <c r="K3" s="84" t="s">
        <v>159</v>
      </c>
      <c r="L3" s="39" t="s">
        <v>160</v>
      </c>
      <c r="M3" s="62" t="s">
        <v>161</v>
      </c>
    </row>
    <row r="4" spans="1:13" ht="27.75" customHeight="1" x14ac:dyDescent="0.35">
      <c r="A4" s="116" t="s">
        <v>162</v>
      </c>
      <c r="B4" s="116" t="s">
        <v>163</v>
      </c>
      <c r="C4" s="116" t="s">
        <v>164</v>
      </c>
      <c r="D4" s="116" t="s">
        <v>165</v>
      </c>
      <c r="E4" s="116" t="s">
        <v>166</v>
      </c>
      <c r="F4" s="116" t="s">
        <v>167</v>
      </c>
      <c r="G4" s="116" t="s">
        <v>168</v>
      </c>
      <c r="H4" s="116" t="s">
        <v>169</v>
      </c>
      <c r="I4" s="116" t="s">
        <v>170</v>
      </c>
      <c r="J4" s="116" t="s">
        <v>171</v>
      </c>
      <c r="K4" s="116" t="s">
        <v>172</v>
      </c>
      <c r="L4" s="116" t="s">
        <v>173</v>
      </c>
      <c r="M4" s="116" t="s">
        <v>174</v>
      </c>
    </row>
    <row r="5" spans="1:13" ht="13.5" customHeight="1" x14ac:dyDescent="0.35">
      <c r="A5" s="97" t="s">
        <v>15</v>
      </c>
      <c r="B5" s="117">
        <v>2016</v>
      </c>
      <c r="C5" s="98">
        <v>27.55</v>
      </c>
      <c r="D5" s="99">
        <v>1.22</v>
      </c>
      <c r="E5" s="100">
        <v>5.4161000000000001</v>
      </c>
      <c r="F5" s="101">
        <v>2.3026</v>
      </c>
      <c r="G5" s="77">
        <v>16842</v>
      </c>
      <c r="H5" s="102">
        <v>9.7316000000000003</v>
      </c>
      <c r="I5" s="85">
        <v>10.9</v>
      </c>
      <c r="J5" s="117">
        <v>0</v>
      </c>
      <c r="K5" s="117">
        <v>0</v>
      </c>
      <c r="L5" s="101">
        <v>72.89</v>
      </c>
      <c r="M5" s="118">
        <v>816687</v>
      </c>
    </row>
    <row r="6" spans="1:13" ht="13.5" customHeight="1" x14ac:dyDescent="0.35">
      <c r="A6" s="105" t="s">
        <v>15</v>
      </c>
      <c r="B6" s="119">
        <v>2017</v>
      </c>
      <c r="C6" s="106">
        <v>45.92</v>
      </c>
      <c r="D6" s="120">
        <v>2.77</v>
      </c>
      <c r="E6" s="108">
        <v>5.9428000000000001</v>
      </c>
      <c r="F6" s="121">
        <v>3.1355</v>
      </c>
      <c r="G6" s="122">
        <v>17204</v>
      </c>
      <c r="H6" s="123">
        <v>9.7529000000000003</v>
      </c>
      <c r="I6" s="89">
        <v>14.2</v>
      </c>
      <c r="J6" s="119">
        <v>0</v>
      </c>
      <c r="K6" s="119">
        <v>0</v>
      </c>
      <c r="L6" s="109">
        <v>72.89</v>
      </c>
      <c r="M6" s="124">
        <v>829619</v>
      </c>
    </row>
    <row r="7" spans="1:13" ht="13.5" customHeight="1" x14ac:dyDescent="0.35">
      <c r="A7" s="97" t="s">
        <v>15</v>
      </c>
      <c r="B7" s="117">
        <v>2018</v>
      </c>
      <c r="C7" s="98">
        <v>35.549999999999997</v>
      </c>
      <c r="D7" s="99">
        <v>7.59</v>
      </c>
      <c r="E7" s="100">
        <v>5.7332999999999998</v>
      </c>
      <c r="F7" s="101">
        <v>4.1897000000000002</v>
      </c>
      <c r="G7" s="77">
        <v>17637</v>
      </c>
      <c r="H7" s="102">
        <v>9.7776999999999994</v>
      </c>
      <c r="I7" s="85">
        <v>13.7</v>
      </c>
      <c r="J7" s="117">
        <v>0</v>
      </c>
      <c r="K7" s="117">
        <v>0</v>
      </c>
      <c r="L7" s="101">
        <v>72.89</v>
      </c>
      <c r="M7" s="118">
        <v>869265</v>
      </c>
    </row>
    <row r="8" spans="1:13" ht="13.5" customHeight="1" x14ac:dyDescent="0.35">
      <c r="A8" s="105" t="s">
        <v>15</v>
      </c>
      <c r="B8" s="119">
        <v>2019</v>
      </c>
      <c r="C8" s="106">
        <v>24.95</v>
      </c>
      <c r="D8" s="120">
        <v>18.03</v>
      </c>
      <c r="E8" s="108">
        <v>5.3936000000000002</v>
      </c>
      <c r="F8" s="121">
        <v>5.0689000000000002</v>
      </c>
      <c r="G8" s="122">
        <v>17722</v>
      </c>
      <c r="H8" s="123">
        <v>9.7826000000000004</v>
      </c>
      <c r="I8" s="89">
        <v>14.7</v>
      </c>
      <c r="J8" s="119">
        <v>0</v>
      </c>
      <c r="K8" s="119">
        <v>0</v>
      </c>
      <c r="L8" s="109">
        <v>72.89</v>
      </c>
      <c r="M8" s="124">
        <v>881935</v>
      </c>
    </row>
    <row r="9" spans="1:13" ht="13.5" customHeight="1" x14ac:dyDescent="0.35">
      <c r="A9" s="97" t="s">
        <v>15</v>
      </c>
      <c r="B9" s="117">
        <v>2020</v>
      </c>
      <c r="C9" s="98">
        <v>25.15</v>
      </c>
      <c r="D9" s="99">
        <v>37.68</v>
      </c>
      <c r="E9" s="100">
        <v>5.4161000000000001</v>
      </c>
      <c r="F9" s="101">
        <v>5.8201000000000001</v>
      </c>
      <c r="G9" s="77">
        <v>18420</v>
      </c>
      <c r="H9" s="102">
        <v>9.8211999999999993</v>
      </c>
      <c r="I9" s="85">
        <v>15.2</v>
      </c>
      <c r="J9" s="117">
        <v>0</v>
      </c>
      <c r="K9" s="125">
        <v>1</v>
      </c>
      <c r="L9" s="101">
        <v>72.89</v>
      </c>
      <c r="M9" s="118">
        <v>894470</v>
      </c>
    </row>
    <row r="10" spans="1:13" ht="13.5" customHeight="1" x14ac:dyDescent="0.35">
      <c r="A10" s="105" t="s">
        <v>15</v>
      </c>
      <c r="B10" s="119">
        <v>2021</v>
      </c>
      <c r="C10" s="106">
        <v>13.01</v>
      </c>
      <c r="D10" s="120">
        <v>59.99</v>
      </c>
      <c r="E10" s="108">
        <v>4.7706999999999997</v>
      </c>
      <c r="F10" s="121">
        <v>6.2988999999999997</v>
      </c>
      <c r="G10" s="122">
        <v>23569</v>
      </c>
      <c r="H10" s="123">
        <v>10.0677</v>
      </c>
      <c r="I10" s="89">
        <v>15.3</v>
      </c>
      <c r="J10" s="119">
        <v>0</v>
      </c>
      <c r="K10" s="125">
        <v>1</v>
      </c>
      <c r="L10" s="109">
        <v>72.89</v>
      </c>
      <c r="M10" s="124">
        <v>906876</v>
      </c>
    </row>
    <row r="11" spans="1:13" ht="13.5" customHeight="1" x14ac:dyDescent="0.35">
      <c r="A11" s="97" t="s">
        <v>15</v>
      </c>
      <c r="B11" s="117">
        <v>2022</v>
      </c>
      <c r="C11" s="98">
        <v>17.23</v>
      </c>
      <c r="D11" s="99">
        <v>72.89</v>
      </c>
      <c r="E11" s="100">
        <v>4.9627999999999997</v>
      </c>
      <c r="F11" s="101">
        <v>6.4051999999999998</v>
      </c>
      <c r="G11" s="77">
        <v>28525</v>
      </c>
      <c r="H11" s="102">
        <v>10.2585</v>
      </c>
      <c r="I11" s="85">
        <v>11.6</v>
      </c>
      <c r="J11" s="117">
        <v>0</v>
      </c>
      <c r="K11" s="117">
        <v>0</v>
      </c>
      <c r="L11" s="101">
        <v>72.89</v>
      </c>
      <c r="M11" s="118">
        <v>830018</v>
      </c>
    </row>
    <row r="12" spans="1:13" ht="13.5" customHeight="1" x14ac:dyDescent="0.35">
      <c r="A12" s="105" t="s">
        <v>15</v>
      </c>
      <c r="B12" s="119">
        <v>2023</v>
      </c>
      <c r="C12" s="106">
        <v>15.66</v>
      </c>
      <c r="D12" s="120">
        <v>0.12</v>
      </c>
      <c r="E12" s="108">
        <v>4.8674999999999997</v>
      </c>
      <c r="F12" s="121">
        <v>0</v>
      </c>
      <c r="G12" s="122">
        <v>31676</v>
      </c>
      <c r="H12" s="123">
        <v>10.363300000000001</v>
      </c>
      <c r="I12" s="89">
        <v>7.9</v>
      </c>
      <c r="J12" s="126">
        <v>1</v>
      </c>
      <c r="K12" s="119">
        <v>0</v>
      </c>
      <c r="L12" s="109">
        <v>72.89</v>
      </c>
      <c r="M12" s="124">
        <v>830018</v>
      </c>
    </row>
    <row r="13" spans="1:13" ht="13.5" customHeight="1" x14ac:dyDescent="0.35">
      <c r="A13" s="97" t="s">
        <v>16</v>
      </c>
      <c r="B13" s="117">
        <v>2016</v>
      </c>
      <c r="C13" s="98">
        <v>46.03</v>
      </c>
      <c r="D13" s="99">
        <v>0.8</v>
      </c>
      <c r="E13" s="100">
        <v>7.3433999999999999</v>
      </c>
      <c r="F13" s="101">
        <v>3.2957999999999998</v>
      </c>
      <c r="G13" s="77">
        <v>14727</v>
      </c>
      <c r="H13" s="102">
        <v>9.5975000000000001</v>
      </c>
      <c r="I13" s="85">
        <v>14.2</v>
      </c>
      <c r="J13" s="117">
        <v>0</v>
      </c>
      <c r="K13" s="117">
        <v>0</v>
      </c>
      <c r="L13" s="101">
        <v>111.52030000000001</v>
      </c>
      <c r="M13" s="118">
        <v>3358963</v>
      </c>
    </row>
    <row r="14" spans="1:13" ht="13.5" customHeight="1" x14ac:dyDescent="0.35">
      <c r="A14" s="105" t="s">
        <v>16</v>
      </c>
      <c r="B14" s="119">
        <v>2017</v>
      </c>
      <c r="C14" s="106">
        <v>45.56</v>
      </c>
      <c r="D14" s="120">
        <v>2.2799999999999998</v>
      </c>
      <c r="E14" s="108">
        <v>7.3381999999999996</v>
      </c>
      <c r="F14" s="121">
        <v>4.3437999999999999</v>
      </c>
      <c r="G14" s="122">
        <v>15656</v>
      </c>
      <c r="H14" s="123">
        <v>9.6585999999999999</v>
      </c>
      <c r="I14" s="89">
        <v>16.899999999999999</v>
      </c>
      <c r="J14" s="119">
        <v>0</v>
      </c>
      <c r="K14" s="119">
        <v>0</v>
      </c>
      <c r="L14" s="109">
        <v>111.52030000000001</v>
      </c>
      <c r="M14" s="124">
        <v>3375823</v>
      </c>
    </row>
    <row r="15" spans="1:13" ht="13.5" customHeight="1" x14ac:dyDescent="0.35">
      <c r="A15" s="97" t="s">
        <v>16</v>
      </c>
      <c r="B15" s="117">
        <v>2018</v>
      </c>
      <c r="C15" s="98">
        <v>36.08</v>
      </c>
      <c r="D15" s="99">
        <v>3.64</v>
      </c>
      <c r="E15" s="100">
        <v>7.0891999999999999</v>
      </c>
      <c r="F15" s="101">
        <v>4.7957999999999998</v>
      </c>
      <c r="G15" s="77">
        <v>16376</v>
      </c>
      <c r="H15" s="102">
        <v>9.7035</v>
      </c>
      <c r="I15" s="85">
        <v>17.3</v>
      </c>
      <c r="J15" s="117">
        <v>0</v>
      </c>
      <c r="K15" s="117">
        <v>0</v>
      </c>
      <c r="L15" s="101">
        <v>111.52030000000001</v>
      </c>
      <c r="M15" s="118">
        <v>3322820</v>
      </c>
    </row>
    <row r="16" spans="1:13" ht="13.5" customHeight="1" x14ac:dyDescent="0.35">
      <c r="A16" s="105" t="s">
        <v>16</v>
      </c>
      <c r="B16" s="119">
        <v>2019</v>
      </c>
      <c r="C16" s="106">
        <v>25.68</v>
      </c>
      <c r="D16" s="120">
        <v>21.63</v>
      </c>
      <c r="E16" s="108">
        <v>6.7534000000000001</v>
      </c>
      <c r="F16" s="121">
        <v>6.5819999999999999</v>
      </c>
      <c r="G16" s="122">
        <v>17668</v>
      </c>
      <c r="H16" s="123">
        <v>9.7795000000000005</v>
      </c>
      <c r="I16" s="89">
        <v>15.1</v>
      </c>
      <c r="J16" s="119">
        <v>0</v>
      </c>
      <c r="K16" s="119">
        <v>0</v>
      </c>
      <c r="L16" s="109">
        <v>111.52030000000001</v>
      </c>
      <c r="M16" s="124">
        <v>3337357</v>
      </c>
    </row>
    <row r="17" spans="1:13" ht="13.5" customHeight="1" x14ac:dyDescent="0.35">
      <c r="A17" s="97" t="s">
        <v>16</v>
      </c>
      <c r="B17" s="117">
        <v>2020</v>
      </c>
      <c r="C17" s="98">
        <v>25.78</v>
      </c>
      <c r="D17" s="99">
        <v>37.619999999999997</v>
      </c>
      <c r="E17" s="100">
        <v>6.7615999999999996</v>
      </c>
      <c r="F17" s="101">
        <v>7.1397000000000004</v>
      </c>
      <c r="G17" s="77">
        <v>18858</v>
      </c>
      <c r="H17" s="102">
        <v>9.8446999999999996</v>
      </c>
      <c r="I17" s="85">
        <v>19.100000000000001</v>
      </c>
      <c r="J17" s="117">
        <v>0</v>
      </c>
      <c r="K17" s="125">
        <v>1</v>
      </c>
      <c r="L17" s="101">
        <v>111.52030000000001</v>
      </c>
      <c r="M17" s="118">
        <v>3351543</v>
      </c>
    </row>
    <row r="18" spans="1:13" ht="13.5" customHeight="1" x14ac:dyDescent="0.35">
      <c r="A18" s="105" t="s">
        <v>16</v>
      </c>
      <c r="B18" s="119">
        <v>2021</v>
      </c>
      <c r="C18" s="106">
        <v>21.78</v>
      </c>
      <c r="D18" s="120">
        <v>76.87</v>
      </c>
      <c r="E18" s="108">
        <v>6.5971000000000002</v>
      </c>
      <c r="F18" s="121">
        <v>7.8582999999999998</v>
      </c>
      <c r="G18" s="122">
        <v>22662</v>
      </c>
      <c r="H18" s="123">
        <v>10.0284</v>
      </c>
      <c r="I18" s="89">
        <v>17.8</v>
      </c>
      <c r="J18" s="119">
        <v>0</v>
      </c>
      <c r="K18" s="125">
        <v>1</v>
      </c>
      <c r="L18" s="109">
        <v>111.52030000000001</v>
      </c>
      <c r="M18" s="124">
        <v>3365351</v>
      </c>
    </row>
    <row r="19" spans="1:13" ht="13.5" customHeight="1" x14ac:dyDescent="0.35">
      <c r="A19" s="97" t="s">
        <v>16</v>
      </c>
      <c r="B19" s="117">
        <v>2022</v>
      </c>
      <c r="C19" s="98">
        <v>26.47</v>
      </c>
      <c r="D19" s="99">
        <v>111.52</v>
      </c>
      <c r="E19" s="100">
        <v>6.7190000000000003</v>
      </c>
      <c r="F19" s="101">
        <v>8.1570999999999998</v>
      </c>
      <c r="G19" s="77">
        <v>24320</v>
      </c>
      <c r="H19" s="102">
        <v>10.0991</v>
      </c>
      <c r="I19" s="85">
        <v>11.2</v>
      </c>
      <c r="J19" s="117">
        <v>0</v>
      </c>
      <c r="K19" s="117">
        <v>0</v>
      </c>
      <c r="L19" s="101">
        <v>111.52030000000001</v>
      </c>
      <c r="M19" s="118">
        <v>3127683</v>
      </c>
    </row>
    <row r="20" spans="1:13" ht="13.5" customHeight="1" x14ac:dyDescent="0.35">
      <c r="A20" s="105" t="s">
        <v>16</v>
      </c>
      <c r="B20" s="119">
        <v>2023</v>
      </c>
      <c r="C20" s="106">
        <v>28.46</v>
      </c>
      <c r="D20" s="120">
        <v>0.13</v>
      </c>
      <c r="E20" s="108">
        <v>6.7911999999999999</v>
      </c>
      <c r="F20" s="121">
        <v>1.3863000000000001</v>
      </c>
      <c r="G20" s="122">
        <v>28676</v>
      </c>
      <c r="H20" s="123">
        <v>10.2638</v>
      </c>
      <c r="I20" s="89">
        <v>9.6</v>
      </c>
      <c r="J20" s="126">
        <v>1</v>
      </c>
      <c r="K20" s="119">
        <v>0</v>
      </c>
      <c r="L20" s="109">
        <v>111.52030000000001</v>
      </c>
      <c r="M20" s="124">
        <v>3127683</v>
      </c>
    </row>
    <row r="21" spans="1:13" ht="13.5" customHeight="1" x14ac:dyDescent="0.35">
      <c r="A21" s="97" t="s">
        <v>17</v>
      </c>
      <c r="B21" s="117">
        <v>2016</v>
      </c>
      <c r="C21" s="98">
        <v>19.79</v>
      </c>
      <c r="D21" s="99">
        <v>0.5</v>
      </c>
      <c r="E21" s="100">
        <v>6.6745999999999999</v>
      </c>
      <c r="F21" s="101">
        <v>2.9956999999999998</v>
      </c>
      <c r="G21" s="77">
        <v>22251</v>
      </c>
      <c r="H21" s="102">
        <v>10.0101</v>
      </c>
      <c r="I21" s="85">
        <v>13.8</v>
      </c>
      <c r="J21" s="117">
        <v>0</v>
      </c>
      <c r="K21" s="117">
        <v>0</v>
      </c>
      <c r="L21" s="101">
        <v>101.60809999999999</v>
      </c>
      <c r="M21" s="118">
        <v>4001667</v>
      </c>
    </row>
    <row r="22" spans="1:13" ht="13.5" customHeight="1" x14ac:dyDescent="0.35">
      <c r="A22" s="105" t="s">
        <v>17</v>
      </c>
      <c r="B22" s="119">
        <v>2017</v>
      </c>
      <c r="C22" s="106">
        <v>23.85</v>
      </c>
      <c r="D22" s="120">
        <v>2.17</v>
      </c>
      <c r="E22" s="108">
        <v>6.8762999999999996</v>
      </c>
      <c r="F22" s="121">
        <v>4.4772999999999996</v>
      </c>
      <c r="G22" s="122">
        <v>22945</v>
      </c>
      <c r="H22" s="123">
        <v>10.040900000000001</v>
      </c>
      <c r="I22" s="89">
        <v>15.9</v>
      </c>
      <c r="J22" s="119">
        <v>0</v>
      </c>
      <c r="K22" s="119">
        <v>0</v>
      </c>
      <c r="L22" s="109">
        <v>101.60809999999999</v>
      </c>
      <c r="M22" s="124">
        <v>4063614</v>
      </c>
    </row>
    <row r="23" spans="1:13" ht="13.5" customHeight="1" x14ac:dyDescent="0.35">
      <c r="A23" s="97" t="s">
        <v>17</v>
      </c>
      <c r="B23" s="117">
        <v>2018</v>
      </c>
      <c r="C23" s="98">
        <v>23.43</v>
      </c>
      <c r="D23" s="99">
        <v>4.71</v>
      </c>
      <c r="E23" s="100">
        <v>6.8628</v>
      </c>
      <c r="F23" s="101">
        <v>5.2575000000000003</v>
      </c>
      <c r="G23" s="77">
        <v>24533</v>
      </c>
      <c r="H23" s="102">
        <v>10.107799999999999</v>
      </c>
      <c r="I23" s="85">
        <v>14</v>
      </c>
      <c r="J23" s="117">
        <v>0</v>
      </c>
      <c r="K23" s="117">
        <v>0</v>
      </c>
      <c r="L23" s="101">
        <v>101.60809999999999</v>
      </c>
      <c r="M23" s="118">
        <v>4080611</v>
      </c>
    </row>
    <row r="24" spans="1:13" ht="13.5" customHeight="1" x14ac:dyDescent="0.35">
      <c r="A24" s="105" t="s">
        <v>17</v>
      </c>
      <c r="B24" s="119">
        <v>2019</v>
      </c>
      <c r="C24" s="106">
        <v>23.65</v>
      </c>
      <c r="D24" s="120">
        <v>9.58</v>
      </c>
      <c r="E24" s="108">
        <v>6.8875999999999999</v>
      </c>
      <c r="F24" s="121">
        <v>5.9839000000000002</v>
      </c>
      <c r="G24" s="122">
        <v>26102</v>
      </c>
      <c r="H24" s="123">
        <v>10.1698</v>
      </c>
      <c r="I24" s="89">
        <v>14.2</v>
      </c>
      <c r="J24" s="119">
        <v>0</v>
      </c>
      <c r="K24" s="119">
        <v>0</v>
      </c>
      <c r="L24" s="109">
        <v>101.60809999999999</v>
      </c>
      <c r="M24" s="124">
        <v>4144597</v>
      </c>
    </row>
    <row r="25" spans="1:13" ht="13.5" customHeight="1" x14ac:dyDescent="0.35">
      <c r="A25" s="97" t="s">
        <v>17</v>
      </c>
      <c r="B25" s="117">
        <v>2020</v>
      </c>
      <c r="C25" s="98">
        <v>18.579999999999998</v>
      </c>
      <c r="D25" s="99">
        <v>25.36</v>
      </c>
      <c r="E25" s="100">
        <v>6.6619000000000002</v>
      </c>
      <c r="F25" s="101">
        <v>6.9725999999999999</v>
      </c>
      <c r="G25" s="77">
        <v>27573</v>
      </c>
      <c r="H25" s="102">
        <v>10.224600000000001</v>
      </c>
      <c r="I25" s="85">
        <v>16</v>
      </c>
      <c r="J25" s="117">
        <v>0</v>
      </c>
      <c r="K25" s="125">
        <v>1</v>
      </c>
      <c r="L25" s="101">
        <v>101.60809999999999</v>
      </c>
      <c r="M25" s="118">
        <v>4207714</v>
      </c>
    </row>
    <row r="26" spans="1:13" ht="13.5" customHeight="1" x14ac:dyDescent="0.35">
      <c r="A26" s="105" t="s">
        <v>17</v>
      </c>
      <c r="B26" s="119">
        <v>2021</v>
      </c>
      <c r="C26" s="106">
        <v>29.93</v>
      </c>
      <c r="D26" s="120">
        <v>50.16</v>
      </c>
      <c r="E26" s="108">
        <v>7.1531000000000002</v>
      </c>
      <c r="F26" s="121">
        <v>7.6695000000000002</v>
      </c>
      <c r="G26" s="122">
        <v>30804</v>
      </c>
      <c r="H26" s="123">
        <v>10.3354</v>
      </c>
      <c r="I26" s="89">
        <v>15</v>
      </c>
      <c r="J26" s="119">
        <v>0</v>
      </c>
      <c r="K26" s="125">
        <v>1</v>
      </c>
      <c r="L26" s="109">
        <v>101.60809999999999</v>
      </c>
      <c r="M26" s="124">
        <v>4269995</v>
      </c>
    </row>
    <row r="27" spans="1:13" ht="13.5" customHeight="1" x14ac:dyDescent="0.35">
      <c r="A27" s="97" t="s">
        <v>17</v>
      </c>
      <c r="B27" s="117">
        <v>2022</v>
      </c>
      <c r="C27" s="98">
        <v>30.32</v>
      </c>
      <c r="D27" s="99">
        <v>101.61</v>
      </c>
      <c r="E27" s="100">
        <v>7.0858999999999996</v>
      </c>
      <c r="F27" s="101">
        <v>8.2952999999999992</v>
      </c>
      <c r="G27" s="77">
        <v>36823</v>
      </c>
      <c r="H27" s="102">
        <v>10.5139</v>
      </c>
      <c r="I27" s="85">
        <v>10.8</v>
      </c>
      <c r="J27" s="117">
        <v>0</v>
      </c>
      <c r="K27" s="117">
        <v>0</v>
      </c>
      <c r="L27" s="101">
        <v>101.60809999999999</v>
      </c>
      <c r="M27" s="118">
        <v>3941613</v>
      </c>
    </row>
    <row r="28" spans="1:13" ht="13.5" customHeight="1" x14ac:dyDescent="0.35">
      <c r="A28" s="105" t="s">
        <v>17</v>
      </c>
      <c r="B28" s="119">
        <v>2023</v>
      </c>
      <c r="C28" s="106">
        <v>26.69</v>
      </c>
      <c r="D28" s="120">
        <v>0.41</v>
      </c>
      <c r="E28" s="108">
        <v>6.9584000000000001</v>
      </c>
      <c r="F28" s="121">
        <v>2.7726000000000002</v>
      </c>
      <c r="G28" s="122">
        <v>41048</v>
      </c>
      <c r="H28" s="123">
        <v>10.6225</v>
      </c>
      <c r="I28" s="89">
        <v>9.6999999999999993</v>
      </c>
      <c r="J28" s="126">
        <v>1</v>
      </c>
      <c r="K28" s="119">
        <v>0</v>
      </c>
      <c r="L28" s="109">
        <v>101.60809999999999</v>
      </c>
      <c r="M28" s="124">
        <v>3941613</v>
      </c>
    </row>
    <row r="29" spans="1:13" ht="13.5" customHeight="1" x14ac:dyDescent="0.35">
      <c r="A29" s="97" t="s">
        <v>18</v>
      </c>
      <c r="B29" s="117">
        <v>2016</v>
      </c>
      <c r="C29" s="98">
        <v>27.61</v>
      </c>
      <c r="D29" s="99">
        <v>0</v>
      </c>
      <c r="E29" s="100">
        <v>5.3753000000000002</v>
      </c>
      <c r="F29" s="101"/>
      <c r="G29" s="77">
        <v>18333</v>
      </c>
      <c r="H29" s="102">
        <v>9.8164999999999996</v>
      </c>
      <c r="I29" s="85">
        <v>15.8</v>
      </c>
      <c r="J29" s="117">
        <v>0</v>
      </c>
      <c r="K29" s="117">
        <v>0</v>
      </c>
      <c r="L29" s="101">
        <v>75.092799999999997</v>
      </c>
      <c r="M29" s="118">
        <v>782295</v>
      </c>
    </row>
    <row r="30" spans="1:13" ht="13.5" customHeight="1" x14ac:dyDescent="0.35">
      <c r="A30" s="105" t="s">
        <v>18</v>
      </c>
      <c r="B30" s="119">
        <v>2017</v>
      </c>
      <c r="C30" s="106">
        <v>22.31</v>
      </c>
      <c r="D30" s="120">
        <v>2.76</v>
      </c>
      <c r="E30" s="108">
        <v>5.1818</v>
      </c>
      <c r="F30" s="121">
        <v>3.0910000000000002</v>
      </c>
      <c r="G30" s="122">
        <v>19408</v>
      </c>
      <c r="H30" s="123">
        <v>9.8734000000000002</v>
      </c>
      <c r="I30" s="89">
        <v>18.100000000000001</v>
      </c>
      <c r="J30" s="119">
        <v>0</v>
      </c>
      <c r="K30" s="119">
        <v>0</v>
      </c>
      <c r="L30" s="109">
        <v>75.092799999999997</v>
      </c>
      <c r="M30" s="124">
        <v>797722</v>
      </c>
    </row>
    <row r="31" spans="1:13" ht="13.5" customHeight="1" x14ac:dyDescent="0.35">
      <c r="A31" s="97" t="s">
        <v>18</v>
      </c>
      <c r="B31" s="117">
        <v>2018</v>
      </c>
      <c r="C31" s="98">
        <v>28.81</v>
      </c>
      <c r="D31" s="99">
        <v>2.5299999999999998</v>
      </c>
      <c r="E31" s="100">
        <v>5.4764999999999997</v>
      </c>
      <c r="F31" s="101">
        <v>3.0445000000000002</v>
      </c>
      <c r="G31" s="77">
        <v>20248</v>
      </c>
      <c r="H31" s="102">
        <v>9.9158000000000008</v>
      </c>
      <c r="I31" s="85">
        <v>20.399999999999999</v>
      </c>
      <c r="J31" s="117">
        <v>0</v>
      </c>
      <c r="K31" s="117">
        <v>0</v>
      </c>
      <c r="L31" s="101">
        <v>75.092799999999997</v>
      </c>
      <c r="M31" s="118">
        <v>829494</v>
      </c>
    </row>
    <row r="32" spans="1:13" ht="13.5" customHeight="1" x14ac:dyDescent="0.35">
      <c r="A32" s="105" t="s">
        <v>18</v>
      </c>
      <c r="B32" s="119">
        <v>2019</v>
      </c>
      <c r="C32" s="106">
        <v>27.43</v>
      </c>
      <c r="D32" s="120">
        <v>13.12</v>
      </c>
      <c r="E32" s="108">
        <v>5.4466999999999999</v>
      </c>
      <c r="F32" s="121">
        <v>4.7095000000000002</v>
      </c>
      <c r="G32" s="122">
        <v>20688</v>
      </c>
      <c r="H32" s="123">
        <v>9.9373000000000005</v>
      </c>
      <c r="I32" s="89">
        <v>17.600000000000001</v>
      </c>
      <c r="J32" s="119">
        <v>0</v>
      </c>
      <c r="K32" s="119">
        <v>0</v>
      </c>
      <c r="L32" s="109">
        <v>75.092799999999997</v>
      </c>
      <c r="M32" s="124">
        <v>845731</v>
      </c>
    </row>
    <row r="33" spans="1:13" ht="13.5" customHeight="1" x14ac:dyDescent="0.35">
      <c r="A33" s="97" t="s">
        <v>18</v>
      </c>
      <c r="B33" s="117">
        <v>2020</v>
      </c>
      <c r="C33" s="98">
        <v>25.76</v>
      </c>
      <c r="D33" s="99">
        <v>26.23</v>
      </c>
      <c r="E33" s="100">
        <v>5.4027000000000003</v>
      </c>
      <c r="F33" s="101">
        <v>5.4204999999999997</v>
      </c>
      <c r="G33" s="77">
        <v>21432</v>
      </c>
      <c r="H33" s="102">
        <v>9.9725999999999999</v>
      </c>
      <c r="I33" s="85">
        <v>15</v>
      </c>
      <c r="J33" s="117">
        <v>0</v>
      </c>
      <c r="K33" s="125">
        <v>1</v>
      </c>
      <c r="L33" s="101">
        <v>75.092799999999997</v>
      </c>
      <c r="M33" s="118">
        <v>861773</v>
      </c>
    </row>
    <row r="34" spans="1:13" ht="13.5" customHeight="1" x14ac:dyDescent="0.35">
      <c r="A34" s="105" t="s">
        <v>18</v>
      </c>
      <c r="B34" s="119">
        <v>2021</v>
      </c>
      <c r="C34" s="106">
        <v>35.44</v>
      </c>
      <c r="D34" s="120">
        <v>40.450000000000003</v>
      </c>
      <c r="E34" s="108">
        <v>5.7397999999999998</v>
      </c>
      <c r="F34" s="121">
        <v>5.8720999999999997</v>
      </c>
      <c r="G34" s="122">
        <v>22903</v>
      </c>
      <c r="H34" s="123">
        <v>10.039</v>
      </c>
      <c r="I34" s="89">
        <v>16.600000000000001</v>
      </c>
      <c r="J34" s="119">
        <v>0</v>
      </c>
      <c r="K34" s="125">
        <v>1</v>
      </c>
      <c r="L34" s="109">
        <v>75.092799999999997</v>
      </c>
      <c r="M34" s="124">
        <v>877613</v>
      </c>
    </row>
    <row r="35" spans="1:13" ht="13.5" customHeight="1" x14ac:dyDescent="0.35">
      <c r="A35" s="97" t="s">
        <v>18</v>
      </c>
      <c r="B35" s="117">
        <v>2022</v>
      </c>
      <c r="C35" s="98">
        <v>32.03</v>
      </c>
      <c r="D35" s="99">
        <v>75.09</v>
      </c>
      <c r="E35" s="100">
        <v>5.4596</v>
      </c>
      <c r="F35" s="101">
        <v>6.3117000000000001</v>
      </c>
      <c r="G35" s="77">
        <v>32183</v>
      </c>
      <c r="H35" s="102">
        <v>10.379200000000001</v>
      </c>
      <c r="I35" s="85">
        <v>12.5</v>
      </c>
      <c r="J35" s="117">
        <v>0</v>
      </c>
      <c r="K35" s="117">
        <v>0</v>
      </c>
      <c r="L35" s="101">
        <v>75.092799999999997</v>
      </c>
      <c r="M35" s="118">
        <v>733759</v>
      </c>
    </row>
    <row r="36" spans="1:13" ht="13.5" customHeight="1" x14ac:dyDescent="0.35">
      <c r="A36" s="105" t="s">
        <v>18</v>
      </c>
      <c r="B36" s="119">
        <v>2023</v>
      </c>
      <c r="C36" s="106">
        <v>41.29</v>
      </c>
      <c r="D36" s="120">
        <v>5.59</v>
      </c>
      <c r="E36" s="108">
        <v>5.7137000000000002</v>
      </c>
      <c r="F36" s="121">
        <v>3.7136</v>
      </c>
      <c r="G36" s="122">
        <v>38187</v>
      </c>
      <c r="H36" s="123">
        <v>10.5503</v>
      </c>
      <c r="I36" s="89">
        <v>12.8</v>
      </c>
      <c r="J36" s="126">
        <v>1</v>
      </c>
      <c r="K36" s="119">
        <v>0</v>
      </c>
      <c r="L36" s="109">
        <v>75.092799999999997</v>
      </c>
      <c r="M36" s="124">
        <v>733759</v>
      </c>
    </row>
    <row r="37" spans="1:13" ht="13.5" customHeight="1" x14ac:dyDescent="0.35">
      <c r="A37" s="97" t="s">
        <v>19</v>
      </c>
      <c r="B37" s="117">
        <v>2016</v>
      </c>
      <c r="C37" s="98">
        <v>35.619999999999997</v>
      </c>
      <c r="D37" s="99">
        <v>1.6</v>
      </c>
      <c r="E37" s="100">
        <v>8.6019000000000005</v>
      </c>
      <c r="F37" s="101">
        <v>5.5012999999999996</v>
      </c>
      <c r="G37" s="77">
        <v>16937</v>
      </c>
      <c r="H37" s="102">
        <v>9.7372999999999994</v>
      </c>
      <c r="I37" s="85">
        <v>16</v>
      </c>
      <c r="J37" s="117">
        <v>0</v>
      </c>
      <c r="K37" s="117">
        <v>0</v>
      </c>
      <c r="L37" s="101">
        <v>83.590100000000007</v>
      </c>
      <c r="M37" s="118">
        <v>15276566</v>
      </c>
    </row>
    <row r="38" spans="1:13" ht="13.5" customHeight="1" x14ac:dyDescent="0.35">
      <c r="A38" s="105" t="s">
        <v>19</v>
      </c>
      <c r="B38" s="119">
        <v>2017</v>
      </c>
      <c r="C38" s="106">
        <v>35.299999999999997</v>
      </c>
      <c r="D38" s="120">
        <v>2.97</v>
      </c>
      <c r="E38" s="108">
        <v>8.5970999999999993</v>
      </c>
      <c r="F38" s="121">
        <v>6.1203000000000003</v>
      </c>
      <c r="G38" s="122">
        <v>17513</v>
      </c>
      <c r="H38" s="123">
        <v>9.7706999999999997</v>
      </c>
      <c r="I38" s="89">
        <v>17.100000000000001</v>
      </c>
      <c r="J38" s="119">
        <v>0</v>
      </c>
      <c r="K38" s="119">
        <v>0</v>
      </c>
      <c r="L38" s="109">
        <v>83.590100000000007</v>
      </c>
      <c r="M38" s="124">
        <v>15344447</v>
      </c>
    </row>
    <row r="39" spans="1:13" ht="13.5" customHeight="1" x14ac:dyDescent="0.35">
      <c r="A39" s="97" t="s">
        <v>19</v>
      </c>
      <c r="B39" s="117">
        <v>2018</v>
      </c>
      <c r="C39" s="98">
        <v>33.47</v>
      </c>
      <c r="D39" s="99">
        <v>5.33</v>
      </c>
      <c r="E39" s="100">
        <v>8.5088000000000008</v>
      </c>
      <c r="F39" s="101">
        <v>6.6719999999999997</v>
      </c>
      <c r="G39" s="77">
        <v>19324</v>
      </c>
      <c r="H39" s="102">
        <v>9.8690999999999995</v>
      </c>
      <c r="I39" s="85">
        <v>17.2</v>
      </c>
      <c r="J39" s="117">
        <v>0</v>
      </c>
      <c r="K39" s="117">
        <v>0</v>
      </c>
      <c r="L39" s="101">
        <v>83.590100000000007</v>
      </c>
      <c r="M39" s="118">
        <v>14812617</v>
      </c>
    </row>
    <row r="40" spans="1:13" ht="13.5" customHeight="1" x14ac:dyDescent="0.35">
      <c r="A40" s="105" t="s">
        <v>19</v>
      </c>
      <c r="B40" s="119">
        <v>2019</v>
      </c>
      <c r="C40" s="106">
        <v>30.83</v>
      </c>
      <c r="D40" s="120">
        <v>19.63</v>
      </c>
      <c r="E40" s="108">
        <v>8.4307999999999996</v>
      </c>
      <c r="F40" s="121">
        <v>7.9793000000000003</v>
      </c>
      <c r="G40" s="122">
        <v>19716</v>
      </c>
      <c r="H40" s="123">
        <v>9.8892000000000007</v>
      </c>
      <c r="I40" s="89">
        <v>17.399999999999999</v>
      </c>
      <c r="J40" s="119">
        <v>0</v>
      </c>
      <c r="K40" s="119">
        <v>0</v>
      </c>
      <c r="L40" s="109">
        <v>83.590100000000007</v>
      </c>
      <c r="M40" s="124">
        <v>14873064</v>
      </c>
    </row>
    <row r="41" spans="1:13" ht="13.5" customHeight="1" x14ac:dyDescent="0.35">
      <c r="A41" s="97" t="s">
        <v>19</v>
      </c>
      <c r="B41" s="117">
        <v>2020</v>
      </c>
      <c r="C41" s="98">
        <v>34.04</v>
      </c>
      <c r="D41" s="99">
        <v>41.26</v>
      </c>
      <c r="E41" s="100">
        <v>8.5335000000000001</v>
      </c>
      <c r="F41" s="101">
        <v>8.7260000000000009</v>
      </c>
      <c r="G41" s="77">
        <v>20449</v>
      </c>
      <c r="H41" s="102">
        <v>9.9257000000000009</v>
      </c>
      <c r="I41" s="85">
        <v>20.2</v>
      </c>
      <c r="J41" s="117">
        <v>0</v>
      </c>
      <c r="K41" s="125">
        <v>1</v>
      </c>
      <c r="L41" s="101">
        <v>83.590100000000007</v>
      </c>
      <c r="M41" s="118">
        <v>14930634</v>
      </c>
    </row>
    <row r="42" spans="1:13" ht="13.5" customHeight="1" x14ac:dyDescent="0.35">
      <c r="A42" s="105" t="s">
        <v>19</v>
      </c>
      <c r="B42" s="119">
        <v>2021</v>
      </c>
      <c r="C42" s="106">
        <v>35.299999999999997</v>
      </c>
      <c r="D42" s="120">
        <v>56.73</v>
      </c>
      <c r="E42" s="108">
        <v>8.5736000000000008</v>
      </c>
      <c r="F42" s="121">
        <v>9.0479000000000003</v>
      </c>
      <c r="G42" s="122">
        <v>23531</v>
      </c>
      <c r="H42" s="123">
        <v>10.0661</v>
      </c>
      <c r="I42" s="89">
        <v>19.5</v>
      </c>
      <c r="J42" s="119">
        <v>0</v>
      </c>
      <c r="K42" s="125">
        <v>1</v>
      </c>
      <c r="L42" s="109">
        <v>83.590100000000007</v>
      </c>
      <c r="M42" s="124">
        <v>14985284</v>
      </c>
    </row>
    <row r="43" spans="1:13" ht="13.5" customHeight="1" x14ac:dyDescent="0.35">
      <c r="A43" s="97" t="s">
        <v>19</v>
      </c>
      <c r="B43" s="117">
        <v>2022</v>
      </c>
      <c r="C43" s="98">
        <v>34.119999999999997</v>
      </c>
      <c r="D43" s="99">
        <v>83.59</v>
      </c>
      <c r="E43" s="100">
        <v>8.4816000000000003</v>
      </c>
      <c r="F43" s="101">
        <v>9.3775999999999993</v>
      </c>
      <c r="G43" s="77">
        <v>28472</v>
      </c>
      <c r="H43" s="102">
        <v>10.2567</v>
      </c>
      <c r="I43" s="85">
        <v>15.3</v>
      </c>
      <c r="J43" s="117">
        <v>0</v>
      </c>
      <c r="K43" s="117">
        <v>0</v>
      </c>
      <c r="L43" s="101">
        <v>83.590100000000007</v>
      </c>
      <c r="M43" s="118">
        <v>14141626</v>
      </c>
    </row>
    <row r="44" spans="1:13" ht="13.5" customHeight="1" x14ac:dyDescent="0.35">
      <c r="A44" s="105" t="s">
        <v>19</v>
      </c>
      <c r="B44" s="119">
        <v>2023</v>
      </c>
      <c r="C44" s="106">
        <v>33.58</v>
      </c>
      <c r="D44" s="120">
        <v>0.51</v>
      </c>
      <c r="E44" s="108">
        <v>8.4657</v>
      </c>
      <c r="F44" s="121">
        <v>4.2766999999999999</v>
      </c>
      <c r="G44" s="122">
        <v>30477</v>
      </c>
      <c r="H44" s="123">
        <v>10.3247</v>
      </c>
      <c r="I44" s="89">
        <v>13.4</v>
      </c>
      <c r="J44" s="126">
        <v>1</v>
      </c>
      <c r="K44" s="119">
        <v>0</v>
      </c>
      <c r="L44" s="109">
        <v>83.590100000000007</v>
      </c>
      <c r="M44" s="124">
        <v>14141626</v>
      </c>
    </row>
    <row r="45" spans="1:13" ht="13.5" customHeight="1" x14ac:dyDescent="0.35">
      <c r="A45" s="97" t="s">
        <v>20</v>
      </c>
      <c r="B45" s="117">
        <v>2016</v>
      </c>
      <c r="C45" s="98">
        <v>32.26</v>
      </c>
      <c r="D45" s="99">
        <v>4.33</v>
      </c>
      <c r="E45" s="100">
        <v>7.9696999999999996</v>
      </c>
      <c r="F45" s="101">
        <v>5.9610000000000003</v>
      </c>
      <c r="G45" s="77">
        <v>15443</v>
      </c>
      <c r="H45" s="102">
        <v>9.6448999999999998</v>
      </c>
      <c r="I45" s="85">
        <v>12.1</v>
      </c>
      <c r="J45" s="117">
        <v>0</v>
      </c>
      <c r="K45" s="117">
        <v>0</v>
      </c>
      <c r="L45" s="101">
        <v>73.200999999999993</v>
      </c>
      <c r="M45" s="118">
        <v>8963663</v>
      </c>
    </row>
    <row r="46" spans="1:13" ht="13.5" customHeight="1" x14ac:dyDescent="0.35">
      <c r="A46" s="105" t="s">
        <v>20</v>
      </c>
      <c r="B46" s="119">
        <v>2017</v>
      </c>
      <c r="C46" s="106">
        <v>52.05</v>
      </c>
      <c r="D46" s="120">
        <v>7.67</v>
      </c>
      <c r="E46" s="108">
        <v>8.4542999999999999</v>
      </c>
      <c r="F46" s="121">
        <v>6.5396000000000001</v>
      </c>
      <c r="G46" s="122">
        <v>16398</v>
      </c>
      <c r="H46" s="123">
        <v>9.7049000000000003</v>
      </c>
      <c r="I46" s="89">
        <v>12.7</v>
      </c>
      <c r="J46" s="119">
        <v>0</v>
      </c>
      <c r="K46" s="119">
        <v>0</v>
      </c>
      <c r="L46" s="109">
        <v>73.200999999999993</v>
      </c>
      <c r="M46" s="124">
        <v>9020460</v>
      </c>
    </row>
    <row r="47" spans="1:13" ht="13.5" customHeight="1" x14ac:dyDescent="0.35">
      <c r="A47" s="97" t="s">
        <v>20</v>
      </c>
      <c r="B47" s="117">
        <v>2018</v>
      </c>
      <c r="C47" s="98">
        <v>46.5</v>
      </c>
      <c r="D47" s="99">
        <v>10.94</v>
      </c>
      <c r="E47" s="100">
        <v>8.3475999999999999</v>
      </c>
      <c r="F47" s="101">
        <v>6.9006999999999996</v>
      </c>
      <c r="G47" s="77">
        <v>17178</v>
      </c>
      <c r="H47" s="102">
        <v>9.7514000000000003</v>
      </c>
      <c r="I47" s="85">
        <v>11.4</v>
      </c>
      <c r="J47" s="117">
        <v>0</v>
      </c>
      <c r="K47" s="117">
        <v>0</v>
      </c>
      <c r="L47" s="101">
        <v>73.200999999999993</v>
      </c>
      <c r="M47" s="118">
        <v>9075649</v>
      </c>
    </row>
    <row r="48" spans="1:13" ht="13.5" customHeight="1" x14ac:dyDescent="0.35">
      <c r="A48" s="105" t="s">
        <v>20</v>
      </c>
      <c r="B48" s="119">
        <v>2019</v>
      </c>
      <c r="C48" s="106">
        <v>20.64</v>
      </c>
      <c r="D48" s="120">
        <v>23.02</v>
      </c>
      <c r="E48" s="108">
        <v>7.5416999999999996</v>
      </c>
      <c r="F48" s="121">
        <v>7.6505999999999998</v>
      </c>
      <c r="G48" s="122">
        <v>17912</v>
      </c>
      <c r="H48" s="123">
        <v>9.7932000000000006</v>
      </c>
      <c r="I48" s="89">
        <v>11.1</v>
      </c>
      <c r="J48" s="119">
        <v>0</v>
      </c>
      <c r="K48" s="119">
        <v>0</v>
      </c>
      <c r="L48" s="109">
        <v>73.200999999999993</v>
      </c>
      <c r="M48" s="124">
        <v>9132078</v>
      </c>
    </row>
    <row r="49" spans="1:13" ht="13.5" customHeight="1" x14ac:dyDescent="0.35">
      <c r="A49" s="97" t="s">
        <v>20</v>
      </c>
      <c r="B49" s="117">
        <v>2020</v>
      </c>
      <c r="C49" s="98">
        <v>37.380000000000003</v>
      </c>
      <c r="D49" s="99">
        <v>33.93</v>
      </c>
      <c r="E49" s="100">
        <v>8.1415000000000006</v>
      </c>
      <c r="F49" s="101">
        <v>8.0446000000000009</v>
      </c>
      <c r="G49" s="77">
        <v>18168</v>
      </c>
      <c r="H49" s="102">
        <v>9.8073999999999995</v>
      </c>
      <c r="I49" s="85">
        <v>13.3</v>
      </c>
      <c r="J49" s="117">
        <v>0</v>
      </c>
      <c r="K49" s="125">
        <v>1</v>
      </c>
      <c r="L49" s="101">
        <v>73.200999999999993</v>
      </c>
      <c r="M49" s="118">
        <v>9187103</v>
      </c>
    </row>
    <row r="50" spans="1:13" ht="13.5" customHeight="1" x14ac:dyDescent="0.35">
      <c r="A50" s="105" t="s">
        <v>20</v>
      </c>
      <c r="B50" s="119">
        <v>2021</v>
      </c>
      <c r="C50" s="106">
        <v>32.1</v>
      </c>
      <c r="D50" s="120">
        <v>66.87</v>
      </c>
      <c r="E50" s="108">
        <v>7.9950000000000001</v>
      </c>
      <c r="F50" s="121">
        <v>8.7288999999999994</v>
      </c>
      <c r="G50" s="122">
        <v>21090</v>
      </c>
      <c r="H50" s="123">
        <v>9.9565999999999999</v>
      </c>
      <c r="I50" s="89">
        <v>13.4</v>
      </c>
      <c r="J50" s="119">
        <v>0</v>
      </c>
      <c r="K50" s="125">
        <v>1</v>
      </c>
      <c r="L50" s="109">
        <v>73.200999999999993</v>
      </c>
      <c r="M50" s="124">
        <v>9240580</v>
      </c>
    </row>
    <row r="51" spans="1:13" ht="13.5" customHeight="1" x14ac:dyDescent="0.35">
      <c r="A51" s="97" t="s">
        <v>20</v>
      </c>
      <c r="B51" s="117">
        <v>2022</v>
      </c>
      <c r="C51" s="98">
        <v>28.13</v>
      </c>
      <c r="D51" s="99">
        <v>73.2</v>
      </c>
      <c r="E51" s="100">
        <v>7.8136000000000001</v>
      </c>
      <c r="F51" s="101">
        <v>8.77</v>
      </c>
      <c r="G51" s="77">
        <v>24287</v>
      </c>
      <c r="H51" s="102">
        <v>10.0977</v>
      </c>
      <c r="I51" s="85">
        <v>9.5</v>
      </c>
      <c r="J51" s="117">
        <v>0</v>
      </c>
      <c r="K51" s="117">
        <v>0</v>
      </c>
      <c r="L51" s="101">
        <v>73.200999999999993</v>
      </c>
      <c r="M51" s="118">
        <v>8794957</v>
      </c>
    </row>
    <row r="52" spans="1:13" ht="13.5" customHeight="1" x14ac:dyDescent="0.35">
      <c r="A52" s="105" t="s">
        <v>20</v>
      </c>
      <c r="B52" s="119">
        <v>2023</v>
      </c>
      <c r="C52" s="106">
        <v>28.57</v>
      </c>
      <c r="D52" s="120">
        <v>0.2</v>
      </c>
      <c r="E52" s="108">
        <v>7.8292000000000002</v>
      </c>
      <c r="F52" s="121">
        <v>2.8904000000000001</v>
      </c>
      <c r="G52" s="122">
        <v>26406</v>
      </c>
      <c r="H52" s="123">
        <v>10.1813</v>
      </c>
      <c r="I52" s="89">
        <v>9.1</v>
      </c>
      <c r="J52" s="126">
        <v>1</v>
      </c>
      <c r="K52" s="119">
        <v>0</v>
      </c>
      <c r="L52" s="109">
        <v>73.200999999999993</v>
      </c>
      <c r="M52" s="124">
        <v>8794957</v>
      </c>
    </row>
    <row r="53" spans="1:13" ht="13.5" customHeight="1" x14ac:dyDescent="0.35">
      <c r="A53" s="97" t="s">
        <v>21</v>
      </c>
      <c r="B53" s="117">
        <v>2016</v>
      </c>
      <c r="C53" s="98">
        <v>18.170000000000002</v>
      </c>
      <c r="D53" s="99">
        <v>6.35</v>
      </c>
      <c r="E53" s="100">
        <v>6.2934000000000001</v>
      </c>
      <c r="F53" s="101">
        <v>5.2416999999999998</v>
      </c>
      <c r="G53" s="77">
        <v>79114</v>
      </c>
      <c r="H53" s="102">
        <v>11.278600000000001</v>
      </c>
      <c r="I53" s="85">
        <v>12.1</v>
      </c>
      <c r="J53" s="117">
        <v>0</v>
      </c>
      <c r="K53" s="117">
        <v>0</v>
      </c>
      <c r="L53" s="101">
        <v>385.49990000000003</v>
      </c>
      <c r="M53" s="118">
        <v>2977216</v>
      </c>
    </row>
    <row r="54" spans="1:13" ht="13.5" customHeight="1" x14ac:dyDescent="0.35">
      <c r="A54" s="105" t="s">
        <v>21</v>
      </c>
      <c r="B54" s="119">
        <v>2017</v>
      </c>
      <c r="C54" s="106">
        <v>13.32</v>
      </c>
      <c r="D54" s="120">
        <v>10.5</v>
      </c>
      <c r="E54" s="108">
        <v>6.0038999999999998</v>
      </c>
      <c r="F54" s="121">
        <v>5.7652000000000001</v>
      </c>
      <c r="G54" s="122">
        <v>80515</v>
      </c>
      <c r="H54" s="123">
        <v>11.296200000000001</v>
      </c>
      <c r="I54" s="89">
        <v>13.3</v>
      </c>
      <c r="J54" s="119">
        <v>0</v>
      </c>
      <c r="K54" s="119">
        <v>0</v>
      </c>
      <c r="L54" s="109">
        <v>385.49990000000003</v>
      </c>
      <c r="M54" s="124">
        <v>3039444</v>
      </c>
    </row>
    <row r="55" spans="1:13" ht="13.5" customHeight="1" x14ac:dyDescent="0.35">
      <c r="A55" s="97" t="s">
        <v>21</v>
      </c>
      <c r="B55" s="117">
        <v>2018</v>
      </c>
      <c r="C55" s="98">
        <v>11.43</v>
      </c>
      <c r="D55" s="99">
        <v>16.809999999999999</v>
      </c>
      <c r="E55" s="100">
        <v>5.8289</v>
      </c>
      <c r="F55" s="101">
        <v>6.2145999999999999</v>
      </c>
      <c r="G55" s="77">
        <v>85661</v>
      </c>
      <c r="H55" s="102">
        <v>11.3582</v>
      </c>
      <c r="I55" s="85">
        <v>12.8</v>
      </c>
      <c r="J55" s="117">
        <v>0</v>
      </c>
      <c r="K55" s="117">
        <v>0</v>
      </c>
      <c r="L55" s="101">
        <v>385.49990000000003</v>
      </c>
      <c r="M55" s="118">
        <v>2974703</v>
      </c>
    </row>
    <row r="56" spans="1:13" ht="13.5" customHeight="1" x14ac:dyDescent="0.35">
      <c r="A56" s="105" t="s">
        <v>21</v>
      </c>
      <c r="B56" s="119">
        <v>2019</v>
      </c>
      <c r="C56" s="106">
        <v>8.85</v>
      </c>
      <c r="D56" s="120">
        <v>82.35</v>
      </c>
      <c r="E56" s="108">
        <v>5.5872000000000002</v>
      </c>
      <c r="F56" s="121">
        <v>7.8171999999999997</v>
      </c>
      <c r="G56" s="122">
        <v>90743</v>
      </c>
      <c r="H56" s="123">
        <v>11.415800000000001</v>
      </c>
      <c r="I56" s="89">
        <v>13.4</v>
      </c>
      <c r="J56" s="119">
        <v>0</v>
      </c>
      <c r="K56" s="119">
        <v>0</v>
      </c>
      <c r="L56" s="109">
        <v>385.49990000000003</v>
      </c>
      <c r="M56" s="124">
        <v>3015268</v>
      </c>
    </row>
    <row r="57" spans="1:13" ht="13.5" customHeight="1" x14ac:dyDescent="0.35">
      <c r="A57" s="97" t="s">
        <v>21</v>
      </c>
      <c r="B57" s="117">
        <v>2020</v>
      </c>
      <c r="C57" s="98">
        <v>8.2799999999999994</v>
      </c>
      <c r="D57" s="99">
        <v>165.13</v>
      </c>
      <c r="E57" s="100">
        <v>5.5334000000000003</v>
      </c>
      <c r="F57" s="101">
        <v>8.5261999999999993</v>
      </c>
      <c r="G57" s="77">
        <v>87016</v>
      </c>
      <c r="H57" s="102">
        <v>11.373799999999999</v>
      </c>
      <c r="I57" s="85">
        <v>14.8</v>
      </c>
      <c r="J57" s="117">
        <v>0</v>
      </c>
      <c r="K57" s="125">
        <v>1</v>
      </c>
      <c r="L57" s="101">
        <v>385.49990000000003</v>
      </c>
      <c r="M57" s="118">
        <v>3055149</v>
      </c>
    </row>
    <row r="58" spans="1:13" ht="13.5" customHeight="1" x14ac:dyDescent="0.35">
      <c r="A58" s="105" t="s">
        <v>21</v>
      </c>
      <c r="B58" s="119">
        <v>2021</v>
      </c>
      <c r="C58" s="106">
        <v>6.24</v>
      </c>
      <c r="D58" s="120">
        <v>267.88</v>
      </c>
      <c r="E58" s="108">
        <v>5.2626999999999997</v>
      </c>
      <c r="F58" s="121">
        <v>9.0227000000000004</v>
      </c>
      <c r="G58" s="122">
        <v>92732</v>
      </c>
      <c r="H58" s="123">
        <v>11.4375</v>
      </c>
      <c r="I58" s="89">
        <v>14</v>
      </c>
      <c r="J58" s="119">
        <v>0</v>
      </c>
      <c r="K58" s="125">
        <v>1</v>
      </c>
      <c r="L58" s="109">
        <v>385.49990000000003</v>
      </c>
      <c r="M58" s="124">
        <v>3094325</v>
      </c>
    </row>
    <row r="59" spans="1:13" ht="13.5" customHeight="1" x14ac:dyDescent="0.35">
      <c r="A59" s="97" t="s">
        <v>21</v>
      </c>
      <c r="B59" s="117">
        <v>2022</v>
      </c>
      <c r="C59" s="98">
        <v>6.35</v>
      </c>
      <c r="D59" s="99">
        <v>385.5</v>
      </c>
      <c r="E59" s="100">
        <v>5.1874000000000002</v>
      </c>
      <c r="F59" s="101">
        <v>9.2928999999999995</v>
      </c>
      <c r="G59" s="77">
        <v>116700</v>
      </c>
      <c r="H59" s="102">
        <v>11.667400000000001</v>
      </c>
      <c r="I59" s="85">
        <v>11.4</v>
      </c>
      <c r="J59" s="117">
        <v>0</v>
      </c>
      <c r="K59" s="117">
        <v>0</v>
      </c>
      <c r="L59" s="101">
        <v>385.49990000000003</v>
      </c>
      <c r="M59" s="118">
        <v>2817381</v>
      </c>
    </row>
    <row r="60" spans="1:13" ht="13.5" customHeight="1" x14ac:dyDescent="0.35">
      <c r="A60" s="105" t="s">
        <v>21</v>
      </c>
      <c r="B60" s="119">
        <v>2023</v>
      </c>
      <c r="C60" s="106">
        <v>4.6900000000000004</v>
      </c>
      <c r="D60" s="120">
        <v>0.64</v>
      </c>
      <c r="E60" s="108">
        <v>4.8827999999999996</v>
      </c>
      <c r="F60" s="121">
        <v>2.8904000000000001</v>
      </c>
      <c r="G60" s="122">
        <v>129790</v>
      </c>
      <c r="H60" s="123">
        <v>11.7737</v>
      </c>
      <c r="I60" s="89">
        <v>9.8000000000000007</v>
      </c>
      <c r="J60" s="126">
        <v>1</v>
      </c>
      <c r="K60" s="119">
        <v>0</v>
      </c>
      <c r="L60" s="109">
        <v>385.49990000000003</v>
      </c>
      <c r="M60" s="124">
        <v>2817381</v>
      </c>
    </row>
    <row r="61" spans="1:13" ht="13.5" customHeight="1" x14ac:dyDescent="0.35">
      <c r="A61" s="97" t="s">
        <v>22</v>
      </c>
      <c r="B61" s="117">
        <v>2016</v>
      </c>
      <c r="C61" s="98">
        <v>24.28</v>
      </c>
      <c r="D61" s="99">
        <v>1.01</v>
      </c>
      <c r="E61" s="100">
        <v>6.8720999999999997</v>
      </c>
      <c r="F61" s="101">
        <v>3.6888999999999998</v>
      </c>
      <c r="G61" s="77">
        <v>27497</v>
      </c>
      <c r="H61" s="102">
        <v>10.2218</v>
      </c>
      <c r="I61" s="85">
        <v>12.4</v>
      </c>
      <c r="J61" s="117">
        <v>0</v>
      </c>
      <c r="K61" s="117">
        <v>0</v>
      </c>
      <c r="L61" s="101">
        <v>78.644400000000005</v>
      </c>
      <c r="M61" s="118">
        <v>3973697</v>
      </c>
    </row>
    <row r="62" spans="1:13" ht="13.5" customHeight="1" x14ac:dyDescent="0.35">
      <c r="A62" s="105" t="s">
        <v>22</v>
      </c>
      <c r="B62" s="119">
        <v>2017</v>
      </c>
      <c r="C62" s="106">
        <v>30.72</v>
      </c>
      <c r="D62" s="120">
        <v>3.36</v>
      </c>
      <c r="E62" s="108">
        <v>7.1180000000000003</v>
      </c>
      <c r="F62" s="121">
        <v>4.9053000000000004</v>
      </c>
      <c r="G62" s="122">
        <v>28235</v>
      </c>
      <c r="H62" s="123">
        <v>10.2483</v>
      </c>
      <c r="I62" s="89">
        <v>13.3</v>
      </c>
      <c r="J62" s="119">
        <v>0</v>
      </c>
      <c r="K62" s="119">
        <v>0</v>
      </c>
      <c r="L62" s="109">
        <v>78.644400000000005</v>
      </c>
      <c r="M62" s="124">
        <v>4016356</v>
      </c>
    </row>
    <row r="63" spans="1:13" ht="13.5" customHeight="1" x14ac:dyDescent="0.35">
      <c r="A63" s="97" t="s">
        <v>22</v>
      </c>
      <c r="B63" s="117">
        <v>2018</v>
      </c>
      <c r="C63" s="98">
        <v>22.28</v>
      </c>
      <c r="D63" s="99">
        <v>8.08</v>
      </c>
      <c r="E63" s="100">
        <v>6.7855999999999996</v>
      </c>
      <c r="F63" s="101">
        <v>5.7713999999999999</v>
      </c>
      <c r="G63" s="77">
        <v>34493</v>
      </c>
      <c r="H63" s="102">
        <v>10.448499999999999</v>
      </c>
      <c r="I63" s="85">
        <v>11.7</v>
      </c>
      <c r="J63" s="117">
        <v>0</v>
      </c>
      <c r="K63" s="117">
        <v>0</v>
      </c>
      <c r="L63" s="101">
        <v>78.644400000000005</v>
      </c>
      <c r="M63" s="118">
        <v>3972388</v>
      </c>
    </row>
    <row r="64" spans="1:13" ht="13.5" customHeight="1" x14ac:dyDescent="0.35">
      <c r="A64" s="105" t="s">
        <v>22</v>
      </c>
      <c r="B64" s="119">
        <v>2019</v>
      </c>
      <c r="C64" s="106">
        <v>19.329999999999998</v>
      </c>
      <c r="D64" s="120">
        <v>16.37</v>
      </c>
      <c r="E64" s="108">
        <v>6.6554000000000002</v>
      </c>
      <c r="F64" s="121">
        <v>6.4892000000000003</v>
      </c>
      <c r="G64" s="122">
        <v>34177</v>
      </c>
      <c r="H64" s="123">
        <v>10.439299999999999</v>
      </c>
      <c r="I64" s="89">
        <v>11.2</v>
      </c>
      <c r="J64" s="119">
        <v>0</v>
      </c>
      <c r="K64" s="119">
        <v>0</v>
      </c>
      <c r="L64" s="109">
        <v>78.644400000000005</v>
      </c>
      <c r="M64" s="124">
        <v>4018650</v>
      </c>
    </row>
    <row r="65" spans="1:13" ht="13.5" customHeight="1" x14ac:dyDescent="0.35">
      <c r="A65" s="97" t="s">
        <v>22</v>
      </c>
      <c r="B65" s="117">
        <v>2020</v>
      </c>
      <c r="C65" s="98">
        <v>22.98</v>
      </c>
      <c r="D65" s="99">
        <v>18.45</v>
      </c>
      <c r="E65" s="100">
        <v>6.8395000000000001</v>
      </c>
      <c r="F65" s="101">
        <v>6.6200999999999999</v>
      </c>
      <c r="G65" s="77">
        <v>34066</v>
      </c>
      <c r="H65" s="102">
        <v>10.4361</v>
      </c>
      <c r="I65" s="85">
        <v>12.9</v>
      </c>
      <c r="J65" s="117">
        <v>0</v>
      </c>
      <c r="K65" s="125">
        <v>1</v>
      </c>
      <c r="L65" s="101">
        <v>78.644400000000005</v>
      </c>
      <c r="M65" s="118">
        <v>4064052</v>
      </c>
    </row>
    <row r="66" spans="1:13" ht="13.5" customHeight="1" x14ac:dyDescent="0.35">
      <c r="A66" s="105" t="s">
        <v>22</v>
      </c>
      <c r="B66" s="119">
        <v>2021</v>
      </c>
      <c r="C66" s="106">
        <v>22.1</v>
      </c>
      <c r="D66" s="120">
        <v>56.47</v>
      </c>
      <c r="E66" s="108">
        <v>6.8112000000000004</v>
      </c>
      <c r="F66" s="121">
        <v>7.7492999999999999</v>
      </c>
      <c r="G66" s="122">
        <v>45354</v>
      </c>
      <c r="H66" s="123">
        <v>10.722200000000001</v>
      </c>
      <c r="I66" s="89">
        <v>11.2</v>
      </c>
      <c r="J66" s="119">
        <v>0</v>
      </c>
      <c r="K66" s="125">
        <v>1</v>
      </c>
      <c r="L66" s="109">
        <v>78.644400000000005</v>
      </c>
      <c r="M66" s="124">
        <v>4108508</v>
      </c>
    </row>
    <row r="67" spans="1:13" ht="13.5" customHeight="1" x14ac:dyDescent="0.35">
      <c r="A67" s="97" t="s">
        <v>22</v>
      </c>
      <c r="B67" s="117">
        <v>2022</v>
      </c>
      <c r="C67" s="98">
        <v>22.43</v>
      </c>
      <c r="D67" s="99">
        <v>78.64</v>
      </c>
      <c r="E67" s="100">
        <v>6.7568999999999999</v>
      </c>
      <c r="F67" s="101">
        <v>8.0114000000000001</v>
      </c>
      <c r="G67" s="77">
        <v>47617</v>
      </c>
      <c r="H67" s="102">
        <v>10.770899999999999</v>
      </c>
      <c r="I67" s="85">
        <v>8</v>
      </c>
      <c r="J67" s="117">
        <v>0</v>
      </c>
      <c r="K67" s="117">
        <v>0</v>
      </c>
      <c r="L67" s="101">
        <v>78.644400000000005</v>
      </c>
      <c r="M67" s="118">
        <v>3833712</v>
      </c>
    </row>
    <row r="68" spans="1:13" ht="13.5" customHeight="1" x14ac:dyDescent="0.35">
      <c r="A68" s="105" t="s">
        <v>22</v>
      </c>
      <c r="B68" s="119">
        <v>2023</v>
      </c>
      <c r="C68" s="106">
        <v>21.96</v>
      </c>
      <c r="D68" s="120">
        <v>1.02</v>
      </c>
      <c r="E68" s="108">
        <v>6.7358000000000002</v>
      </c>
      <c r="F68" s="121">
        <v>3.6636000000000002</v>
      </c>
      <c r="G68" s="122">
        <v>54733</v>
      </c>
      <c r="H68" s="123">
        <v>10.9102</v>
      </c>
      <c r="I68" s="89">
        <v>6.1</v>
      </c>
      <c r="J68" s="126">
        <v>1</v>
      </c>
      <c r="K68" s="119">
        <v>0</v>
      </c>
      <c r="L68" s="109">
        <v>78.644400000000005</v>
      </c>
      <c r="M68" s="124">
        <v>3833712</v>
      </c>
    </row>
    <row r="69" spans="1:13" ht="13.5" customHeight="1" x14ac:dyDescent="0.35">
      <c r="A69" s="97" t="s">
        <v>23</v>
      </c>
      <c r="B69" s="117">
        <v>2016</v>
      </c>
      <c r="C69" s="98">
        <v>31.86</v>
      </c>
      <c r="D69" s="99">
        <v>1.72</v>
      </c>
      <c r="E69" s="100">
        <v>7.6653000000000002</v>
      </c>
      <c r="F69" s="101">
        <v>4.7449000000000003</v>
      </c>
      <c r="G69" s="77">
        <v>27145</v>
      </c>
      <c r="H69" s="102">
        <v>10.209</v>
      </c>
      <c r="I69" s="85">
        <v>10.7</v>
      </c>
      <c r="J69" s="117">
        <v>0</v>
      </c>
      <c r="K69" s="117">
        <v>0</v>
      </c>
      <c r="L69" s="101">
        <v>412.65530000000001</v>
      </c>
      <c r="M69" s="118">
        <v>6695855</v>
      </c>
    </row>
    <row r="70" spans="1:13" ht="13.5" customHeight="1" x14ac:dyDescent="0.35">
      <c r="A70" s="105" t="s">
        <v>23</v>
      </c>
      <c r="B70" s="119">
        <v>2017</v>
      </c>
      <c r="C70" s="106">
        <v>30.39</v>
      </c>
      <c r="D70" s="120">
        <v>4.4400000000000004</v>
      </c>
      <c r="E70" s="108">
        <v>7.6304999999999996</v>
      </c>
      <c r="F70" s="121">
        <v>5.7070999999999996</v>
      </c>
      <c r="G70" s="122">
        <v>28316</v>
      </c>
      <c r="H70" s="123">
        <v>10.251200000000001</v>
      </c>
      <c r="I70" s="89">
        <v>10.7</v>
      </c>
      <c r="J70" s="119">
        <v>0</v>
      </c>
      <c r="K70" s="119">
        <v>0</v>
      </c>
      <c r="L70" s="109">
        <v>412.65530000000001</v>
      </c>
      <c r="M70" s="124">
        <v>6778772</v>
      </c>
    </row>
    <row r="71" spans="1:13" ht="13.5" customHeight="1" x14ac:dyDescent="0.35">
      <c r="A71" s="97" t="s">
        <v>23</v>
      </c>
      <c r="B71" s="117">
        <v>2018</v>
      </c>
      <c r="C71" s="98">
        <v>27.24</v>
      </c>
      <c r="D71" s="99">
        <v>8.58</v>
      </c>
      <c r="E71" s="100">
        <v>7.5416999999999996</v>
      </c>
      <c r="F71" s="101">
        <v>6.3868999999999998</v>
      </c>
      <c r="G71" s="77">
        <v>28273</v>
      </c>
      <c r="H71" s="102">
        <v>10.249700000000001</v>
      </c>
      <c r="I71" s="85">
        <v>9.3000000000000007</v>
      </c>
      <c r="J71" s="117">
        <v>0</v>
      </c>
      <c r="K71" s="117">
        <v>0</v>
      </c>
      <c r="L71" s="101">
        <v>412.65530000000001</v>
      </c>
      <c r="M71" s="118">
        <v>6921161</v>
      </c>
    </row>
    <row r="72" spans="1:13" ht="13.5" customHeight="1" x14ac:dyDescent="0.35">
      <c r="A72" s="105" t="s">
        <v>23</v>
      </c>
      <c r="B72" s="119">
        <v>2019</v>
      </c>
      <c r="C72" s="106">
        <v>21.03</v>
      </c>
      <c r="D72" s="120">
        <v>43.4</v>
      </c>
      <c r="E72" s="108">
        <v>7.2971000000000004</v>
      </c>
      <c r="F72" s="121">
        <v>8.0215999999999994</v>
      </c>
      <c r="G72" s="122">
        <v>29732</v>
      </c>
      <c r="H72" s="123">
        <v>10.3</v>
      </c>
      <c r="I72" s="89">
        <v>10.8</v>
      </c>
      <c r="J72" s="119">
        <v>0</v>
      </c>
      <c r="K72" s="119">
        <v>0</v>
      </c>
      <c r="L72" s="109">
        <v>412.65530000000001</v>
      </c>
      <c r="M72" s="124">
        <v>7018354</v>
      </c>
    </row>
    <row r="73" spans="1:13" ht="13.5" customHeight="1" x14ac:dyDescent="0.35">
      <c r="A73" s="97" t="s">
        <v>23</v>
      </c>
      <c r="B73" s="117">
        <v>2020</v>
      </c>
      <c r="C73" s="98">
        <v>19.86</v>
      </c>
      <c r="D73" s="99">
        <v>119.46</v>
      </c>
      <c r="E73" s="100">
        <v>7.2534999999999998</v>
      </c>
      <c r="F73" s="101">
        <v>9.0475999999999992</v>
      </c>
      <c r="G73" s="77">
        <v>31507</v>
      </c>
      <c r="H73" s="102">
        <v>10.358000000000001</v>
      </c>
      <c r="I73" s="85">
        <v>12.8</v>
      </c>
      <c r="J73" s="117">
        <v>0</v>
      </c>
      <c r="K73" s="125">
        <v>1</v>
      </c>
      <c r="L73" s="101">
        <v>412.65530000000001</v>
      </c>
      <c r="M73" s="118">
        <v>7113540</v>
      </c>
    </row>
    <row r="74" spans="1:13" ht="13.5" customHeight="1" x14ac:dyDescent="0.35">
      <c r="A74" s="105" t="s">
        <v>23</v>
      </c>
      <c r="B74" s="119">
        <v>2021</v>
      </c>
      <c r="C74" s="106">
        <v>14.11</v>
      </c>
      <c r="D74" s="120">
        <v>305.83</v>
      </c>
      <c r="E74" s="108">
        <v>6.9245999999999999</v>
      </c>
      <c r="F74" s="121">
        <v>10.0006</v>
      </c>
      <c r="G74" s="122">
        <v>37414</v>
      </c>
      <c r="H74" s="123">
        <v>10.5298</v>
      </c>
      <c r="I74" s="89">
        <v>11.3</v>
      </c>
      <c r="J74" s="119">
        <v>0</v>
      </c>
      <c r="K74" s="125">
        <v>1</v>
      </c>
      <c r="L74" s="109">
        <v>412.65530000000001</v>
      </c>
      <c r="M74" s="124">
        <v>7206589</v>
      </c>
    </row>
    <row r="75" spans="1:13" ht="13.5" customHeight="1" x14ac:dyDescent="0.35">
      <c r="A75" s="97" t="s">
        <v>23</v>
      </c>
      <c r="B75" s="117">
        <v>2022</v>
      </c>
      <c r="C75" s="98">
        <v>13.41</v>
      </c>
      <c r="D75" s="99">
        <v>412.66</v>
      </c>
      <c r="E75" s="100">
        <v>6.8521999999999998</v>
      </c>
      <c r="F75" s="101">
        <v>10.2791</v>
      </c>
      <c r="G75" s="77">
        <v>45148</v>
      </c>
      <c r="H75" s="102">
        <v>10.717700000000001</v>
      </c>
      <c r="I75" s="85">
        <v>7.2</v>
      </c>
      <c r="J75" s="117">
        <v>0</v>
      </c>
      <c r="K75" s="117">
        <v>0</v>
      </c>
      <c r="L75" s="101">
        <v>412.65530000000001</v>
      </c>
      <c r="M75" s="118">
        <v>7056495</v>
      </c>
    </row>
    <row r="76" spans="1:13" ht="13.5" customHeight="1" x14ac:dyDescent="0.35">
      <c r="A76" s="105" t="s">
        <v>23</v>
      </c>
      <c r="B76" s="119">
        <v>2023</v>
      </c>
      <c r="C76" s="106">
        <v>11.9</v>
      </c>
      <c r="D76" s="120">
        <v>0.74</v>
      </c>
      <c r="E76" s="108">
        <v>6.7333999999999996</v>
      </c>
      <c r="F76" s="121">
        <v>3.9512</v>
      </c>
      <c r="G76" s="122">
        <v>47722</v>
      </c>
      <c r="H76" s="123">
        <v>10.773099999999999</v>
      </c>
      <c r="I76" s="89">
        <v>6.2</v>
      </c>
      <c r="J76" s="126">
        <v>1</v>
      </c>
      <c r="K76" s="119">
        <v>0</v>
      </c>
      <c r="L76" s="109">
        <v>412.65530000000001</v>
      </c>
      <c r="M76" s="124">
        <v>7056495</v>
      </c>
    </row>
    <row r="77" spans="1:13" ht="13.5" customHeight="1" x14ac:dyDescent="0.35">
      <c r="A77" s="97" t="s">
        <v>24</v>
      </c>
      <c r="B77" s="117">
        <v>2016</v>
      </c>
      <c r="C77" s="98">
        <v>23.37</v>
      </c>
      <c r="D77" s="99">
        <v>0.46</v>
      </c>
      <c r="E77" s="100">
        <v>7.3933</v>
      </c>
      <c r="F77" s="101">
        <v>3.4657</v>
      </c>
      <c r="G77" s="77">
        <v>12268</v>
      </c>
      <c r="H77" s="102">
        <v>9.4146999999999998</v>
      </c>
      <c r="I77" s="85">
        <v>12.1</v>
      </c>
      <c r="J77" s="117">
        <v>0</v>
      </c>
      <c r="K77" s="117">
        <v>0</v>
      </c>
      <c r="L77" s="101">
        <v>73.531400000000005</v>
      </c>
      <c r="M77" s="118">
        <v>6954036</v>
      </c>
    </row>
    <row r="78" spans="1:13" ht="13.5" customHeight="1" x14ac:dyDescent="0.35">
      <c r="A78" s="105" t="s">
        <v>24</v>
      </c>
      <c r="B78" s="119">
        <v>2017</v>
      </c>
      <c r="C78" s="106">
        <v>21.06</v>
      </c>
      <c r="D78" s="120">
        <v>1.29</v>
      </c>
      <c r="E78" s="108">
        <v>7.2957000000000001</v>
      </c>
      <c r="F78" s="121">
        <v>4.4997999999999996</v>
      </c>
      <c r="G78" s="122">
        <v>12791</v>
      </c>
      <c r="H78" s="123">
        <v>9.4565000000000001</v>
      </c>
      <c r="I78" s="89">
        <v>14.5</v>
      </c>
      <c r="J78" s="119">
        <v>0</v>
      </c>
      <c r="K78" s="119">
        <v>0</v>
      </c>
      <c r="L78" s="109">
        <v>73.531400000000005</v>
      </c>
      <c r="M78" s="124">
        <v>7000229</v>
      </c>
    </row>
    <row r="79" spans="1:13" ht="13.5" customHeight="1" x14ac:dyDescent="0.35">
      <c r="A79" s="97" t="s">
        <v>24</v>
      </c>
      <c r="B79" s="117">
        <v>2018</v>
      </c>
      <c r="C79" s="98">
        <v>17.87</v>
      </c>
      <c r="D79" s="99">
        <v>1.68</v>
      </c>
      <c r="E79" s="100">
        <v>7.1364999999999998</v>
      </c>
      <c r="F79" s="101">
        <v>4.7706999999999997</v>
      </c>
      <c r="G79" s="77">
        <v>13956</v>
      </c>
      <c r="H79" s="102">
        <v>9.5435999999999996</v>
      </c>
      <c r="I79" s="85">
        <v>14.7</v>
      </c>
      <c r="J79" s="117">
        <v>0</v>
      </c>
      <c r="K79" s="117">
        <v>0</v>
      </c>
      <c r="L79" s="101">
        <v>73.531400000000005</v>
      </c>
      <c r="M79" s="118">
        <v>7035055</v>
      </c>
    </row>
    <row r="80" spans="1:13" ht="13.5" customHeight="1" x14ac:dyDescent="0.35">
      <c r="A80" s="105" t="s">
        <v>24</v>
      </c>
      <c r="B80" s="119">
        <v>2019</v>
      </c>
      <c r="C80" s="106">
        <v>15</v>
      </c>
      <c r="D80" s="120">
        <v>8.99</v>
      </c>
      <c r="E80" s="108">
        <v>6.9669999999999996</v>
      </c>
      <c r="F80" s="121">
        <v>6.4551999999999996</v>
      </c>
      <c r="G80" s="122">
        <v>13758</v>
      </c>
      <c r="H80" s="123">
        <v>9.5294000000000008</v>
      </c>
      <c r="I80" s="89">
        <v>14.7</v>
      </c>
      <c r="J80" s="119">
        <v>0</v>
      </c>
      <c r="K80" s="119">
        <v>0</v>
      </c>
      <c r="L80" s="109">
        <v>73.531400000000005</v>
      </c>
      <c r="M80" s="124">
        <v>7075181</v>
      </c>
    </row>
    <row r="81" spans="1:13" ht="13.5" customHeight="1" x14ac:dyDescent="0.35">
      <c r="A81" s="97" t="s">
        <v>24</v>
      </c>
      <c r="B81" s="117">
        <v>2020</v>
      </c>
      <c r="C81" s="98">
        <v>20.04</v>
      </c>
      <c r="D81" s="99">
        <v>21.08</v>
      </c>
      <c r="E81" s="100">
        <v>7.2625999999999999</v>
      </c>
      <c r="F81" s="101">
        <v>7.3132000000000001</v>
      </c>
      <c r="G81" s="77">
        <v>15028</v>
      </c>
      <c r="H81" s="102">
        <v>9.6175999999999995</v>
      </c>
      <c r="I81" s="85">
        <v>16.399999999999999</v>
      </c>
      <c r="J81" s="117">
        <v>0</v>
      </c>
      <c r="K81" s="125">
        <v>1</v>
      </c>
      <c r="L81" s="101">
        <v>73.531400000000005</v>
      </c>
      <c r="M81" s="118">
        <v>7114598</v>
      </c>
    </row>
    <row r="82" spans="1:13" ht="13.5" customHeight="1" x14ac:dyDescent="0.35">
      <c r="A82" s="105" t="s">
        <v>24</v>
      </c>
      <c r="B82" s="119">
        <v>2021</v>
      </c>
      <c r="C82" s="106">
        <v>20.12</v>
      </c>
      <c r="D82" s="120">
        <v>39.869999999999997</v>
      </c>
      <c r="E82" s="108">
        <v>7.2717000000000001</v>
      </c>
      <c r="F82" s="121">
        <v>7.9558</v>
      </c>
      <c r="G82" s="122">
        <v>17472</v>
      </c>
      <c r="H82" s="123">
        <v>9.7683</v>
      </c>
      <c r="I82" s="89">
        <v>16.100000000000001</v>
      </c>
      <c r="J82" s="119">
        <v>0</v>
      </c>
      <c r="K82" s="125">
        <v>1</v>
      </c>
      <c r="L82" s="109">
        <v>73.531400000000005</v>
      </c>
      <c r="M82" s="124">
        <v>7153262</v>
      </c>
    </row>
    <row r="83" spans="1:13" ht="13.5" customHeight="1" x14ac:dyDescent="0.35">
      <c r="A83" s="97" t="s">
        <v>24</v>
      </c>
      <c r="B83" s="117">
        <v>2022</v>
      </c>
      <c r="C83" s="98">
        <v>19.510000000000002</v>
      </c>
      <c r="D83" s="99">
        <v>73.53</v>
      </c>
      <c r="E83" s="100">
        <v>7.1868999999999996</v>
      </c>
      <c r="F83" s="101">
        <v>8.5137999999999998</v>
      </c>
      <c r="G83" s="77">
        <v>20628</v>
      </c>
      <c r="H83" s="102">
        <v>9.9344000000000001</v>
      </c>
      <c r="I83" s="85">
        <v>10.5</v>
      </c>
      <c r="J83" s="117">
        <v>0</v>
      </c>
      <c r="K83" s="117">
        <v>0</v>
      </c>
      <c r="L83" s="101">
        <v>73.531400000000005</v>
      </c>
      <c r="M83" s="118">
        <v>6776699</v>
      </c>
    </row>
    <row r="84" spans="1:13" ht="13.5" customHeight="1" x14ac:dyDescent="0.35">
      <c r="A84" s="105" t="s">
        <v>24</v>
      </c>
      <c r="B84" s="119">
        <v>2023</v>
      </c>
      <c r="C84" s="106">
        <v>21.21</v>
      </c>
      <c r="D84" s="120">
        <v>0.03</v>
      </c>
      <c r="E84" s="108">
        <v>7.2702999999999998</v>
      </c>
      <c r="F84" s="121">
        <v>0.69310000000000005</v>
      </c>
      <c r="G84" s="122">
        <v>22021</v>
      </c>
      <c r="H84" s="123">
        <v>9.9997000000000007</v>
      </c>
      <c r="I84" s="89">
        <v>8.1999999999999993</v>
      </c>
      <c r="J84" s="126">
        <v>1</v>
      </c>
      <c r="K84" s="119">
        <v>0</v>
      </c>
      <c r="L84" s="109">
        <v>73.531400000000005</v>
      </c>
      <c r="M84" s="124">
        <v>6776699</v>
      </c>
    </row>
    <row r="85" spans="1:13" ht="13.5" customHeight="1" x14ac:dyDescent="0.35">
      <c r="A85" s="97" t="s">
        <v>25</v>
      </c>
      <c r="B85" s="117">
        <v>2016</v>
      </c>
      <c r="C85" s="98">
        <v>15.76</v>
      </c>
      <c r="D85" s="99">
        <v>1.3</v>
      </c>
      <c r="E85" s="100">
        <v>8.1046999999999993</v>
      </c>
      <c r="F85" s="101">
        <v>5.6058000000000003</v>
      </c>
      <c r="G85" s="77">
        <v>25946</v>
      </c>
      <c r="H85" s="102">
        <v>10.1638</v>
      </c>
      <c r="I85" s="85">
        <v>11.2</v>
      </c>
      <c r="J85" s="117">
        <v>0</v>
      </c>
      <c r="K85" s="117">
        <v>0</v>
      </c>
      <c r="L85" s="101">
        <v>178.18899999999999</v>
      </c>
      <c r="M85" s="118">
        <v>20997560</v>
      </c>
    </row>
    <row r="86" spans="1:13" ht="13.5" customHeight="1" x14ac:dyDescent="0.35">
      <c r="A86" s="105" t="s">
        <v>25</v>
      </c>
      <c r="B86" s="119">
        <v>2017</v>
      </c>
      <c r="C86" s="106">
        <v>14.49</v>
      </c>
      <c r="D86" s="120">
        <v>2.3199999999999998</v>
      </c>
      <c r="E86" s="108">
        <v>8.0261999999999993</v>
      </c>
      <c r="F86" s="121">
        <v>6.1924000000000001</v>
      </c>
      <c r="G86" s="122">
        <v>27291</v>
      </c>
      <c r="H86" s="123">
        <v>10.2143</v>
      </c>
      <c r="I86" s="89">
        <v>12.2</v>
      </c>
      <c r="J86" s="119">
        <v>0</v>
      </c>
      <c r="K86" s="119">
        <v>0</v>
      </c>
      <c r="L86" s="109">
        <v>178.18899999999999</v>
      </c>
      <c r="M86" s="124">
        <v>21119536</v>
      </c>
    </row>
    <row r="87" spans="1:13" ht="13.5" customHeight="1" x14ac:dyDescent="0.35">
      <c r="A87" s="97" t="s">
        <v>25</v>
      </c>
      <c r="B87" s="117">
        <v>2018</v>
      </c>
      <c r="C87" s="98">
        <v>10.62</v>
      </c>
      <c r="D87" s="99">
        <v>5.18</v>
      </c>
      <c r="E87" s="100">
        <v>7.7115</v>
      </c>
      <c r="F87" s="101">
        <v>6.9930000000000003</v>
      </c>
      <c r="G87" s="77">
        <v>29223</v>
      </c>
      <c r="H87" s="102">
        <v>10.2827</v>
      </c>
      <c r="I87" s="85">
        <v>10.8</v>
      </c>
      <c r="J87" s="117">
        <v>0</v>
      </c>
      <c r="K87" s="117">
        <v>0</v>
      </c>
      <c r="L87" s="101">
        <v>178.18899999999999</v>
      </c>
      <c r="M87" s="118">
        <v>21040662</v>
      </c>
    </row>
    <row r="88" spans="1:13" ht="13.5" customHeight="1" x14ac:dyDescent="0.35">
      <c r="A88" s="105" t="s">
        <v>25</v>
      </c>
      <c r="B88" s="119">
        <v>2019</v>
      </c>
      <c r="C88" s="106">
        <v>8.83</v>
      </c>
      <c r="D88" s="120">
        <v>31.14</v>
      </c>
      <c r="E88" s="108">
        <v>7.5331999999999999</v>
      </c>
      <c r="F88" s="121">
        <v>8.7934999999999999</v>
      </c>
      <c r="G88" s="122">
        <v>30794</v>
      </c>
      <c r="H88" s="123">
        <v>10.335100000000001</v>
      </c>
      <c r="I88" s="89">
        <v>10.1</v>
      </c>
      <c r="J88" s="119">
        <v>0</v>
      </c>
      <c r="K88" s="119">
        <v>0</v>
      </c>
      <c r="L88" s="109">
        <v>178.18899999999999</v>
      </c>
      <c r="M88" s="124">
        <v>21168791</v>
      </c>
    </row>
    <row r="89" spans="1:13" ht="13.5" customHeight="1" x14ac:dyDescent="0.35">
      <c r="A89" s="97" t="s">
        <v>25</v>
      </c>
      <c r="B89" s="117">
        <v>2020</v>
      </c>
      <c r="C89" s="98">
        <v>7.95</v>
      </c>
      <c r="D89" s="99">
        <v>47.49</v>
      </c>
      <c r="E89" s="100">
        <v>7.4337</v>
      </c>
      <c r="F89" s="101">
        <v>9.2213999999999992</v>
      </c>
      <c r="G89" s="77">
        <v>32067</v>
      </c>
      <c r="H89" s="102">
        <v>10.3756</v>
      </c>
      <c r="I89" s="85">
        <v>12.8</v>
      </c>
      <c r="J89" s="117">
        <v>0</v>
      </c>
      <c r="K89" s="125">
        <v>1</v>
      </c>
      <c r="L89" s="101">
        <v>178.18899999999999</v>
      </c>
      <c r="M89" s="118">
        <v>21292666</v>
      </c>
    </row>
    <row r="90" spans="1:13" ht="13.5" customHeight="1" x14ac:dyDescent="0.35">
      <c r="A90" s="105" t="s">
        <v>25</v>
      </c>
      <c r="B90" s="119">
        <v>2021</v>
      </c>
      <c r="C90" s="106">
        <v>7.42</v>
      </c>
      <c r="D90" s="120">
        <v>111.51</v>
      </c>
      <c r="E90" s="108">
        <v>7.3701999999999996</v>
      </c>
      <c r="F90" s="121">
        <v>10.0806</v>
      </c>
      <c r="G90" s="122">
        <v>40052</v>
      </c>
      <c r="H90" s="123">
        <v>10.597899999999999</v>
      </c>
      <c r="I90" s="89">
        <v>11.7</v>
      </c>
      <c r="J90" s="119">
        <v>0</v>
      </c>
      <c r="K90" s="125">
        <v>1</v>
      </c>
      <c r="L90" s="109">
        <v>178.18899999999999</v>
      </c>
      <c r="M90" s="124">
        <v>21411923</v>
      </c>
    </row>
    <row r="91" spans="1:13" ht="13.5" customHeight="1" x14ac:dyDescent="0.35">
      <c r="A91" s="97" t="s">
        <v>25</v>
      </c>
      <c r="B91" s="117">
        <v>2022</v>
      </c>
      <c r="C91" s="98">
        <v>8.4600000000000009</v>
      </c>
      <c r="D91" s="99">
        <v>178.19</v>
      </c>
      <c r="E91" s="100">
        <v>7.4599000000000002</v>
      </c>
      <c r="F91" s="101">
        <v>10.5078</v>
      </c>
      <c r="G91" s="77">
        <v>44145</v>
      </c>
      <c r="H91" s="102">
        <v>10.6952</v>
      </c>
      <c r="I91" s="85">
        <v>7.2</v>
      </c>
      <c r="J91" s="117">
        <v>0</v>
      </c>
      <c r="K91" s="117">
        <v>0</v>
      </c>
      <c r="L91" s="101">
        <v>178.18899999999999</v>
      </c>
      <c r="M91" s="118">
        <v>20539989</v>
      </c>
    </row>
    <row r="92" spans="1:13" ht="13.5" customHeight="1" x14ac:dyDescent="0.35">
      <c r="A92" s="105" t="s">
        <v>25</v>
      </c>
      <c r="B92" s="119">
        <v>2023</v>
      </c>
      <c r="C92" s="106">
        <v>8.52</v>
      </c>
      <c r="D92" s="120">
        <v>0.49</v>
      </c>
      <c r="E92" s="108">
        <v>7.4668000000000001</v>
      </c>
      <c r="F92" s="121">
        <v>4.6151</v>
      </c>
      <c r="G92" s="122">
        <v>47321</v>
      </c>
      <c r="H92" s="123">
        <v>10.764699999999999</v>
      </c>
      <c r="I92" s="89">
        <v>6.1</v>
      </c>
      <c r="J92" s="126">
        <v>1</v>
      </c>
      <c r="K92" s="119">
        <v>0</v>
      </c>
      <c r="L92" s="109">
        <v>178.18899999999999</v>
      </c>
      <c r="M92" s="124">
        <v>20539989</v>
      </c>
    </row>
    <row r="93" spans="1:13" ht="13.5" customHeight="1" x14ac:dyDescent="0.35">
      <c r="A93" s="97" t="s">
        <v>26</v>
      </c>
      <c r="B93" s="117">
        <v>2016</v>
      </c>
      <c r="C93" s="98">
        <v>12.23</v>
      </c>
      <c r="D93" s="99">
        <v>4.3600000000000003</v>
      </c>
      <c r="E93" s="100">
        <v>5.7930000000000001</v>
      </c>
      <c r="F93" s="101">
        <v>4.7622</v>
      </c>
      <c r="G93" s="77">
        <v>34258</v>
      </c>
      <c r="H93" s="102">
        <v>10.441700000000001</v>
      </c>
      <c r="I93" s="85">
        <v>7.7</v>
      </c>
      <c r="J93" s="117">
        <v>0</v>
      </c>
      <c r="K93" s="117">
        <v>0</v>
      </c>
      <c r="L93" s="101">
        <v>325.67860000000002</v>
      </c>
      <c r="M93" s="118">
        <v>2682386</v>
      </c>
    </row>
    <row r="94" spans="1:13" ht="13.5" customHeight="1" x14ac:dyDescent="0.35">
      <c r="A94" s="105" t="s">
        <v>26</v>
      </c>
      <c r="B94" s="119">
        <v>2017</v>
      </c>
      <c r="C94" s="106">
        <v>11.72</v>
      </c>
      <c r="D94" s="120">
        <v>7</v>
      </c>
      <c r="E94" s="108">
        <v>5.7621000000000002</v>
      </c>
      <c r="F94" s="121">
        <v>5.2469999999999999</v>
      </c>
      <c r="G94" s="122">
        <v>35529</v>
      </c>
      <c r="H94" s="123">
        <v>10.4781</v>
      </c>
      <c r="I94" s="89">
        <v>8.6</v>
      </c>
      <c r="J94" s="119">
        <v>0</v>
      </c>
      <c r="K94" s="119">
        <v>0</v>
      </c>
      <c r="L94" s="109">
        <v>325.67860000000002</v>
      </c>
      <c r="M94" s="124">
        <v>2713147</v>
      </c>
    </row>
    <row r="95" spans="1:13" ht="13.5" customHeight="1" x14ac:dyDescent="0.35">
      <c r="A95" s="97" t="s">
        <v>26</v>
      </c>
      <c r="B95" s="117">
        <v>2018</v>
      </c>
      <c r="C95" s="98">
        <v>8.9499999999999993</v>
      </c>
      <c r="D95" s="99">
        <v>6.8</v>
      </c>
      <c r="E95" s="100">
        <v>5.5053000000000001</v>
      </c>
      <c r="F95" s="101">
        <v>5.2310999999999996</v>
      </c>
      <c r="G95" s="77">
        <v>38926</v>
      </c>
      <c r="H95" s="102">
        <v>10.5694</v>
      </c>
      <c r="I95" s="85">
        <v>7.6</v>
      </c>
      <c r="J95" s="117">
        <v>0</v>
      </c>
      <c r="K95" s="117">
        <v>0</v>
      </c>
      <c r="L95" s="101">
        <v>325.67860000000002</v>
      </c>
      <c r="M95" s="118">
        <v>2748023</v>
      </c>
    </row>
    <row r="96" spans="1:13" ht="13.5" customHeight="1" x14ac:dyDescent="0.35">
      <c r="A96" s="105" t="s">
        <v>26</v>
      </c>
      <c r="B96" s="119">
        <v>2019</v>
      </c>
      <c r="C96" s="106">
        <v>8.31</v>
      </c>
      <c r="D96" s="120">
        <v>37.89</v>
      </c>
      <c r="E96" s="108">
        <v>5.4424000000000001</v>
      </c>
      <c r="F96" s="121">
        <v>6.9593999999999996</v>
      </c>
      <c r="G96" s="122">
        <v>38483</v>
      </c>
      <c r="H96" s="123">
        <v>10.558</v>
      </c>
      <c r="I96" s="89">
        <v>8.1</v>
      </c>
      <c r="J96" s="119">
        <v>0</v>
      </c>
      <c r="K96" s="119">
        <v>0</v>
      </c>
      <c r="L96" s="109">
        <v>325.67860000000002</v>
      </c>
      <c r="M96" s="124">
        <v>2778986</v>
      </c>
    </row>
    <row r="97" spans="1:13" ht="13.5" customHeight="1" x14ac:dyDescent="0.35">
      <c r="A97" s="97" t="s">
        <v>26</v>
      </c>
      <c r="B97" s="117">
        <v>2020</v>
      </c>
      <c r="C97" s="98">
        <v>7.65</v>
      </c>
      <c r="D97" s="99">
        <v>84.15</v>
      </c>
      <c r="E97" s="100">
        <v>5.3705999999999996</v>
      </c>
      <c r="F97" s="101">
        <v>7.7680999999999996</v>
      </c>
      <c r="G97" s="77">
        <v>43649</v>
      </c>
      <c r="H97" s="102">
        <v>10.6839</v>
      </c>
      <c r="I97" s="85">
        <v>10.199999999999999</v>
      </c>
      <c r="J97" s="117">
        <v>0</v>
      </c>
      <c r="K97" s="125">
        <v>1</v>
      </c>
      <c r="L97" s="101">
        <v>325.67860000000002</v>
      </c>
      <c r="M97" s="118">
        <v>2809394</v>
      </c>
    </row>
    <row r="98" spans="1:13" ht="13.5" customHeight="1" x14ac:dyDescent="0.35">
      <c r="A98" s="105" t="s">
        <v>26</v>
      </c>
      <c r="B98" s="119">
        <v>2021</v>
      </c>
      <c r="C98" s="106">
        <v>9.4700000000000006</v>
      </c>
      <c r="D98" s="120">
        <v>167.3</v>
      </c>
      <c r="E98" s="108">
        <v>5.5946999999999996</v>
      </c>
      <c r="F98" s="121">
        <v>8.4658999999999995</v>
      </c>
      <c r="G98" s="122">
        <v>50086</v>
      </c>
      <c r="H98" s="123">
        <v>10.8215</v>
      </c>
      <c r="I98" s="89">
        <v>8.6999999999999993</v>
      </c>
      <c r="J98" s="119">
        <v>0</v>
      </c>
      <c r="K98" s="125">
        <v>1</v>
      </c>
      <c r="L98" s="109">
        <v>325.67860000000002</v>
      </c>
      <c r="M98" s="124">
        <v>2839188</v>
      </c>
    </row>
    <row r="99" spans="1:13" ht="13.5" customHeight="1" x14ac:dyDescent="0.35">
      <c r="A99" s="97" t="s">
        <v>26</v>
      </c>
      <c r="B99" s="117">
        <v>2022</v>
      </c>
      <c r="C99" s="98">
        <v>9.0299999999999994</v>
      </c>
      <c r="D99" s="99">
        <v>325.68</v>
      </c>
      <c r="E99" s="100">
        <v>5.5175000000000001</v>
      </c>
      <c r="F99" s="101">
        <v>9.1026000000000007</v>
      </c>
      <c r="G99" s="77">
        <v>60358</v>
      </c>
      <c r="H99" s="102">
        <v>11.007999999999999</v>
      </c>
      <c r="I99" s="85">
        <v>5</v>
      </c>
      <c r="J99" s="117">
        <v>0</v>
      </c>
      <c r="K99" s="117">
        <v>0</v>
      </c>
      <c r="L99" s="101">
        <v>325.67860000000002</v>
      </c>
      <c r="M99" s="118">
        <v>2757013</v>
      </c>
    </row>
    <row r="100" spans="1:13" ht="13.5" customHeight="1" x14ac:dyDescent="0.35">
      <c r="A100" s="105" t="s">
        <v>26</v>
      </c>
      <c r="B100" s="119">
        <v>2023</v>
      </c>
      <c r="C100" s="106">
        <v>8.23</v>
      </c>
      <c r="D100" s="120">
        <v>0.65</v>
      </c>
      <c r="E100" s="108">
        <v>5.4249999999999998</v>
      </c>
      <c r="F100" s="121">
        <v>2.8904000000000001</v>
      </c>
      <c r="G100" s="122">
        <v>66885</v>
      </c>
      <c r="H100" s="123">
        <v>11.1107</v>
      </c>
      <c r="I100" s="89">
        <v>4.2</v>
      </c>
      <c r="J100" s="126">
        <v>1</v>
      </c>
      <c r="K100" s="119">
        <v>0</v>
      </c>
      <c r="L100" s="109">
        <v>325.67860000000002</v>
      </c>
      <c r="M100" s="124">
        <v>2757013</v>
      </c>
    </row>
    <row r="101" spans="1:13" ht="13.5" customHeight="1" x14ac:dyDescent="0.35">
      <c r="A101" s="97" t="s">
        <v>27</v>
      </c>
      <c r="B101" s="117">
        <v>2016</v>
      </c>
      <c r="C101" s="98">
        <v>22.9</v>
      </c>
      <c r="D101" s="99">
        <v>4.33</v>
      </c>
      <c r="E101" s="100">
        <v>6.6294000000000004</v>
      </c>
      <c r="F101" s="101">
        <v>4.9627999999999997</v>
      </c>
      <c r="G101" s="77">
        <v>37477</v>
      </c>
      <c r="H101" s="102">
        <v>10.531499999999999</v>
      </c>
      <c r="I101" s="85">
        <v>9.5</v>
      </c>
      <c r="J101" s="117">
        <v>0</v>
      </c>
      <c r="K101" s="117">
        <v>0</v>
      </c>
      <c r="L101" s="101">
        <v>362.75689999999997</v>
      </c>
      <c r="M101" s="118">
        <v>3305531</v>
      </c>
    </row>
    <row r="102" spans="1:13" ht="13.5" customHeight="1" x14ac:dyDescent="0.35">
      <c r="A102" s="105" t="s">
        <v>27</v>
      </c>
      <c r="B102" s="119">
        <v>2017</v>
      </c>
      <c r="C102" s="106">
        <v>20.18</v>
      </c>
      <c r="D102" s="120">
        <v>6.76</v>
      </c>
      <c r="E102" s="108">
        <v>6.5147000000000004</v>
      </c>
      <c r="F102" s="121">
        <v>5.4204999999999997</v>
      </c>
      <c r="G102" s="122">
        <v>37926</v>
      </c>
      <c r="H102" s="123">
        <v>10.5434</v>
      </c>
      <c r="I102" s="89">
        <v>9.1</v>
      </c>
      <c r="J102" s="119">
        <v>0</v>
      </c>
      <c r="K102" s="119">
        <v>0</v>
      </c>
      <c r="L102" s="109">
        <v>362.75689999999997</v>
      </c>
      <c r="M102" s="124">
        <v>3344544</v>
      </c>
    </row>
    <row r="103" spans="1:13" ht="13.5" customHeight="1" x14ac:dyDescent="0.35">
      <c r="A103" s="97" t="s">
        <v>27</v>
      </c>
      <c r="B103" s="117">
        <v>2018</v>
      </c>
      <c r="C103" s="98">
        <v>16.329999999999998</v>
      </c>
      <c r="D103" s="99">
        <v>9.44</v>
      </c>
      <c r="E103" s="100">
        <v>6.3315000000000001</v>
      </c>
      <c r="F103" s="101">
        <v>5.7838000000000003</v>
      </c>
      <c r="G103" s="77">
        <v>39931</v>
      </c>
      <c r="H103" s="102">
        <v>10.594900000000001</v>
      </c>
      <c r="I103" s="85">
        <v>8</v>
      </c>
      <c r="J103" s="117">
        <v>0</v>
      </c>
      <c r="K103" s="117">
        <v>0</v>
      </c>
      <c r="L103" s="101">
        <v>362.75689999999997</v>
      </c>
      <c r="M103" s="118">
        <v>3441998</v>
      </c>
    </row>
    <row r="104" spans="1:13" ht="13.5" customHeight="1" x14ac:dyDescent="0.35">
      <c r="A104" s="105" t="s">
        <v>27</v>
      </c>
      <c r="B104" s="119">
        <v>2019</v>
      </c>
      <c r="C104" s="106">
        <v>14.52</v>
      </c>
      <c r="D104" s="120">
        <v>47.47</v>
      </c>
      <c r="E104" s="108">
        <v>6.2264999999999997</v>
      </c>
      <c r="F104" s="121">
        <v>7.4109999999999996</v>
      </c>
      <c r="G104" s="122">
        <v>40787</v>
      </c>
      <c r="H104" s="123">
        <v>10.616099999999999</v>
      </c>
      <c r="I104" s="89">
        <v>8</v>
      </c>
      <c r="J104" s="119">
        <v>0</v>
      </c>
      <c r="K104" s="119">
        <v>0</v>
      </c>
      <c r="L104" s="109">
        <v>362.75689999999997</v>
      </c>
      <c r="M104" s="124">
        <v>3484466</v>
      </c>
    </row>
    <row r="105" spans="1:13" ht="13.5" customHeight="1" x14ac:dyDescent="0.35">
      <c r="A105" s="97" t="s">
        <v>27</v>
      </c>
      <c r="B105" s="117">
        <v>2020</v>
      </c>
      <c r="C105" s="98">
        <v>16.850000000000001</v>
      </c>
      <c r="D105" s="99">
        <v>64.349999999999994</v>
      </c>
      <c r="E105" s="100">
        <v>6.3868999999999998</v>
      </c>
      <c r="F105" s="101">
        <v>7.7271000000000001</v>
      </c>
      <c r="G105" s="77">
        <v>50663</v>
      </c>
      <c r="H105" s="102">
        <v>10.833</v>
      </c>
      <c r="I105" s="85">
        <v>9.9</v>
      </c>
      <c r="J105" s="117">
        <v>0</v>
      </c>
      <c r="K105" s="125">
        <v>1</v>
      </c>
      <c r="L105" s="101">
        <v>362.75689999999997</v>
      </c>
      <c r="M105" s="118">
        <v>3526220</v>
      </c>
    </row>
    <row r="106" spans="1:13" ht="13.5" customHeight="1" x14ac:dyDescent="0.35">
      <c r="A106" s="105" t="s">
        <v>27</v>
      </c>
      <c r="B106" s="119">
        <v>2021</v>
      </c>
      <c r="C106" s="106">
        <v>15.59</v>
      </c>
      <c r="D106" s="120">
        <v>169.43</v>
      </c>
      <c r="E106" s="108">
        <v>6.3208000000000002</v>
      </c>
      <c r="F106" s="121">
        <v>8.7067999999999994</v>
      </c>
      <c r="G106" s="122">
        <v>65426</v>
      </c>
      <c r="H106" s="123">
        <v>11.088699999999999</v>
      </c>
      <c r="I106" s="89">
        <v>8</v>
      </c>
      <c r="J106" s="119">
        <v>0</v>
      </c>
      <c r="K106" s="125">
        <v>1</v>
      </c>
      <c r="L106" s="109">
        <v>362.75689999999997</v>
      </c>
      <c r="M106" s="124">
        <v>3567234</v>
      </c>
    </row>
    <row r="107" spans="1:13" ht="13.5" customHeight="1" x14ac:dyDescent="0.35">
      <c r="A107" s="97" t="s">
        <v>27</v>
      </c>
      <c r="B107" s="117">
        <v>2022</v>
      </c>
      <c r="C107" s="98">
        <v>18.48</v>
      </c>
      <c r="D107" s="99">
        <v>362.76</v>
      </c>
      <c r="E107" s="100">
        <v>6.5162000000000004</v>
      </c>
      <c r="F107" s="101">
        <v>9.4933999999999994</v>
      </c>
      <c r="G107" s="77">
        <v>69842</v>
      </c>
      <c r="H107" s="102">
        <v>11.154</v>
      </c>
      <c r="I107" s="85">
        <v>4.3</v>
      </c>
      <c r="J107" s="117">
        <v>0</v>
      </c>
      <c r="K107" s="117">
        <v>0</v>
      </c>
      <c r="L107" s="101">
        <v>362.75689999999997</v>
      </c>
      <c r="M107" s="118">
        <v>3658649</v>
      </c>
    </row>
    <row r="108" spans="1:13" ht="13.5" customHeight="1" x14ac:dyDescent="0.35">
      <c r="A108" s="105" t="s">
        <v>27</v>
      </c>
      <c r="B108" s="119">
        <v>2023</v>
      </c>
      <c r="C108" s="106">
        <v>20.91</v>
      </c>
      <c r="D108" s="120">
        <v>1.01</v>
      </c>
      <c r="E108" s="108">
        <v>6.6398999999999999</v>
      </c>
      <c r="F108" s="121">
        <v>3.6109</v>
      </c>
      <c r="G108" s="122">
        <v>74620</v>
      </c>
      <c r="H108" s="123">
        <v>11.2202</v>
      </c>
      <c r="I108" s="89">
        <v>3.5</v>
      </c>
      <c r="J108" s="126">
        <v>1</v>
      </c>
      <c r="K108" s="119">
        <v>0</v>
      </c>
      <c r="L108" s="109">
        <v>362.75689999999997</v>
      </c>
      <c r="M108" s="124">
        <v>3658649</v>
      </c>
    </row>
    <row r="109" spans="1:13" ht="13.5" customHeight="1" x14ac:dyDescent="0.35">
      <c r="A109" s="97" t="s">
        <v>28</v>
      </c>
      <c r="B109" s="117">
        <v>2016</v>
      </c>
      <c r="C109" s="98">
        <v>37</v>
      </c>
      <c r="D109" s="99">
        <v>0.62</v>
      </c>
      <c r="E109" s="100">
        <v>8.0265000000000004</v>
      </c>
      <c r="F109" s="101">
        <v>3.9318</v>
      </c>
      <c r="G109" s="77">
        <v>16694</v>
      </c>
      <c r="H109" s="102">
        <v>9.7227999999999994</v>
      </c>
      <c r="I109" s="85">
        <v>11.2</v>
      </c>
      <c r="J109" s="117">
        <v>0</v>
      </c>
      <c r="K109" s="117">
        <v>0</v>
      </c>
      <c r="L109" s="101">
        <v>75.466800000000006</v>
      </c>
      <c r="M109" s="118">
        <v>8272724</v>
      </c>
    </row>
    <row r="110" spans="1:13" ht="13.5" customHeight="1" x14ac:dyDescent="0.35">
      <c r="A110" s="105" t="s">
        <v>28</v>
      </c>
      <c r="B110" s="119">
        <v>2017</v>
      </c>
      <c r="C110" s="106">
        <v>40.369999999999997</v>
      </c>
      <c r="D110" s="120">
        <v>0.81</v>
      </c>
      <c r="E110" s="108">
        <v>8.125</v>
      </c>
      <c r="F110" s="121">
        <v>4.2195</v>
      </c>
      <c r="G110" s="122">
        <v>18554</v>
      </c>
      <c r="H110" s="123">
        <v>9.8284000000000002</v>
      </c>
      <c r="I110" s="89">
        <v>11.8</v>
      </c>
      <c r="J110" s="119">
        <v>0</v>
      </c>
      <c r="K110" s="119">
        <v>0</v>
      </c>
      <c r="L110" s="109">
        <v>75.466800000000006</v>
      </c>
      <c r="M110" s="124">
        <v>8366628</v>
      </c>
    </row>
    <row r="111" spans="1:13" ht="13.5" customHeight="1" x14ac:dyDescent="0.35">
      <c r="A111" s="97" t="s">
        <v>28</v>
      </c>
      <c r="B111" s="117">
        <v>2018</v>
      </c>
      <c r="C111" s="98">
        <v>40.65</v>
      </c>
      <c r="D111" s="99">
        <v>0.99</v>
      </c>
      <c r="E111" s="100">
        <v>8.1493000000000002</v>
      </c>
      <c r="F111" s="101">
        <v>4.4307999999999996</v>
      </c>
      <c r="G111" s="77">
        <v>18952</v>
      </c>
      <c r="H111" s="102">
        <v>9.8497000000000003</v>
      </c>
      <c r="I111" s="85">
        <v>11.2</v>
      </c>
      <c r="J111" s="117">
        <v>0</v>
      </c>
      <c r="K111" s="117">
        <v>0</v>
      </c>
      <c r="L111" s="101">
        <v>75.466800000000006</v>
      </c>
      <c r="M111" s="118">
        <v>8513497</v>
      </c>
    </row>
    <row r="112" spans="1:13" ht="13.5" customHeight="1" x14ac:dyDescent="0.35">
      <c r="A112" s="105" t="s">
        <v>28</v>
      </c>
      <c r="B112" s="119">
        <v>2019</v>
      </c>
      <c r="C112" s="106">
        <v>27.39</v>
      </c>
      <c r="D112" s="120">
        <v>5.7</v>
      </c>
      <c r="E112" s="108">
        <v>7.7647000000000004</v>
      </c>
      <c r="F112" s="121">
        <v>6.1943999999999999</v>
      </c>
      <c r="G112" s="122">
        <v>20735</v>
      </c>
      <c r="H112" s="123">
        <v>9.9396000000000004</v>
      </c>
      <c r="I112" s="89">
        <v>10.8</v>
      </c>
      <c r="J112" s="119">
        <v>0</v>
      </c>
      <c r="K112" s="119">
        <v>0</v>
      </c>
      <c r="L112" s="109">
        <v>75.466800000000006</v>
      </c>
      <c r="M112" s="124">
        <v>8602865</v>
      </c>
    </row>
    <row r="113" spans="1:13" ht="13.5" customHeight="1" x14ac:dyDescent="0.35">
      <c r="A113" s="97" t="s">
        <v>28</v>
      </c>
      <c r="B113" s="117">
        <v>2020</v>
      </c>
      <c r="C113" s="98">
        <v>21.85</v>
      </c>
      <c r="D113" s="99">
        <v>22.29</v>
      </c>
      <c r="E113" s="100">
        <v>7.5491000000000001</v>
      </c>
      <c r="F113" s="101">
        <v>7.5689000000000002</v>
      </c>
      <c r="G113" s="77">
        <v>24847</v>
      </c>
      <c r="H113" s="102">
        <v>10.1205</v>
      </c>
      <c r="I113" s="85">
        <v>10.5</v>
      </c>
      <c r="J113" s="117">
        <v>0</v>
      </c>
      <c r="K113" s="125">
        <v>1</v>
      </c>
      <c r="L113" s="101">
        <v>75.466800000000006</v>
      </c>
      <c r="M113" s="118">
        <v>8690745</v>
      </c>
    </row>
    <row r="114" spans="1:13" ht="13.5" customHeight="1" x14ac:dyDescent="0.35">
      <c r="A114" s="105" t="s">
        <v>28</v>
      </c>
      <c r="B114" s="119">
        <v>2021</v>
      </c>
      <c r="C114" s="106">
        <v>22.32</v>
      </c>
      <c r="D114" s="120">
        <v>46.17</v>
      </c>
      <c r="E114" s="108">
        <v>7.5801999999999996</v>
      </c>
      <c r="F114" s="121">
        <v>8.3070000000000004</v>
      </c>
      <c r="G114" s="122">
        <v>29953</v>
      </c>
      <c r="H114" s="123">
        <v>10.307399999999999</v>
      </c>
      <c r="I114" s="89">
        <v>12.5</v>
      </c>
      <c r="J114" s="119">
        <v>0</v>
      </c>
      <c r="K114" s="125">
        <v>1</v>
      </c>
      <c r="L114" s="109">
        <v>75.466800000000006</v>
      </c>
      <c r="M114" s="124">
        <v>8777124</v>
      </c>
    </row>
    <row r="115" spans="1:13" ht="13.5" customHeight="1" x14ac:dyDescent="0.35">
      <c r="A115" s="97" t="s">
        <v>28</v>
      </c>
      <c r="B115" s="117">
        <v>2022</v>
      </c>
      <c r="C115" s="98">
        <v>25.11</v>
      </c>
      <c r="D115" s="99">
        <v>75.47</v>
      </c>
      <c r="E115" s="100">
        <v>7.6201999999999996</v>
      </c>
      <c r="F115" s="101">
        <v>8.7205999999999992</v>
      </c>
      <c r="G115" s="77">
        <v>29081</v>
      </c>
      <c r="H115" s="102">
        <v>10.277799999999999</v>
      </c>
      <c r="I115" s="85">
        <v>9.6</v>
      </c>
      <c r="J115" s="117">
        <v>0</v>
      </c>
      <c r="K115" s="117">
        <v>0</v>
      </c>
      <c r="L115" s="101">
        <v>75.466800000000006</v>
      </c>
      <c r="M115" s="118">
        <v>8120131</v>
      </c>
    </row>
    <row r="116" spans="1:13" ht="13.5" customHeight="1" x14ac:dyDescent="0.35">
      <c r="A116" s="105" t="s">
        <v>28</v>
      </c>
      <c r="B116" s="119">
        <v>2023</v>
      </c>
      <c r="C116" s="106">
        <v>21.74</v>
      </c>
      <c r="D116" s="120">
        <v>0.22</v>
      </c>
      <c r="E116" s="108">
        <v>7.4759000000000002</v>
      </c>
      <c r="F116" s="121">
        <v>2.8904000000000001</v>
      </c>
      <c r="G116" s="122">
        <v>31348</v>
      </c>
      <c r="H116" s="123">
        <v>10.3529</v>
      </c>
      <c r="I116" s="89">
        <v>8.5</v>
      </c>
      <c r="J116" s="126">
        <v>1</v>
      </c>
      <c r="K116" s="119">
        <v>0</v>
      </c>
      <c r="L116" s="109">
        <v>75.466800000000006</v>
      </c>
      <c r="M116" s="124">
        <v>8120131</v>
      </c>
    </row>
    <row r="117" spans="1:13" ht="13.5" customHeight="1" x14ac:dyDescent="0.35">
      <c r="A117" s="97" t="s">
        <v>29</v>
      </c>
      <c r="B117" s="117">
        <v>2016</v>
      </c>
      <c r="C117" s="98">
        <v>26.6</v>
      </c>
      <c r="D117" s="99">
        <v>1.5</v>
      </c>
      <c r="E117" s="100">
        <v>6.9698000000000002</v>
      </c>
      <c r="F117" s="101">
        <v>4.0942999999999996</v>
      </c>
      <c r="G117" s="77">
        <v>14778</v>
      </c>
      <c r="H117" s="102">
        <v>9.6008999999999993</v>
      </c>
      <c r="I117" s="85">
        <v>11.6</v>
      </c>
      <c r="J117" s="117">
        <v>0</v>
      </c>
      <c r="K117" s="117">
        <v>0</v>
      </c>
      <c r="L117" s="101">
        <v>93.391000000000005</v>
      </c>
      <c r="M117" s="118">
        <v>3999415</v>
      </c>
    </row>
    <row r="118" spans="1:13" ht="13.5" customHeight="1" x14ac:dyDescent="0.35">
      <c r="A118" s="105" t="s">
        <v>29</v>
      </c>
      <c r="B118" s="119">
        <v>2017</v>
      </c>
      <c r="C118" s="106">
        <v>25.79</v>
      </c>
      <c r="D118" s="120">
        <v>2.58</v>
      </c>
      <c r="E118" s="108">
        <v>6.9451000000000001</v>
      </c>
      <c r="F118" s="121">
        <v>4.6444000000000001</v>
      </c>
      <c r="G118" s="122">
        <v>15500</v>
      </c>
      <c r="H118" s="123">
        <v>9.6486000000000001</v>
      </c>
      <c r="I118" s="89">
        <v>11.5</v>
      </c>
      <c r="J118" s="119">
        <v>0</v>
      </c>
      <c r="K118" s="119">
        <v>0</v>
      </c>
      <c r="L118" s="109">
        <v>93.391000000000005</v>
      </c>
      <c r="M118" s="124">
        <v>4025558</v>
      </c>
    </row>
    <row r="119" spans="1:13" ht="13.5" customHeight="1" x14ac:dyDescent="0.35">
      <c r="A119" s="97" t="s">
        <v>29</v>
      </c>
      <c r="B119" s="117">
        <v>2018</v>
      </c>
      <c r="C119" s="98">
        <v>24.9</v>
      </c>
      <c r="D119" s="99">
        <v>15.99</v>
      </c>
      <c r="E119" s="100">
        <v>6.9027000000000003</v>
      </c>
      <c r="F119" s="101">
        <v>6.4599000000000002</v>
      </c>
      <c r="G119" s="77">
        <v>16108</v>
      </c>
      <c r="H119" s="102">
        <v>9.6869999999999994</v>
      </c>
      <c r="I119" s="85">
        <v>11.3</v>
      </c>
      <c r="J119" s="117">
        <v>0</v>
      </c>
      <c r="K119" s="117">
        <v>0</v>
      </c>
      <c r="L119" s="101">
        <v>93.391000000000005</v>
      </c>
      <c r="M119" s="118">
        <v>3996496</v>
      </c>
    </row>
    <row r="120" spans="1:13" ht="13.5" customHeight="1" x14ac:dyDescent="0.35">
      <c r="A120" s="105" t="s">
        <v>29</v>
      </c>
      <c r="B120" s="119">
        <v>2019</v>
      </c>
      <c r="C120" s="106">
        <v>17.87</v>
      </c>
      <c r="D120" s="120">
        <v>29.34</v>
      </c>
      <c r="E120" s="108">
        <v>6.5765000000000002</v>
      </c>
      <c r="F120" s="121">
        <v>7.0724</v>
      </c>
      <c r="G120" s="122">
        <v>16920</v>
      </c>
      <c r="H120" s="123">
        <v>9.7362000000000002</v>
      </c>
      <c r="I120" s="89">
        <v>11.8</v>
      </c>
      <c r="J120" s="119">
        <v>0</v>
      </c>
      <c r="K120" s="119">
        <v>0</v>
      </c>
      <c r="L120" s="109">
        <v>93.391000000000005</v>
      </c>
      <c r="M120" s="124">
        <v>4018127</v>
      </c>
    </row>
    <row r="121" spans="1:13" ht="13.5" customHeight="1" x14ac:dyDescent="0.35">
      <c r="A121" s="97" t="s">
        <v>29</v>
      </c>
      <c r="B121" s="117">
        <v>2020</v>
      </c>
      <c r="C121" s="98">
        <v>22.85</v>
      </c>
      <c r="D121" s="99">
        <v>40.5</v>
      </c>
      <c r="E121" s="100">
        <v>6.8276000000000003</v>
      </c>
      <c r="F121" s="101">
        <v>7.4</v>
      </c>
      <c r="G121" s="77">
        <v>17402</v>
      </c>
      <c r="H121" s="102">
        <v>9.7643000000000004</v>
      </c>
      <c r="I121" s="85">
        <v>15</v>
      </c>
      <c r="J121" s="117">
        <v>0</v>
      </c>
      <c r="K121" s="125">
        <v>1</v>
      </c>
      <c r="L121" s="101">
        <v>93.391000000000005</v>
      </c>
      <c r="M121" s="118">
        <v>4039277</v>
      </c>
    </row>
    <row r="122" spans="1:13" ht="13.5" customHeight="1" x14ac:dyDescent="0.35">
      <c r="A122" s="105" t="s">
        <v>29</v>
      </c>
      <c r="B122" s="119">
        <v>2021</v>
      </c>
      <c r="C122" s="106">
        <v>23.15</v>
      </c>
      <c r="D122" s="120">
        <v>71.75</v>
      </c>
      <c r="E122" s="108">
        <v>6.8459000000000003</v>
      </c>
      <c r="F122" s="121">
        <v>7.9768999999999997</v>
      </c>
      <c r="G122" s="122">
        <v>19082</v>
      </c>
      <c r="H122" s="123">
        <v>9.8565000000000005</v>
      </c>
      <c r="I122" s="89">
        <v>14.8</v>
      </c>
      <c r="J122" s="119">
        <v>0</v>
      </c>
      <c r="K122" s="125">
        <v>1</v>
      </c>
      <c r="L122" s="109">
        <v>93.391000000000005</v>
      </c>
      <c r="M122" s="124">
        <v>4059905</v>
      </c>
    </row>
    <row r="123" spans="1:13" ht="13.5" customHeight="1" x14ac:dyDescent="0.35">
      <c r="A123" s="97" t="s">
        <v>29</v>
      </c>
      <c r="B123" s="117">
        <v>2022</v>
      </c>
      <c r="C123" s="98">
        <v>22.69</v>
      </c>
      <c r="D123" s="99">
        <v>93.39</v>
      </c>
      <c r="E123" s="100">
        <v>6.8045999999999998</v>
      </c>
      <c r="F123" s="101">
        <v>8.2193000000000005</v>
      </c>
      <c r="G123" s="77">
        <v>21661</v>
      </c>
      <c r="H123" s="102">
        <v>9.9832999999999998</v>
      </c>
      <c r="I123" s="85">
        <v>12</v>
      </c>
      <c r="J123" s="117">
        <v>0</v>
      </c>
      <c r="K123" s="117">
        <v>0</v>
      </c>
      <c r="L123" s="101">
        <v>93.391000000000005</v>
      </c>
      <c r="M123" s="118">
        <v>3974687</v>
      </c>
    </row>
    <row r="124" spans="1:13" ht="13.5" customHeight="1" x14ac:dyDescent="0.35">
      <c r="A124" s="105" t="s">
        <v>29</v>
      </c>
      <c r="B124" s="119">
        <v>2023</v>
      </c>
      <c r="C124" s="106">
        <v>22.54</v>
      </c>
      <c r="D124" s="120">
        <v>0.1</v>
      </c>
      <c r="E124" s="108">
        <v>6.7979000000000003</v>
      </c>
      <c r="F124" s="121">
        <v>1.3863000000000001</v>
      </c>
      <c r="G124" s="122">
        <v>24395</v>
      </c>
      <c r="H124" s="123">
        <v>10.1021</v>
      </c>
      <c r="I124" s="89">
        <v>10.1</v>
      </c>
      <c r="J124" s="126">
        <v>1</v>
      </c>
      <c r="K124" s="119">
        <v>0</v>
      </c>
      <c r="L124" s="109">
        <v>93.391000000000005</v>
      </c>
      <c r="M124" s="124">
        <v>3974687</v>
      </c>
    </row>
    <row r="125" spans="1:13" ht="13.5" customHeight="1" x14ac:dyDescent="0.35">
      <c r="A125" s="97" t="s">
        <v>30</v>
      </c>
      <c r="B125" s="117">
        <v>2016</v>
      </c>
      <c r="C125" s="98">
        <v>37.090000000000003</v>
      </c>
      <c r="D125" s="99">
        <v>1.33</v>
      </c>
      <c r="E125" s="100">
        <v>8.1577000000000002</v>
      </c>
      <c r="F125" s="101">
        <v>4.8282999999999996</v>
      </c>
      <c r="G125" s="77">
        <v>17783</v>
      </c>
      <c r="H125" s="102">
        <v>9.7859999999999996</v>
      </c>
      <c r="I125" s="85">
        <v>14.8</v>
      </c>
      <c r="J125" s="117">
        <v>0</v>
      </c>
      <c r="K125" s="117">
        <v>0</v>
      </c>
      <c r="L125" s="101">
        <v>91.699600000000004</v>
      </c>
      <c r="M125" s="118">
        <v>9410336</v>
      </c>
    </row>
    <row r="126" spans="1:13" ht="13.5" customHeight="1" x14ac:dyDescent="0.35">
      <c r="A126" s="105" t="s">
        <v>30</v>
      </c>
      <c r="B126" s="119">
        <v>2017</v>
      </c>
      <c r="C126" s="106">
        <v>47.45</v>
      </c>
      <c r="D126" s="120">
        <v>3.02</v>
      </c>
      <c r="E126" s="108">
        <v>8.4107000000000003</v>
      </c>
      <c r="F126" s="121">
        <v>5.6559999999999997</v>
      </c>
      <c r="G126" s="122">
        <v>19171</v>
      </c>
      <c r="H126" s="123">
        <v>9.8611000000000004</v>
      </c>
      <c r="I126" s="89">
        <v>17.899999999999999</v>
      </c>
      <c r="J126" s="119">
        <v>0</v>
      </c>
      <c r="K126" s="119">
        <v>0</v>
      </c>
      <c r="L126" s="109">
        <v>91.699600000000004</v>
      </c>
      <c r="M126" s="124">
        <v>9473266</v>
      </c>
    </row>
    <row r="127" spans="1:13" ht="13.5" customHeight="1" x14ac:dyDescent="0.35">
      <c r="A127" s="97" t="s">
        <v>30</v>
      </c>
      <c r="B127" s="117">
        <v>2018</v>
      </c>
      <c r="C127" s="98">
        <v>35.57</v>
      </c>
      <c r="D127" s="99">
        <v>4.04</v>
      </c>
      <c r="E127" s="100">
        <v>8.125</v>
      </c>
      <c r="F127" s="101">
        <v>5.9505999999999997</v>
      </c>
      <c r="G127" s="77">
        <v>19624</v>
      </c>
      <c r="H127" s="102">
        <v>9.8844999999999992</v>
      </c>
      <c r="I127" s="85">
        <v>16.899999999999999</v>
      </c>
      <c r="J127" s="117">
        <v>0</v>
      </c>
      <c r="K127" s="117">
        <v>0</v>
      </c>
      <c r="L127" s="101">
        <v>91.699600000000004</v>
      </c>
      <c r="M127" s="118">
        <v>9496294</v>
      </c>
    </row>
    <row r="128" spans="1:13" ht="13.5" customHeight="1" x14ac:dyDescent="0.35">
      <c r="A128" s="105" t="s">
        <v>30</v>
      </c>
      <c r="B128" s="119">
        <v>2019</v>
      </c>
      <c r="C128" s="106">
        <v>28.24</v>
      </c>
      <c r="D128" s="120">
        <v>20.59</v>
      </c>
      <c r="E128" s="108">
        <v>7.9005999999999998</v>
      </c>
      <c r="F128" s="121">
        <v>7.5848000000000004</v>
      </c>
      <c r="G128" s="122">
        <v>20702</v>
      </c>
      <c r="H128" s="123">
        <v>9.9380000000000006</v>
      </c>
      <c r="I128" s="89">
        <v>15.7</v>
      </c>
      <c r="J128" s="119">
        <v>0</v>
      </c>
      <c r="K128" s="119">
        <v>0</v>
      </c>
      <c r="L128" s="109">
        <v>91.699600000000004</v>
      </c>
      <c r="M128" s="124">
        <v>9557071</v>
      </c>
    </row>
    <row r="129" spans="1:13" ht="13.5" customHeight="1" x14ac:dyDescent="0.35">
      <c r="A129" s="97" t="s">
        <v>30</v>
      </c>
      <c r="B129" s="117">
        <v>2020</v>
      </c>
      <c r="C129" s="98">
        <v>31.85</v>
      </c>
      <c r="D129" s="99">
        <v>39.15</v>
      </c>
      <c r="E129" s="100">
        <v>8.0272000000000006</v>
      </c>
      <c r="F129" s="101">
        <v>8.2334999999999994</v>
      </c>
      <c r="G129" s="77">
        <v>20101</v>
      </c>
      <c r="H129" s="102">
        <v>9.9085000000000001</v>
      </c>
      <c r="I129" s="85">
        <v>17.2</v>
      </c>
      <c r="J129" s="117">
        <v>0</v>
      </c>
      <c r="K129" s="125">
        <v>1</v>
      </c>
      <c r="L129" s="101">
        <v>91.699600000000004</v>
      </c>
      <c r="M129" s="118">
        <v>9616621</v>
      </c>
    </row>
    <row r="130" spans="1:13" ht="13.5" customHeight="1" x14ac:dyDescent="0.35">
      <c r="A130" s="105" t="s">
        <v>30</v>
      </c>
      <c r="B130" s="119">
        <v>2021</v>
      </c>
      <c r="C130" s="106">
        <v>28.87</v>
      </c>
      <c r="D130" s="120">
        <v>65.48</v>
      </c>
      <c r="E130" s="108">
        <v>7.9348999999999998</v>
      </c>
      <c r="F130" s="121">
        <v>8.7538</v>
      </c>
      <c r="G130" s="122">
        <v>22824</v>
      </c>
      <c r="H130" s="123">
        <v>10.035500000000001</v>
      </c>
      <c r="I130" s="89">
        <v>19.899999999999999</v>
      </c>
      <c r="J130" s="119">
        <v>0</v>
      </c>
      <c r="K130" s="125">
        <v>1</v>
      </c>
      <c r="L130" s="109">
        <v>91.699600000000004</v>
      </c>
      <c r="M130" s="124">
        <v>9674793</v>
      </c>
    </row>
    <row r="131" spans="1:13" ht="13.5" customHeight="1" x14ac:dyDescent="0.35">
      <c r="A131" s="97" t="s">
        <v>30</v>
      </c>
      <c r="B131" s="117">
        <v>2022</v>
      </c>
      <c r="C131" s="98">
        <v>30.53</v>
      </c>
      <c r="D131" s="99">
        <v>91.7</v>
      </c>
      <c r="E131" s="100">
        <v>7.9252000000000002</v>
      </c>
      <c r="F131" s="101">
        <v>9.0249000000000006</v>
      </c>
      <c r="G131" s="77">
        <v>27137</v>
      </c>
      <c r="H131" s="102">
        <v>10.208600000000001</v>
      </c>
      <c r="I131" s="85">
        <v>14.2</v>
      </c>
      <c r="J131" s="117">
        <v>0</v>
      </c>
      <c r="K131" s="117">
        <v>0</v>
      </c>
      <c r="L131" s="101">
        <v>91.699600000000004</v>
      </c>
      <c r="M131" s="118">
        <v>9058931</v>
      </c>
    </row>
    <row r="132" spans="1:13" ht="13.5" customHeight="1" x14ac:dyDescent="0.35">
      <c r="A132" s="105" t="s">
        <v>30</v>
      </c>
      <c r="B132" s="119">
        <v>2023</v>
      </c>
      <c r="C132" s="106">
        <v>33.08</v>
      </c>
      <c r="D132" s="120">
        <v>0.11</v>
      </c>
      <c r="E132" s="108">
        <v>8.0053999999999998</v>
      </c>
      <c r="F132" s="121">
        <v>2.3026</v>
      </c>
      <c r="G132" s="122">
        <v>29857</v>
      </c>
      <c r="H132" s="123">
        <v>10.3042</v>
      </c>
      <c r="I132" s="89">
        <v>13.4</v>
      </c>
      <c r="J132" s="126">
        <v>1</v>
      </c>
      <c r="K132" s="119">
        <v>0</v>
      </c>
      <c r="L132" s="109">
        <v>91.699600000000004</v>
      </c>
      <c r="M132" s="124">
        <v>9058931</v>
      </c>
    </row>
    <row r="133" spans="1:13" ht="13.5" customHeight="1" x14ac:dyDescent="0.35">
      <c r="A133" s="97" t="s">
        <v>31</v>
      </c>
      <c r="B133" s="117">
        <v>2016</v>
      </c>
      <c r="C133" s="98">
        <v>13.95</v>
      </c>
      <c r="D133" s="99">
        <v>1.1499999999999999</v>
      </c>
      <c r="E133" s="100">
        <v>6.1048</v>
      </c>
      <c r="F133" s="101">
        <v>3.6109</v>
      </c>
      <c r="G133" s="77">
        <v>12894</v>
      </c>
      <c r="H133" s="102">
        <v>9.4644999999999992</v>
      </c>
      <c r="I133" s="85">
        <v>9.6</v>
      </c>
      <c r="J133" s="117">
        <v>0</v>
      </c>
      <c r="K133" s="117">
        <v>0</v>
      </c>
      <c r="L133" s="101">
        <v>43.592599999999997</v>
      </c>
      <c r="M133" s="118">
        <v>3212180</v>
      </c>
    </row>
    <row r="134" spans="1:13" ht="13.5" customHeight="1" x14ac:dyDescent="0.35">
      <c r="A134" s="105" t="s">
        <v>31</v>
      </c>
      <c r="B134" s="119">
        <v>2017</v>
      </c>
      <c r="C134" s="106">
        <v>11.96</v>
      </c>
      <c r="D134" s="120">
        <v>3.48</v>
      </c>
      <c r="E134" s="108">
        <v>5.9531999999999998</v>
      </c>
      <c r="F134" s="121">
        <v>4.7184999999999997</v>
      </c>
      <c r="G134" s="122">
        <v>14092</v>
      </c>
      <c r="H134" s="123">
        <v>9.5533999999999999</v>
      </c>
      <c r="I134" s="89">
        <v>13</v>
      </c>
      <c r="J134" s="119">
        <v>0</v>
      </c>
      <c r="K134" s="119">
        <v>0</v>
      </c>
      <c r="L134" s="109">
        <v>43.592599999999997</v>
      </c>
      <c r="M134" s="124">
        <v>3219257</v>
      </c>
    </row>
    <row r="135" spans="1:13" ht="13.5" customHeight="1" x14ac:dyDescent="0.35">
      <c r="A135" s="97" t="s">
        <v>31</v>
      </c>
      <c r="B135" s="117">
        <v>2018</v>
      </c>
      <c r="C135" s="98">
        <v>11.79</v>
      </c>
      <c r="D135" s="99">
        <v>3.95</v>
      </c>
      <c r="E135" s="100">
        <v>5.9531999999999998</v>
      </c>
      <c r="F135" s="101">
        <v>4.8597999999999999</v>
      </c>
      <c r="G135" s="77">
        <v>15432</v>
      </c>
      <c r="H135" s="102">
        <v>9.6441999999999997</v>
      </c>
      <c r="I135" s="85">
        <v>12.9</v>
      </c>
      <c r="J135" s="117">
        <v>0</v>
      </c>
      <c r="K135" s="117">
        <v>0</v>
      </c>
      <c r="L135" s="101">
        <v>43.592599999999997</v>
      </c>
      <c r="M135" s="118">
        <v>3264531</v>
      </c>
    </row>
    <row r="136" spans="1:13" ht="13.5" customHeight="1" x14ac:dyDescent="0.35">
      <c r="A136" s="105" t="s">
        <v>31</v>
      </c>
      <c r="B136" s="119">
        <v>2019</v>
      </c>
      <c r="C136" s="106">
        <v>10.75</v>
      </c>
      <c r="D136" s="120">
        <v>8.8000000000000007</v>
      </c>
      <c r="E136" s="108">
        <v>5.8635999999999999</v>
      </c>
      <c r="F136" s="121">
        <v>5.6630000000000003</v>
      </c>
      <c r="G136" s="122">
        <v>16125</v>
      </c>
      <c r="H136" s="123">
        <v>9.6881000000000004</v>
      </c>
      <c r="I136" s="89">
        <v>13</v>
      </c>
      <c r="J136" s="119">
        <v>0</v>
      </c>
      <c r="K136" s="119">
        <v>0</v>
      </c>
      <c r="L136" s="109">
        <v>43.592599999999997</v>
      </c>
      <c r="M136" s="124">
        <v>3273227</v>
      </c>
    </row>
    <row r="137" spans="1:13" ht="13.5" customHeight="1" x14ac:dyDescent="0.35">
      <c r="A137" s="97" t="s">
        <v>31</v>
      </c>
      <c r="B137" s="117">
        <v>2020</v>
      </c>
      <c r="C137" s="98">
        <v>13.9</v>
      </c>
      <c r="D137" s="99">
        <v>14.08</v>
      </c>
      <c r="E137" s="100">
        <v>6.1224999999999996</v>
      </c>
      <c r="F137" s="101">
        <v>6.1356000000000002</v>
      </c>
      <c r="G137" s="77">
        <v>17185</v>
      </c>
      <c r="H137" s="102">
        <v>9.7517999999999994</v>
      </c>
      <c r="I137" s="85">
        <v>13.3</v>
      </c>
      <c r="J137" s="117">
        <v>0</v>
      </c>
      <c r="K137" s="125">
        <v>1</v>
      </c>
      <c r="L137" s="101">
        <v>43.592599999999997</v>
      </c>
      <c r="M137" s="118">
        <v>3281480</v>
      </c>
    </row>
    <row r="138" spans="1:13" ht="13.5" customHeight="1" x14ac:dyDescent="0.35">
      <c r="A138" s="105" t="s">
        <v>31</v>
      </c>
      <c r="B138" s="119">
        <v>2021</v>
      </c>
      <c r="C138" s="106">
        <v>17.21</v>
      </c>
      <c r="D138" s="120">
        <v>36.76</v>
      </c>
      <c r="E138" s="108">
        <v>6.3385999999999996</v>
      </c>
      <c r="F138" s="121">
        <v>7.0975000000000001</v>
      </c>
      <c r="G138" s="122">
        <v>19466</v>
      </c>
      <c r="H138" s="123">
        <v>9.8764000000000003</v>
      </c>
      <c r="I138" s="89">
        <v>13.6</v>
      </c>
      <c r="J138" s="119">
        <v>0</v>
      </c>
      <c r="K138" s="125">
        <v>1</v>
      </c>
      <c r="L138" s="109">
        <v>43.592599999999997</v>
      </c>
      <c r="M138" s="124">
        <v>3289290</v>
      </c>
    </row>
    <row r="139" spans="1:13" ht="13.5" customHeight="1" x14ac:dyDescent="0.35">
      <c r="A139" s="97" t="s">
        <v>31</v>
      </c>
      <c r="B139" s="117">
        <v>2022</v>
      </c>
      <c r="C139" s="98">
        <v>18.559999999999999</v>
      </c>
      <c r="D139" s="99">
        <v>43.59</v>
      </c>
      <c r="E139" s="100">
        <v>6.4085000000000001</v>
      </c>
      <c r="F139" s="101">
        <v>7.2625999999999999</v>
      </c>
      <c r="G139" s="77">
        <v>22265</v>
      </c>
      <c r="H139" s="102">
        <v>10.0108</v>
      </c>
      <c r="I139" s="85">
        <v>10.199999999999999</v>
      </c>
      <c r="J139" s="117">
        <v>0</v>
      </c>
      <c r="K139" s="117">
        <v>0</v>
      </c>
      <c r="L139" s="101">
        <v>43.592599999999997</v>
      </c>
      <c r="M139" s="118">
        <v>3271199</v>
      </c>
    </row>
    <row r="140" spans="1:13" ht="13.5" customHeight="1" x14ac:dyDescent="0.35">
      <c r="A140" s="105" t="s">
        <v>31</v>
      </c>
      <c r="B140" s="119">
        <v>2023</v>
      </c>
      <c r="C140" s="106">
        <v>15.99</v>
      </c>
      <c r="D140" s="120">
        <v>0</v>
      </c>
      <c r="E140" s="108">
        <v>6.2595999999999998</v>
      </c>
      <c r="F140" s="121"/>
      <c r="G140" s="122">
        <v>24736</v>
      </c>
      <c r="H140" s="123">
        <v>10.116</v>
      </c>
      <c r="I140" s="89">
        <v>10.3</v>
      </c>
      <c r="J140" s="126">
        <v>1</v>
      </c>
      <c r="K140" s="119">
        <v>0</v>
      </c>
      <c r="L140" s="109">
        <v>43.592599999999997</v>
      </c>
      <c r="M140" s="124">
        <v>3271199</v>
      </c>
    </row>
    <row r="141" spans="1:13" ht="13.5" customHeight="1" x14ac:dyDescent="0.35">
      <c r="A141" s="97" t="s">
        <v>32</v>
      </c>
      <c r="B141" s="117">
        <v>2016</v>
      </c>
      <c r="C141" s="98">
        <v>18.95</v>
      </c>
      <c r="D141" s="99">
        <v>3.43</v>
      </c>
      <c r="E141" s="100">
        <v>7.6642999999999999</v>
      </c>
      <c r="F141" s="101">
        <v>5.9558</v>
      </c>
      <c r="G141" s="77">
        <v>35740</v>
      </c>
      <c r="H141" s="102">
        <v>10.484</v>
      </c>
      <c r="I141" s="85">
        <v>8.3000000000000007</v>
      </c>
      <c r="J141" s="117">
        <v>0</v>
      </c>
      <c r="K141" s="117">
        <v>0</v>
      </c>
      <c r="L141" s="101">
        <v>339.46789999999999</v>
      </c>
      <c r="M141" s="118">
        <v>11242720</v>
      </c>
    </row>
    <row r="142" spans="1:13" ht="13.5" customHeight="1" x14ac:dyDescent="0.35">
      <c r="A142" s="105" t="s">
        <v>32</v>
      </c>
      <c r="B142" s="119">
        <v>2017</v>
      </c>
      <c r="C142" s="106">
        <v>16.23</v>
      </c>
      <c r="D142" s="120">
        <v>4.58</v>
      </c>
      <c r="E142" s="108">
        <v>7.5159000000000002</v>
      </c>
      <c r="F142" s="121">
        <v>6.25</v>
      </c>
      <c r="G142" s="122">
        <v>37232</v>
      </c>
      <c r="H142" s="123">
        <v>10.524900000000001</v>
      </c>
      <c r="I142" s="89">
        <v>9</v>
      </c>
      <c r="J142" s="119">
        <v>0</v>
      </c>
      <c r="K142" s="119">
        <v>0</v>
      </c>
      <c r="L142" s="109">
        <v>339.46789999999999</v>
      </c>
      <c r="M142" s="124">
        <v>11320892</v>
      </c>
    </row>
    <row r="143" spans="1:13" ht="13.5" customHeight="1" x14ac:dyDescent="0.35">
      <c r="A143" s="97" t="s">
        <v>32</v>
      </c>
      <c r="B143" s="117">
        <v>2018</v>
      </c>
      <c r="C143" s="98">
        <v>13.45</v>
      </c>
      <c r="D143" s="99">
        <v>10.91</v>
      </c>
      <c r="E143" s="100">
        <v>7.3304</v>
      </c>
      <c r="F143" s="101">
        <v>7.1212999999999997</v>
      </c>
      <c r="G143" s="77">
        <v>38773</v>
      </c>
      <c r="H143" s="102">
        <v>10.5655</v>
      </c>
      <c r="I143" s="85">
        <v>8.8000000000000007</v>
      </c>
      <c r="J143" s="117">
        <v>0</v>
      </c>
      <c r="K143" s="117">
        <v>0</v>
      </c>
      <c r="L143" s="101">
        <v>339.46789999999999</v>
      </c>
      <c r="M143" s="118">
        <v>11348937</v>
      </c>
    </row>
    <row r="144" spans="1:13" ht="13.5" customHeight="1" x14ac:dyDescent="0.35">
      <c r="A144" s="105" t="s">
        <v>32</v>
      </c>
      <c r="B144" s="119">
        <v>2019</v>
      </c>
      <c r="C144" s="106">
        <v>10.34</v>
      </c>
      <c r="D144" s="120">
        <v>64.2</v>
      </c>
      <c r="E144" s="108">
        <v>7.0750000000000002</v>
      </c>
      <c r="F144" s="121">
        <v>8.9011999999999993</v>
      </c>
      <c r="G144" s="122">
        <v>40789</v>
      </c>
      <c r="H144" s="123">
        <v>10.616199999999999</v>
      </c>
      <c r="I144" s="89">
        <v>8.6999999999999993</v>
      </c>
      <c r="J144" s="119">
        <v>0</v>
      </c>
      <c r="K144" s="119">
        <v>0</v>
      </c>
      <c r="L144" s="109">
        <v>339.46789999999999</v>
      </c>
      <c r="M144" s="124">
        <v>11433957</v>
      </c>
    </row>
    <row r="145" spans="1:13" ht="13.5" customHeight="1" x14ac:dyDescent="0.35">
      <c r="A145" s="97" t="s">
        <v>32</v>
      </c>
      <c r="B145" s="117">
        <v>2020</v>
      </c>
      <c r="C145" s="98">
        <v>12.22</v>
      </c>
      <c r="D145" s="99">
        <v>150.15</v>
      </c>
      <c r="E145" s="100">
        <v>7.2492000000000001</v>
      </c>
      <c r="F145" s="101">
        <v>9.7579999999999991</v>
      </c>
      <c r="G145" s="77">
        <v>42367</v>
      </c>
      <c r="H145" s="102">
        <v>10.6541</v>
      </c>
      <c r="I145" s="85">
        <v>9.6</v>
      </c>
      <c r="J145" s="117">
        <v>0</v>
      </c>
      <c r="K145" s="125">
        <v>1</v>
      </c>
      <c r="L145" s="101">
        <v>339.46789999999999</v>
      </c>
      <c r="M145" s="118">
        <v>11516840</v>
      </c>
    </row>
    <row r="146" spans="1:13" ht="13.5" customHeight="1" x14ac:dyDescent="0.35">
      <c r="A146" s="105" t="s">
        <v>32</v>
      </c>
      <c r="B146" s="119">
        <v>2021</v>
      </c>
      <c r="C146" s="106">
        <v>11.87</v>
      </c>
      <c r="D146" s="120">
        <v>131.36000000000001</v>
      </c>
      <c r="E146" s="108">
        <v>7.2276999999999996</v>
      </c>
      <c r="F146" s="121">
        <v>9.6313999999999993</v>
      </c>
      <c r="G146" s="122">
        <v>47422</v>
      </c>
      <c r="H146" s="123">
        <v>10.7668</v>
      </c>
      <c r="I146" s="89">
        <v>8.4</v>
      </c>
      <c r="J146" s="119">
        <v>0</v>
      </c>
      <c r="K146" s="125">
        <v>1</v>
      </c>
      <c r="L146" s="109">
        <v>339.46789999999999</v>
      </c>
      <c r="M146" s="124">
        <v>11597484</v>
      </c>
    </row>
    <row r="147" spans="1:13" ht="13.5" customHeight="1" x14ac:dyDescent="0.35">
      <c r="A147" s="97" t="s">
        <v>32</v>
      </c>
      <c r="B147" s="117">
        <v>2022</v>
      </c>
      <c r="C147" s="98">
        <v>13.12</v>
      </c>
      <c r="D147" s="99">
        <v>339.47</v>
      </c>
      <c r="E147" s="100">
        <v>7.3139000000000003</v>
      </c>
      <c r="F147" s="101">
        <v>10.567500000000001</v>
      </c>
      <c r="G147" s="77">
        <v>53704</v>
      </c>
      <c r="H147" s="102">
        <v>10.8912</v>
      </c>
      <c r="I147" s="85">
        <v>5.8</v>
      </c>
      <c r="J147" s="117">
        <v>0</v>
      </c>
      <c r="K147" s="117">
        <v>0</v>
      </c>
      <c r="L147" s="101">
        <v>339.46789999999999</v>
      </c>
      <c r="M147" s="118">
        <v>11444380</v>
      </c>
    </row>
    <row r="148" spans="1:13" ht="13.5" customHeight="1" x14ac:dyDescent="0.35">
      <c r="A148" s="105" t="s">
        <v>32</v>
      </c>
      <c r="B148" s="119">
        <v>2023</v>
      </c>
      <c r="C148" s="106">
        <v>10.94</v>
      </c>
      <c r="D148" s="120">
        <v>0.76</v>
      </c>
      <c r="E148" s="108">
        <v>7.1325000000000003</v>
      </c>
      <c r="F148" s="121">
        <v>4.4659000000000004</v>
      </c>
      <c r="G148" s="122">
        <v>58624</v>
      </c>
      <c r="H148" s="123">
        <v>10.978899999999999</v>
      </c>
      <c r="I148" s="89">
        <v>4.9000000000000004</v>
      </c>
      <c r="J148" s="126">
        <v>1</v>
      </c>
      <c r="K148" s="119">
        <v>0</v>
      </c>
      <c r="L148" s="109">
        <v>339.46789999999999</v>
      </c>
      <c r="M148" s="124">
        <v>11444380</v>
      </c>
    </row>
    <row r="149" spans="1:13" ht="13.5" customHeight="1" x14ac:dyDescent="0.35">
      <c r="A149" s="97" t="s">
        <v>33</v>
      </c>
      <c r="B149" s="117">
        <v>2016</v>
      </c>
      <c r="C149" s="98">
        <v>24.26</v>
      </c>
      <c r="D149" s="99">
        <v>2.4</v>
      </c>
      <c r="E149" s="100">
        <v>8.3030000000000008</v>
      </c>
      <c r="F149" s="101">
        <v>5.9889999999999999</v>
      </c>
      <c r="G149" s="77">
        <v>38495</v>
      </c>
      <c r="H149" s="102">
        <v>10.558299999999999</v>
      </c>
      <c r="I149" s="85">
        <v>11.9</v>
      </c>
      <c r="J149" s="117">
        <v>0</v>
      </c>
      <c r="K149" s="117">
        <v>0</v>
      </c>
      <c r="L149" s="101">
        <v>91.596599999999995</v>
      </c>
      <c r="M149" s="118">
        <v>16635996</v>
      </c>
    </row>
    <row r="150" spans="1:13" ht="13.5" customHeight="1" x14ac:dyDescent="0.35">
      <c r="A150" s="105" t="s">
        <v>33</v>
      </c>
      <c r="B150" s="119">
        <v>2017</v>
      </c>
      <c r="C150" s="106">
        <v>26.43</v>
      </c>
      <c r="D150" s="120">
        <v>4.0199999999999996</v>
      </c>
      <c r="E150" s="108">
        <v>8.3937000000000008</v>
      </c>
      <c r="F150" s="121">
        <v>6.5103</v>
      </c>
      <c r="G150" s="122">
        <v>40170</v>
      </c>
      <c r="H150" s="123">
        <v>10.600899999999999</v>
      </c>
      <c r="I150" s="89">
        <v>15.1</v>
      </c>
      <c r="J150" s="119">
        <v>0</v>
      </c>
      <c r="K150" s="119">
        <v>0</v>
      </c>
      <c r="L150" s="109">
        <v>91.596599999999995</v>
      </c>
      <c r="M150" s="124">
        <v>16718956</v>
      </c>
    </row>
    <row r="151" spans="1:13" ht="13.5" customHeight="1" x14ac:dyDescent="0.35">
      <c r="A151" s="97" t="s">
        <v>33</v>
      </c>
      <c r="B151" s="117">
        <v>2018</v>
      </c>
      <c r="C151" s="98">
        <v>24.87</v>
      </c>
      <c r="D151" s="99">
        <v>8.6300000000000008</v>
      </c>
      <c r="E151" s="100">
        <v>8.3587000000000007</v>
      </c>
      <c r="F151" s="101">
        <v>7.3005000000000004</v>
      </c>
      <c r="G151" s="77">
        <v>44223</v>
      </c>
      <c r="H151" s="102">
        <v>10.696999999999999</v>
      </c>
      <c r="I151" s="85">
        <v>15.1</v>
      </c>
      <c r="J151" s="117">
        <v>0</v>
      </c>
      <c r="K151" s="117">
        <v>0</v>
      </c>
      <c r="L151" s="101">
        <v>91.596599999999995</v>
      </c>
      <c r="M151" s="118">
        <v>17159960</v>
      </c>
    </row>
    <row r="152" spans="1:13" ht="13.5" customHeight="1" x14ac:dyDescent="0.35">
      <c r="A152" s="105" t="s">
        <v>33</v>
      </c>
      <c r="B152" s="119">
        <v>2019</v>
      </c>
      <c r="C152" s="106">
        <v>13.39</v>
      </c>
      <c r="D152" s="120">
        <v>8.6999999999999993</v>
      </c>
      <c r="E152" s="108">
        <v>7.7454000000000001</v>
      </c>
      <c r="F152" s="121">
        <v>7.3146000000000004</v>
      </c>
      <c r="G152" s="122">
        <v>45174</v>
      </c>
      <c r="H152" s="123">
        <v>10.718299999999999</v>
      </c>
      <c r="I152" s="89">
        <v>14.8</v>
      </c>
      <c r="J152" s="119">
        <v>0</v>
      </c>
      <c r="K152" s="119">
        <v>0</v>
      </c>
      <c r="L152" s="109">
        <v>91.596599999999995</v>
      </c>
      <c r="M152" s="124">
        <v>17264943</v>
      </c>
    </row>
    <row r="153" spans="1:13" ht="13.5" customHeight="1" x14ac:dyDescent="0.35">
      <c r="A153" s="97" t="s">
        <v>33</v>
      </c>
      <c r="B153" s="117">
        <v>2020</v>
      </c>
      <c r="C153" s="98">
        <v>15.8</v>
      </c>
      <c r="D153" s="99">
        <v>18.55</v>
      </c>
      <c r="E153" s="100">
        <v>7.9172000000000002</v>
      </c>
      <c r="F153" s="101">
        <v>8.0774000000000008</v>
      </c>
      <c r="G153" s="77">
        <v>43408</v>
      </c>
      <c r="H153" s="102">
        <v>10.6784</v>
      </c>
      <c r="I153" s="85">
        <v>17.600000000000001</v>
      </c>
      <c r="J153" s="117">
        <v>0</v>
      </c>
      <c r="K153" s="125">
        <v>1</v>
      </c>
      <c r="L153" s="101">
        <v>91.596599999999995</v>
      </c>
      <c r="M153" s="118">
        <v>17366189</v>
      </c>
    </row>
    <row r="154" spans="1:13" ht="13.5" customHeight="1" x14ac:dyDescent="0.35">
      <c r="A154" s="105" t="s">
        <v>33</v>
      </c>
      <c r="B154" s="119">
        <v>2021</v>
      </c>
      <c r="C154" s="106">
        <v>17.18</v>
      </c>
      <c r="D154" s="120">
        <v>45.56</v>
      </c>
      <c r="E154" s="108">
        <v>8.0063999999999993</v>
      </c>
      <c r="F154" s="121">
        <v>8.9817999999999998</v>
      </c>
      <c r="G154" s="122">
        <v>54360</v>
      </c>
      <c r="H154" s="123">
        <v>10.9034</v>
      </c>
      <c r="I154" s="89">
        <v>16.899999999999999</v>
      </c>
      <c r="J154" s="119">
        <v>0</v>
      </c>
      <c r="K154" s="125">
        <v>1</v>
      </c>
      <c r="L154" s="109">
        <v>91.596599999999995</v>
      </c>
      <c r="M154" s="124">
        <v>17463349</v>
      </c>
    </row>
    <row r="155" spans="1:13" ht="13.5" customHeight="1" x14ac:dyDescent="0.35">
      <c r="A155" s="97" t="s">
        <v>33</v>
      </c>
      <c r="B155" s="117">
        <v>2022</v>
      </c>
      <c r="C155" s="98">
        <v>15.19</v>
      </c>
      <c r="D155" s="99">
        <v>91.6</v>
      </c>
      <c r="E155" s="100">
        <v>7.7988999999999997</v>
      </c>
      <c r="F155" s="101">
        <v>9.5960000000000001</v>
      </c>
      <c r="G155" s="77">
        <v>71847</v>
      </c>
      <c r="H155" s="102">
        <v>11.1823</v>
      </c>
      <c r="I155" s="85">
        <v>12.8</v>
      </c>
      <c r="J155" s="117">
        <v>0</v>
      </c>
      <c r="K155" s="117">
        <v>0</v>
      </c>
      <c r="L155" s="101">
        <v>91.596599999999995</v>
      </c>
      <c r="M155" s="118">
        <v>16055174</v>
      </c>
    </row>
    <row r="156" spans="1:13" ht="13.5" customHeight="1" x14ac:dyDescent="0.35">
      <c r="A156" s="105" t="s">
        <v>33</v>
      </c>
      <c r="B156" s="119">
        <v>2023</v>
      </c>
      <c r="C156" s="106">
        <v>16.09</v>
      </c>
      <c r="D156" s="120">
        <v>0.31</v>
      </c>
      <c r="E156" s="108">
        <v>7.8571</v>
      </c>
      <c r="F156" s="121">
        <v>3.8917999999999999</v>
      </c>
      <c r="G156" s="122">
        <v>73053</v>
      </c>
      <c r="H156" s="123">
        <v>11.1989</v>
      </c>
      <c r="I156" s="89">
        <v>11</v>
      </c>
      <c r="J156" s="126">
        <v>1</v>
      </c>
      <c r="K156" s="119">
        <v>0</v>
      </c>
      <c r="L156" s="109">
        <v>91.596599999999995</v>
      </c>
      <c r="M156" s="124">
        <v>16055174</v>
      </c>
    </row>
    <row r="157" spans="1:13" ht="13.5" customHeight="1" x14ac:dyDescent="0.35">
      <c r="A157" s="97" t="s">
        <v>34</v>
      </c>
      <c r="B157" s="117">
        <v>2016</v>
      </c>
      <c r="C157" s="98">
        <v>45.12</v>
      </c>
      <c r="D157" s="99">
        <v>2.19</v>
      </c>
      <c r="E157" s="100">
        <v>7.3575999999999997</v>
      </c>
      <c r="F157" s="101">
        <v>4.3307000000000002</v>
      </c>
      <c r="G157" s="77">
        <v>17173</v>
      </c>
      <c r="H157" s="102">
        <v>9.7510999999999992</v>
      </c>
      <c r="I157" s="85">
        <v>14.3</v>
      </c>
      <c r="J157" s="117">
        <v>0</v>
      </c>
      <c r="K157" s="117">
        <v>0</v>
      </c>
      <c r="L157" s="101">
        <v>74.998599999999996</v>
      </c>
      <c r="M157" s="118">
        <v>3474998</v>
      </c>
    </row>
    <row r="158" spans="1:13" ht="13.5" customHeight="1" x14ac:dyDescent="0.35">
      <c r="A158" s="105" t="s">
        <v>34</v>
      </c>
      <c r="B158" s="119">
        <v>2017</v>
      </c>
      <c r="C158" s="106">
        <v>54.86</v>
      </c>
      <c r="D158" s="120">
        <v>2.2200000000000002</v>
      </c>
      <c r="E158" s="108">
        <v>7.5621999999999998</v>
      </c>
      <c r="F158" s="121">
        <v>4.3567</v>
      </c>
      <c r="G158" s="122">
        <v>18336</v>
      </c>
      <c r="H158" s="123">
        <v>9.8165999999999993</v>
      </c>
      <c r="I158" s="89">
        <v>14.7</v>
      </c>
      <c r="J158" s="119">
        <v>0</v>
      </c>
      <c r="K158" s="119">
        <v>0</v>
      </c>
      <c r="L158" s="109">
        <v>74.998599999999996</v>
      </c>
      <c r="M158" s="124">
        <v>3507003</v>
      </c>
    </row>
    <row r="159" spans="1:13" ht="13.5" customHeight="1" x14ac:dyDescent="0.35">
      <c r="A159" s="97" t="s">
        <v>34</v>
      </c>
      <c r="B159" s="117">
        <v>2018</v>
      </c>
      <c r="C159" s="98">
        <v>47.17</v>
      </c>
      <c r="D159" s="99">
        <v>3.08</v>
      </c>
      <c r="E159" s="100">
        <v>7.4031000000000002</v>
      </c>
      <c r="F159" s="101">
        <v>4.6727999999999996</v>
      </c>
      <c r="G159" s="77">
        <v>19250</v>
      </c>
      <c r="H159" s="102">
        <v>9.8651999999999997</v>
      </c>
      <c r="I159" s="85">
        <v>13.7</v>
      </c>
      <c r="J159" s="117">
        <v>0</v>
      </c>
      <c r="K159" s="117">
        <v>0</v>
      </c>
      <c r="L159" s="101">
        <v>74.998599999999996</v>
      </c>
      <c r="M159" s="118">
        <v>3479010</v>
      </c>
    </row>
    <row r="160" spans="1:13" ht="13.5" customHeight="1" x14ac:dyDescent="0.35">
      <c r="A160" s="105" t="s">
        <v>34</v>
      </c>
      <c r="B160" s="119">
        <v>2019</v>
      </c>
      <c r="C160" s="106">
        <v>33.56</v>
      </c>
      <c r="D160" s="120">
        <v>26.78</v>
      </c>
      <c r="E160" s="108">
        <v>7.0707000000000004</v>
      </c>
      <c r="F160" s="121">
        <v>6.8448000000000002</v>
      </c>
      <c r="G160" s="122">
        <v>20342</v>
      </c>
      <c r="H160" s="123">
        <v>9.9204000000000008</v>
      </c>
      <c r="I160" s="89">
        <v>13.3</v>
      </c>
      <c r="J160" s="119">
        <v>0</v>
      </c>
      <c r="K160" s="119">
        <v>0</v>
      </c>
      <c r="L160" s="109">
        <v>74.998599999999996</v>
      </c>
      <c r="M160" s="124">
        <v>3506853</v>
      </c>
    </row>
    <row r="161" spans="1:13" ht="13.5" customHeight="1" x14ac:dyDescent="0.35">
      <c r="A161" s="97" t="s">
        <v>34</v>
      </c>
      <c r="B161" s="117">
        <v>2020</v>
      </c>
      <c r="C161" s="98">
        <v>34.799999999999997</v>
      </c>
      <c r="D161" s="99">
        <v>33.42</v>
      </c>
      <c r="E161" s="100">
        <v>7.1147999999999998</v>
      </c>
      <c r="F161" s="101">
        <v>7.0740999999999996</v>
      </c>
      <c r="G161" s="77">
        <v>20253</v>
      </c>
      <c r="H161" s="102">
        <v>9.9161000000000001</v>
      </c>
      <c r="I161" s="85">
        <v>16.100000000000001</v>
      </c>
      <c r="J161" s="117">
        <v>0</v>
      </c>
      <c r="K161" s="125">
        <v>1</v>
      </c>
      <c r="L161" s="101">
        <v>74.998599999999996</v>
      </c>
      <c r="M161" s="118">
        <v>3534165</v>
      </c>
    </row>
    <row r="162" spans="1:13" ht="13.5" customHeight="1" x14ac:dyDescent="0.35">
      <c r="A162" s="105" t="s">
        <v>34</v>
      </c>
      <c r="B162" s="119">
        <v>2021</v>
      </c>
      <c r="C162" s="106">
        <v>28.48</v>
      </c>
      <c r="D162" s="120">
        <v>54.26</v>
      </c>
      <c r="E162" s="108">
        <v>6.9217000000000004</v>
      </c>
      <c r="F162" s="121">
        <v>7.5663</v>
      </c>
      <c r="G162" s="122">
        <v>22517</v>
      </c>
      <c r="H162" s="123">
        <v>10.022</v>
      </c>
      <c r="I162" s="89">
        <v>14.9</v>
      </c>
      <c r="J162" s="119">
        <v>0</v>
      </c>
      <c r="K162" s="125">
        <v>1</v>
      </c>
      <c r="L162" s="109">
        <v>74.998599999999996</v>
      </c>
      <c r="M162" s="124">
        <v>3560903</v>
      </c>
    </row>
    <row r="163" spans="1:13" ht="13.5" customHeight="1" x14ac:dyDescent="0.35">
      <c r="A163" s="97" t="s">
        <v>34</v>
      </c>
      <c r="B163" s="117">
        <v>2022</v>
      </c>
      <c r="C163" s="98">
        <v>29.22</v>
      </c>
      <c r="D163" s="99">
        <v>75</v>
      </c>
      <c r="E163" s="100">
        <v>6.8720999999999997</v>
      </c>
      <c r="F163" s="101">
        <v>7.8148</v>
      </c>
      <c r="G163" s="77">
        <v>28407</v>
      </c>
      <c r="H163" s="102">
        <v>10.2544</v>
      </c>
      <c r="I163" s="85">
        <v>11.7</v>
      </c>
      <c r="J163" s="117">
        <v>0</v>
      </c>
      <c r="K163" s="117">
        <v>0</v>
      </c>
      <c r="L163" s="101">
        <v>74.998599999999996</v>
      </c>
      <c r="M163" s="118">
        <v>3302729</v>
      </c>
    </row>
    <row r="164" spans="1:13" ht="13.5" customHeight="1" x14ac:dyDescent="0.35">
      <c r="A164" s="105" t="s">
        <v>34</v>
      </c>
      <c r="B164" s="119">
        <v>2023</v>
      </c>
      <c r="C164" s="106">
        <v>21.38</v>
      </c>
      <c r="D164" s="120">
        <v>0.09</v>
      </c>
      <c r="E164" s="108">
        <v>6.5595999999999997</v>
      </c>
      <c r="F164" s="121">
        <v>1.0986</v>
      </c>
      <c r="G164" s="122">
        <v>30805</v>
      </c>
      <c r="H164" s="123">
        <v>10.3354</v>
      </c>
      <c r="I164" s="89">
        <v>10.3</v>
      </c>
      <c r="J164" s="126">
        <v>1</v>
      </c>
      <c r="K164" s="119">
        <v>0</v>
      </c>
      <c r="L164" s="109">
        <v>74.998599999999996</v>
      </c>
      <c r="M164" s="124">
        <v>3302729</v>
      </c>
    </row>
    <row r="165" spans="1:13" ht="13.5" customHeight="1" x14ac:dyDescent="0.35">
      <c r="A165" s="97" t="s">
        <v>35</v>
      </c>
      <c r="B165" s="117">
        <v>2016</v>
      </c>
      <c r="C165" s="98">
        <v>26.02</v>
      </c>
      <c r="D165" s="99">
        <v>4.7</v>
      </c>
      <c r="E165" s="100">
        <v>6.1420000000000003</v>
      </c>
      <c r="F165" s="101">
        <v>4.4307999999999996</v>
      </c>
      <c r="G165" s="77">
        <v>22078</v>
      </c>
      <c r="H165" s="102">
        <v>10.0024</v>
      </c>
      <c r="I165" s="85">
        <v>8</v>
      </c>
      <c r="J165" s="117">
        <v>0</v>
      </c>
      <c r="K165" s="117">
        <v>0</v>
      </c>
      <c r="L165" s="101">
        <v>351.00009999999997</v>
      </c>
      <c r="M165" s="118">
        <v>1787279</v>
      </c>
    </row>
    <row r="166" spans="1:13" ht="13.5" customHeight="1" x14ac:dyDescent="0.35">
      <c r="A166" s="105" t="s">
        <v>35</v>
      </c>
      <c r="B166" s="119">
        <v>2017</v>
      </c>
      <c r="C166" s="106">
        <v>20.82</v>
      </c>
      <c r="D166" s="120">
        <v>4.87</v>
      </c>
      <c r="E166" s="108">
        <v>5.9295999999999998</v>
      </c>
      <c r="F166" s="121">
        <v>4.4772999999999996</v>
      </c>
      <c r="G166" s="122">
        <v>24098</v>
      </c>
      <c r="H166" s="123">
        <v>10.0899</v>
      </c>
      <c r="I166" s="89">
        <v>8.1999999999999993</v>
      </c>
      <c r="J166" s="119">
        <v>0</v>
      </c>
      <c r="K166" s="119">
        <v>0</v>
      </c>
      <c r="L166" s="109">
        <v>351.00009999999997</v>
      </c>
      <c r="M166" s="124">
        <v>1805788</v>
      </c>
    </row>
    <row r="167" spans="1:13" ht="13.5" customHeight="1" x14ac:dyDescent="0.35">
      <c r="A167" s="97" t="s">
        <v>35</v>
      </c>
      <c r="B167" s="117">
        <v>2018</v>
      </c>
      <c r="C167" s="98">
        <v>17.18</v>
      </c>
      <c r="D167" s="99">
        <v>11.78</v>
      </c>
      <c r="E167" s="100">
        <v>5.7103999999999999</v>
      </c>
      <c r="F167" s="101">
        <v>5.3327</v>
      </c>
      <c r="G167" s="77">
        <v>25554</v>
      </c>
      <c r="H167" s="102">
        <v>10.1486</v>
      </c>
      <c r="I167" s="85">
        <v>9.1999999999999993</v>
      </c>
      <c r="J167" s="117">
        <v>0</v>
      </c>
      <c r="K167" s="117">
        <v>0</v>
      </c>
      <c r="L167" s="101">
        <v>351.00009999999997</v>
      </c>
      <c r="M167" s="118">
        <v>1757589</v>
      </c>
    </row>
    <row r="168" spans="1:13" ht="13.5" customHeight="1" x14ac:dyDescent="0.35">
      <c r="A168" s="105" t="s">
        <v>35</v>
      </c>
      <c r="B168" s="119">
        <v>2019</v>
      </c>
      <c r="C168" s="106">
        <v>14.52</v>
      </c>
      <c r="D168" s="120">
        <v>53.79</v>
      </c>
      <c r="E168" s="108">
        <v>5.5529999999999999</v>
      </c>
      <c r="F168" s="121">
        <v>6.8628</v>
      </c>
      <c r="G168" s="122">
        <v>26497</v>
      </c>
      <c r="H168" s="123">
        <v>10.184799999999999</v>
      </c>
      <c r="I168" s="89">
        <v>8.1</v>
      </c>
      <c r="J168" s="119">
        <v>0</v>
      </c>
      <c r="K168" s="119">
        <v>0</v>
      </c>
      <c r="L168" s="109">
        <v>351.00009999999997</v>
      </c>
      <c r="M168" s="124">
        <v>1777225</v>
      </c>
    </row>
    <row r="169" spans="1:13" ht="13.5" customHeight="1" x14ac:dyDescent="0.35">
      <c r="A169" s="97" t="s">
        <v>35</v>
      </c>
      <c r="B169" s="117">
        <v>2020</v>
      </c>
      <c r="C169" s="98">
        <v>14.25</v>
      </c>
      <c r="D169" s="99">
        <v>105.71</v>
      </c>
      <c r="E169" s="100">
        <v>5.5452000000000004</v>
      </c>
      <c r="F169" s="101">
        <v>7.5491000000000001</v>
      </c>
      <c r="G169" s="77">
        <v>28722</v>
      </c>
      <c r="H169" s="102">
        <v>10.2654</v>
      </c>
      <c r="I169" s="85">
        <v>10.6</v>
      </c>
      <c r="J169" s="117">
        <v>0</v>
      </c>
      <c r="K169" s="125">
        <v>1</v>
      </c>
      <c r="L169" s="101">
        <v>351.00009999999997</v>
      </c>
      <c r="M169" s="118">
        <v>1796460</v>
      </c>
    </row>
    <row r="170" spans="1:13" ht="13.5" customHeight="1" x14ac:dyDescent="0.35">
      <c r="A170" s="105" t="s">
        <v>35</v>
      </c>
      <c r="B170" s="119">
        <v>2021</v>
      </c>
      <c r="C170" s="106">
        <v>17.850000000000001</v>
      </c>
      <c r="D170" s="120">
        <v>195.18</v>
      </c>
      <c r="E170" s="108">
        <v>5.7807000000000004</v>
      </c>
      <c r="F170" s="121">
        <v>8.1727000000000007</v>
      </c>
      <c r="G170" s="122">
        <v>32045</v>
      </c>
      <c r="H170" s="123">
        <v>10.3749</v>
      </c>
      <c r="I170" s="89">
        <v>8.9</v>
      </c>
      <c r="J170" s="119">
        <v>0</v>
      </c>
      <c r="K170" s="125">
        <v>1</v>
      </c>
      <c r="L170" s="109">
        <v>351.00009999999997</v>
      </c>
      <c r="M170" s="124">
        <v>1815278</v>
      </c>
    </row>
    <row r="171" spans="1:13" ht="13.5" customHeight="1" x14ac:dyDescent="0.35">
      <c r="A171" s="97" t="s">
        <v>35</v>
      </c>
      <c r="B171" s="117">
        <v>2022</v>
      </c>
      <c r="C171" s="98">
        <v>23.91</v>
      </c>
      <c r="D171" s="99">
        <v>351</v>
      </c>
      <c r="E171" s="100">
        <v>5.9348999999999998</v>
      </c>
      <c r="F171" s="101">
        <v>8.6216000000000008</v>
      </c>
      <c r="G171" s="77">
        <v>42244</v>
      </c>
      <c r="H171" s="102">
        <v>10.651199999999999</v>
      </c>
      <c r="I171" s="85">
        <v>4.9000000000000004</v>
      </c>
      <c r="J171" s="117">
        <v>0</v>
      </c>
      <c r="K171" s="117">
        <v>0</v>
      </c>
      <c r="L171" s="101">
        <v>351.00009999999997</v>
      </c>
      <c r="M171" s="118">
        <v>1581196</v>
      </c>
    </row>
    <row r="172" spans="1:13" ht="13.5" customHeight="1" x14ac:dyDescent="0.35">
      <c r="A172" s="105" t="s">
        <v>35</v>
      </c>
      <c r="B172" s="119">
        <v>2023</v>
      </c>
      <c r="C172" s="106">
        <v>20.68</v>
      </c>
      <c r="D172" s="120">
        <v>0.51</v>
      </c>
      <c r="E172" s="108">
        <v>5.79</v>
      </c>
      <c r="F172" s="121">
        <v>2.0794000000000001</v>
      </c>
      <c r="G172" s="122">
        <v>48353</v>
      </c>
      <c r="H172" s="123">
        <v>10.786300000000001</v>
      </c>
      <c r="I172" s="89">
        <v>2.9</v>
      </c>
      <c r="J172" s="126">
        <v>1</v>
      </c>
      <c r="K172" s="119">
        <v>0</v>
      </c>
      <c r="L172" s="109">
        <v>351.00009999999997</v>
      </c>
      <c r="M172" s="124">
        <v>1581196</v>
      </c>
    </row>
    <row r="173" spans="1:13" ht="13.5" customHeight="1" x14ac:dyDescent="0.35">
      <c r="A173" s="97" t="s">
        <v>36</v>
      </c>
      <c r="B173" s="117">
        <v>2016</v>
      </c>
      <c r="C173" s="98">
        <v>13.61</v>
      </c>
      <c r="D173" s="99">
        <v>0</v>
      </c>
      <c r="E173" s="100">
        <v>4.2484999999999999</v>
      </c>
      <c r="F173" s="101"/>
      <c r="G173" s="77">
        <v>21417</v>
      </c>
      <c r="H173" s="102">
        <v>9.9718999999999998</v>
      </c>
      <c r="I173" s="85">
        <v>8.9</v>
      </c>
      <c r="J173" s="117">
        <v>0</v>
      </c>
      <c r="K173" s="117">
        <v>0</v>
      </c>
      <c r="L173" s="101">
        <v>80.884900000000002</v>
      </c>
      <c r="M173" s="118">
        <v>514229</v>
      </c>
    </row>
    <row r="174" spans="1:13" ht="13.5" customHeight="1" x14ac:dyDescent="0.35">
      <c r="A174" s="105" t="s">
        <v>36</v>
      </c>
      <c r="B174" s="119">
        <v>2017</v>
      </c>
      <c r="C174" s="106">
        <v>18.37</v>
      </c>
      <c r="D174" s="120">
        <v>1.34</v>
      </c>
      <c r="E174" s="108">
        <v>4.5643000000000002</v>
      </c>
      <c r="F174" s="121">
        <v>1.9459</v>
      </c>
      <c r="G174" s="122">
        <v>23161</v>
      </c>
      <c r="H174" s="123">
        <v>10.0502</v>
      </c>
      <c r="I174" s="89">
        <v>10</v>
      </c>
      <c r="J174" s="119">
        <v>0</v>
      </c>
      <c r="K174" s="119">
        <v>0</v>
      </c>
      <c r="L174" s="109">
        <v>80.884900000000002</v>
      </c>
      <c r="M174" s="124">
        <v>522636</v>
      </c>
    </row>
    <row r="175" spans="1:13" ht="13.5" customHeight="1" x14ac:dyDescent="0.35">
      <c r="A175" s="97" t="s">
        <v>36</v>
      </c>
      <c r="B175" s="117">
        <v>2018</v>
      </c>
      <c r="C175" s="98">
        <v>31.57</v>
      </c>
      <c r="D175" s="99">
        <v>2.78</v>
      </c>
      <c r="E175" s="100">
        <v>5.2039999999999997</v>
      </c>
      <c r="F175" s="101">
        <v>2.7726000000000002</v>
      </c>
      <c r="G175" s="77">
        <v>23189</v>
      </c>
      <c r="H175" s="102">
        <v>10.051399999999999</v>
      </c>
      <c r="I175" s="85">
        <v>12.4</v>
      </c>
      <c r="J175" s="117">
        <v>0</v>
      </c>
      <c r="K175" s="117">
        <v>0</v>
      </c>
      <c r="L175" s="101">
        <v>80.884900000000002</v>
      </c>
      <c r="M175" s="118">
        <v>576568</v>
      </c>
    </row>
    <row r="176" spans="1:13" ht="13.5" customHeight="1" x14ac:dyDescent="0.35">
      <c r="A176" s="105" t="s">
        <v>36</v>
      </c>
      <c r="B176" s="119">
        <v>2019</v>
      </c>
      <c r="C176" s="106">
        <v>13.7</v>
      </c>
      <c r="D176" s="120">
        <v>10.4</v>
      </c>
      <c r="E176" s="108">
        <v>4.4188000000000001</v>
      </c>
      <c r="F176" s="121">
        <v>4.1430999999999996</v>
      </c>
      <c r="G176" s="122">
        <v>23594</v>
      </c>
      <c r="H176" s="123">
        <v>10.0687</v>
      </c>
      <c r="I176" s="89">
        <v>15.1</v>
      </c>
      <c r="J176" s="119">
        <v>0</v>
      </c>
      <c r="K176" s="119">
        <v>0</v>
      </c>
      <c r="L176" s="109">
        <v>80.884900000000002</v>
      </c>
      <c r="M176" s="124">
        <v>605761</v>
      </c>
    </row>
    <row r="177" spans="1:13" ht="13.5" customHeight="1" x14ac:dyDescent="0.35">
      <c r="A177" s="97" t="s">
        <v>36</v>
      </c>
      <c r="B177" s="117">
        <v>2020</v>
      </c>
      <c r="C177" s="98">
        <v>16</v>
      </c>
      <c r="D177" s="99">
        <v>16.48</v>
      </c>
      <c r="E177" s="100">
        <v>4.6151</v>
      </c>
      <c r="F177" s="101">
        <v>4.6444000000000001</v>
      </c>
      <c r="G177" s="77">
        <v>25388</v>
      </c>
      <c r="H177" s="102">
        <v>10.141999999999999</v>
      </c>
      <c r="I177" s="85">
        <v>16.8</v>
      </c>
      <c r="J177" s="117">
        <v>0</v>
      </c>
      <c r="K177" s="125">
        <v>1</v>
      </c>
      <c r="L177" s="101">
        <v>80.884900000000002</v>
      </c>
      <c r="M177" s="118">
        <v>631181</v>
      </c>
    </row>
    <row r="178" spans="1:13" ht="13.5" customHeight="1" x14ac:dyDescent="0.35">
      <c r="A178" s="105" t="s">
        <v>36</v>
      </c>
      <c r="B178" s="119">
        <v>2021</v>
      </c>
      <c r="C178" s="106">
        <v>16.09</v>
      </c>
      <c r="D178" s="120">
        <v>36.92</v>
      </c>
      <c r="E178" s="108">
        <v>4.6539999999999999</v>
      </c>
      <c r="F178" s="121">
        <v>5.4847999999999999</v>
      </c>
      <c r="G178" s="122">
        <v>27888</v>
      </c>
      <c r="H178" s="123">
        <v>10.235900000000001</v>
      </c>
      <c r="I178" s="89">
        <v>12.1</v>
      </c>
      <c r="J178" s="119">
        <v>0</v>
      </c>
      <c r="K178" s="125">
        <v>1</v>
      </c>
      <c r="L178" s="109">
        <v>80.884900000000002</v>
      </c>
      <c r="M178" s="124">
        <v>652713</v>
      </c>
    </row>
    <row r="179" spans="1:13" ht="13.5" customHeight="1" x14ac:dyDescent="0.35">
      <c r="A179" s="97" t="s">
        <v>36</v>
      </c>
      <c r="B179" s="117">
        <v>2022</v>
      </c>
      <c r="C179" s="98">
        <v>16.18</v>
      </c>
      <c r="D179" s="99">
        <v>80.88</v>
      </c>
      <c r="E179" s="100">
        <v>4.6346999999999996</v>
      </c>
      <c r="F179" s="101">
        <v>6.2442000000000002</v>
      </c>
      <c r="G179" s="77">
        <v>33132</v>
      </c>
      <c r="H179" s="102">
        <v>10.408300000000001</v>
      </c>
      <c r="I179" s="85">
        <v>6.1</v>
      </c>
      <c r="J179" s="117">
        <v>0</v>
      </c>
      <c r="K179" s="117">
        <v>0</v>
      </c>
      <c r="L179" s="101">
        <v>80.884900000000002</v>
      </c>
      <c r="M179" s="118">
        <v>636707</v>
      </c>
    </row>
    <row r="180" spans="1:13" ht="13.5" customHeight="1" x14ac:dyDescent="0.35">
      <c r="A180" s="105" t="s">
        <v>36</v>
      </c>
      <c r="B180" s="119">
        <v>2023</v>
      </c>
      <c r="C180" s="106">
        <v>16.489999999999998</v>
      </c>
      <c r="D180" s="120">
        <v>0.94</v>
      </c>
      <c r="E180" s="108">
        <v>4.6539999999999999</v>
      </c>
      <c r="F180" s="121">
        <v>1.7918000000000001</v>
      </c>
      <c r="G180" s="122">
        <v>39461</v>
      </c>
      <c r="H180" s="123">
        <v>10.5831</v>
      </c>
      <c r="I180" s="89">
        <v>6.7</v>
      </c>
      <c r="J180" s="126">
        <v>1</v>
      </c>
      <c r="K180" s="119">
        <v>0</v>
      </c>
      <c r="L180" s="109">
        <v>80.884900000000002</v>
      </c>
      <c r="M180" s="124">
        <v>636707</v>
      </c>
    </row>
    <row r="181" spans="1:13" ht="13.5" customHeight="1" x14ac:dyDescent="0.35">
      <c r="A181" s="97" t="s">
        <v>37</v>
      </c>
      <c r="B181" s="117">
        <v>2016</v>
      </c>
      <c r="C181" s="98">
        <v>22.2</v>
      </c>
      <c r="D181" s="99">
        <v>7.65</v>
      </c>
      <c r="E181" s="100">
        <v>7.8263999999999996</v>
      </c>
      <c r="F181" s="101">
        <v>6.7603999999999997</v>
      </c>
      <c r="G181" s="77">
        <v>36219</v>
      </c>
      <c r="H181" s="102">
        <v>10.497299999999999</v>
      </c>
      <c r="I181" s="85">
        <v>8.3000000000000007</v>
      </c>
      <c r="J181" s="117">
        <v>0</v>
      </c>
      <c r="K181" s="117">
        <v>0</v>
      </c>
      <c r="L181" s="101">
        <v>273.30790000000002</v>
      </c>
      <c r="M181" s="118">
        <v>11286500</v>
      </c>
    </row>
    <row r="182" spans="1:13" ht="13.5" customHeight="1" x14ac:dyDescent="0.35">
      <c r="A182" s="105" t="s">
        <v>37</v>
      </c>
      <c r="B182" s="119">
        <v>2017</v>
      </c>
      <c r="C182" s="106">
        <v>22.8</v>
      </c>
      <c r="D182" s="120">
        <v>12.89</v>
      </c>
      <c r="E182" s="108">
        <v>7.8563000000000001</v>
      </c>
      <c r="F182" s="121">
        <v>7.2862</v>
      </c>
      <c r="G182" s="122">
        <v>37382</v>
      </c>
      <c r="H182" s="123">
        <v>10.5289</v>
      </c>
      <c r="I182" s="89">
        <v>8.5</v>
      </c>
      <c r="J182" s="119">
        <v>0</v>
      </c>
      <c r="K182" s="119">
        <v>0</v>
      </c>
      <c r="L182" s="109">
        <v>273.30790000000002</v>
      </c>
      <c r="M182" s="124">
        <v>11322895</v>
      </c>
    </row>
    <row r="183" spans="1:13" ht="13.5" customHeight="1" x14ac:dyDescent="0.35">
      <c r="A183" s="97" t="s">
        <v>37</v>
      </c>
      <c r="B183" s="117">
        <v>2018</v>
      </c>
      <c r="C183" s="98">
        <v>18.260000000000002</v>
      </c>
      <c r="D183" s="99">
        <v>18.170000000000002</v>
      </c>
      <c r="E183" s="100">
        <v>7.6348000000000003</v>
      </c>
      <c r="F183" s="101">
        <v>7.63</v>
      </c>
      <c r="G183" s="77">
        <v>40363</v>
      </c>
      <c r="H183" s="102">
        <v>10.605700000000001</v>
      </c>
      <c r="I183" s="85">
        <v>8.1999999999999993</v>
      </c>
      <c r="J183" s="117">
        <v>0</v>
      </c>
      <c r="K183" s="117">
        <v>0</v>
      </c>
      <c r="L183" s="101">
        <v>273.30790000000002</v>
      </c>
      <c r="M183" s="118">
        <v>11329605</v>
      </c>
    </row>
    <row r="184" spans="1:13" ht="13.5" customHeight="1" x14ac:dyDescent="0.35">
      <c r="A184" s="105" t="s">
        <v>37</v>
      </c>
      <c r="B184" s="119">
        <v>2019</v>
      </c>
      <c r="C184" s="106">
        <v>14.05</v>
      </c>
      <c r="D184" s="120">
        <v>96.31</v>
      </c>
      <c r="E184" s="108">
        <v>7.3771000000000004</v>
      </c>
      <c r="F184" s="121">
        <v>9.3017000000000003</v>
      </c>
      <c r="G184" s="122">
        <v>42406</v>
      </c>
      <c r="H184" s="123">
        <v>10.654999999999999</v>
      </c>
      <c r="I184" s="89">
        <v>8.1999999999999993</v>
      </c>
      <c r="J184" s="119">
        <v>0</v>
      </c>
      <c r="K184" s="119">
        <v>0</v>
      </c>
      <c r="L184" s="109">
        <v>273.30790000000002</v>
      </c>
      <c r="M184" s="124">
        <v>11377239</v>
      </c>
    </row>
    <row r="185" spans="1:13" ht="13.5" customHeight="1" x14ac:dyDescent="0.35">
      <c r="A185" s="97" t="s">
        <v>37</v>
      </c>
      <c r="B185" s="117">
        <v>2020</v>
      </c>
      <c r="C185" s="98">
        <v>13.46</v>
      </c>
      <c r="D185" s="99">
        <v>138.97</v>
      </c>
      <c r="E185" s="100">
        <v>7.3376000000000001</v>
      </c>
      <c r="F185" s="101">
        <v>9.6724999999999994</v>
      </c>
      <c r="G185" s="77">
        <v>41228</v>
      </c>
      <c r="H185" s="102">
        <v>10.626899999999999</v>
      </c>
      <c r="I185" s="85">
        <v>9.3000000000000007</v>
      </c>
      <c r="J185" s="117">
        <v>0</v>
      </c>
      <c r="K185" s="125">
        <v>1</v>
      </c>
      <c r="L185" s="101">
        <v>273.30790000000002</v>
      </c>
      <c r="M185" s="118">
        <v>11422973</v>
      </c>
    </row>
    <row r="186" spans="1:13" ht="13.5" customHeight="1" x14ac:dyDescent="0.35">
      <c r="A186" s="105" t="s">
        <v>37</v>
      </c>
      <c r="B186" s="119">
        <v>2021</v>
      </c>
      <c r="C186" s="106">
        <v>12.02</v>
      </c>
      <c r="D186" s="120">
        <v>215.13</v>
      </c>
      <c r="E186" s="108">
        <v>7.2283999999999997</v>
      </c>
      <c r="F186" s="121">
        <v>10.113300000000001</v>
      </c>
      <c r="G186" s="122">
        <v>50694</v>
      </c>
      <c r="H186" s="123">
        <v>10.833600000000001</v>
      </c>
      <c r="I186" s="89">
        <v>8.6999999999999993</v>
      </c>
      <c r="J186" s="119">
        <v>0</v>
      </c>
      <c r="K186" s="125">
        <v>1</v>
      </c>
      <c r="L186" s="109">
        <v>273.30790000000002</v>
      </c>
      <c r="M186" s="124">
        <v>11466630</v>
      </c>
    </row>
    <row r="187" spans="1:13" ht="13.5" customHeight="1" x14ac:dyDescent="0.35">
      <c r="A187" s="97" t="s">
        <v>37</v>
      </c>
      <c r="B187" s="117">
        <v>2022</v>
      </c>
      <c r="C187" s="98">
        <v>13.58</v>
      </c>
      <c r="D187" s="99">
        <v>273.31</v>
      </c>
      <c r="E187" s="100">
        <v>7.2984</v>
      </c>
      <c r="F187" s="101">
        <v>10.3004</v>
      </c>
      <c r="G187" s="77">
        <v>54547</v>
      </c>
      <c r="H187" s="102">
        <v>10.9068</v>
      </c>
      <c r="I187" s="85">
        <v>6.1</v>
      </c>
      <c r="J187" s="117">
        <v>0</v>
      </c>
      <c r="K187" s="117">
        <v>0</v>
      </c>
      <c r="L187" s="101">
        <v>273.30790000000002</v>
      </c>
      <c r="M187" s="118">
        <v>10882965</v>
      </c>
    </row>
    <row r="188" spans="1:13" ht="13.5" customHeight="1" x14ac:dyDescent="0.35">
      <c r="A188" s="105" t="s">
        <v>37</v>
      </c>
      <c r="B188" s="119">
        <v>2023</v>
      </c>
      <c r="C188" s="106">
        <v>12.93</v>
      </c>
      <c r="D188" s="120">
        <v>1.38</v>
      </c>
      <c r="E188" s="108">
        <v>7.2492000000000001</v>
      </c>
      <c r="F188" s="121">
        <v>5.0106000000000002</v>
      </c>
      <c r="G188" s="122">
        <v>59736</v>
      </c>
      <c r="H188" s="123">
        <v>10.9977</v>
      </c>
      <c r="I188" s="89">
        <v>5.3</v>
      </c>
      <c r="J188" s="126">
        <v>1</v>
      </c>
      <c r="K188" s="119">
        <v>0</v>
      </c>
      <c r="L188" s="109">
        <v>273.30790000000002</v>
      </c>
      <c r="M188" s="124">
        <v>10882965</v>
      </c>
    </row>
    <row r="189" spans="1:13" ht="13.5" customHeight="1" x14ac:dyDescent="0.35">
      <c r="A189" s="97" t="s">
        <v>38</v>
      </c>
      <c r="B189" s="117">
        <v>2016</v>
      </c>
      <c r="C189" s="98">
        <v>8.8000000000000007</v>
      </c>
      <c r="D189" s="99">
        <v>6.29</v>
      </c>
      <c r="E189" s="100">
        <v>6.4101999999999997</v>
      </c>
      <c r="F189" s="101">
        <v>6.0753000000000004</v>
      </c>
      <c r="G189" s="77">
        <v>37154</v>
      </c>
      <c r="H189" s="102">
        <v>10.5228</v>
      </c>
      <c r="I189" s="85">
        <v>6.4</v>
      </c>
      <c r="J189" s="117">
        <v>0</v>
      </c>
      <c r="K189" s="117">
        <v>0</v>
      </c>
      <c r="L189" s="101">
        <v>371.16500000000002</v>
      </c>
      <c r="M189" s="118">
        <v>6910553</v>
      </c>
    </row>
    <row r="190" spans="1:13" ht="13.5" customHeight="1" x14ac:dyDescent="0.35">
      <c r="A190" s="105" t="s">
        <v>38</v>
      </c>
      <c r="B190" s="119">
        <v>2017</v>
      </c>
      <c r="C190" s="106">
        <v>9.56</v>
      </c>
      <c r="D190" s="120">
        <v>7.14</v>
      </c>
      <c r="E190" s="108">
        <v>6.5057999999999998</v>
      </c>
      <c r="F190" s="121">
        <v>6.2145999999999999</v>
      </c>
      <c r="G190" s="122">
        <v>39603</v>
      </c>
      <c r="H190" s="123">
        <v>10.5867</v>
      </c>
      <c r="I190" s="89">
        <v>7.2</v>
      </c>
      <c r="J190" s="119">
        <v>0</v>
      </c>
      <c r="K190" s="119">
        <v>0</v>
      </c>
      <c r="L190" s="109">
        <v>371.16500000000002</v>
      </c>
      <c r="M190" s="124">
        <v>7001161</v>
      </c>
    </row>
    <row r="191" spans="1:13" ht="13.5" customHeight="1" x14ac:dyDescent="0.35">
      <c r="A191" s="97" t="s">
        <v>38</v>
      </c>
      <c r="B191" s="117">
        <v>2018</v>
      </c>
      <c r="C191" s="98">
        <v>6.35</v>
      </c>
      <c r="D191" s="99">
        <v>14.74</v>
      </c>
      <c r="E191" s="100">
        <v>6.1070000000000002</v>
      </c>
      <c r="F191" s="101">
        <v>6.9499000000000004</v>
      </c>
      <c r="G191" s="77">
        <v>42149</v>
      </c>
      <c r="H191" s="102">
        <v>10.648999999999999</v>
      </c>
      <c r="I191" s="85">
        <v>6.5</v>
      </c>
      <c r="J191" s="117">
        <v>0</v>
      </c>
      <c r="K191" s="117">
        <v>0</v>
      </c>
      <c r="L191" s="101">
        <v>371.16500000000002</v>
      </c>
      <c r="M191" s="118">
        <v>7075494</v>
      </c>
    </row>
    <row r="192" spans="1:13" ht="13.5" customHeight="1" x14ac:dyDescent="0.35">
      <c r="A192" s="105" t="s">
        <v>38</v>
      </c>
      <c r="B192" s="119">
        <v>2019</v>
      </c>
      <c r="C192" s="106">
        <v>5.51</v>
      </c>
      <c r="D192" s="120">
        <v>100.77</v>
      </c>
      <c r="E192" s="108">
        <v>5.9789000000000003</v>
      </c>
      <c r="F192" s="121">
        <v>8.8846000000000007</v>
      </c>
      <c r="G192" s="122">
        <v>45118</v>
      </c>
      <c r="H192" s="123">
        <v>10.717000000000001</v>
      </c>
      <c r="I192" s="89">
        <v>6.2</v>
      </c>
      <c r="J192" s="119">
        <v>0</v>
      </c>
      <c r="K192" s="119">
        <v>0</v>
      </c>
      <c r="L192" s="109">
        <v>371.16500000000002</v>
      </c>
      <c r="M192" s="124">
        <v>7164788</v>
      </c>
    </row>
    <row r="193" spans="1:13" ht="13.5" customHeight="1" x14ac:dyDescent="0.35">
      <c r="A193" s="97" t="s">
        <v>38</v>
      </c>
      <c r="B193" s="117">
        <v>2020</v>
      </c>
      <c r="C193" s="98">
        <v>5.27</v>
      </c>
      <c r="D193" s="99">
        <v>179.33</v>
      </c>
      <c r="E193" s="100">
        <v>5.9454000000000002</v>
      </c>
      <c r="F193" s="101">
        <v>9.4732000000000003</v>
      </c>
      <c r="G193" s="77">
        <v>48159</v>
      </c>
      <c r="H193" s="102">
        <v>10.782299999999999</v>
      </c>
      <c r="I193" s="85">
        <v>6.3</v>
      </c>
      <c r="J193" s="117">
        <v>0</v>
      </c>
      <c r="K193" s="125">
        <v>1</v>
      </c>
      <c r="L193" s="101">
        <v>371.16500000000002</v>
      </c>
      <c r="M193" s="118">
        <v>7252502</v>
      </c>
    </row>
    <row r="194" spans="1:13" ht="13.5" customHeight="1" x14ac:dyDescent="0.35">
      <c r="A194" s="105" t="s">
        <v>38</v>
      </c>
      <c r="B194" s="119">
        <v>2021</v>
      </c>
      <c r="C194" s="106">
        <v>5.18</v>
      </c>
      <c r="D194" s="120">
        <v>153.79</v>
      </c>
      <c r="E194" s="108">
        <v>5.9401999999999999</v>
      </c>
      <c r="F194" s="121">
        <v>9.3313000000000006</v>
      </c>
      <c r="G194" s="122">
        <v>58401</v>
      </c>
      <c r="H194" s="123">
        <v>10.975099999999999</v>
      </c>
      <c r="I194" s="89">
        <v>5.5</v>
      </c>
      <c r="J194" s="119">
        <v>0</v>
      </c>
      <c r="K194" s="125">
        <v>1</v>
      </c>
      <c r="L194" s="109">
        <v>371.16500000000002</v>
      </c>
      <c r="M194" s="124">
        <v>7338473</v>
      </c>
    </row>
    <row r="195" spans="1:13" ht="13.5" customHeight="1" x14ac:dyDescent="0.35">
      <c r="A195" s="97" t="s">
        <v>38</v>
      </c>
      <c r="B195" s="117">
        <v>2022</v>
      </c>
      <c r="C195" s="98">
        <v>4.1100000000000003</v>
      </c>
      <c r="D195" s="99">
        <v>371.17</v>
      </c>
      <c r="E195" s="100">
        <v>5.7462</v>
      </c>
      <c r="F195" s="101">
        <v>10.248699999999999</v>
      </c>
      <c r="G195" s="77">
        <v>61268</v>
      </c>
      <c r="H195" s="102">
        <v>11.023</v>
      </c>
      <c r="I195" s="85">
        <v>3.9</v>
      </c>
      <c r="J195" s="117">
        <v>0</v>
      </c>
      <c r="K195" s="117">
        <v>0</v>
      </c>
      <c r="L195" s="101">
        <v>371.16500000000002</v>
      </c>
      <c r="M195" s="118">
        <v>7610361</v>
      </c>
    </row>
    <row r="196" spans="1:13" ht="13.5" customHeight="1" x14ac:dyDescent="0.35">
      <c r="A196" s="105" t="s">
        <v>38</v>
      </c>
      <c r="B196" s="119">
        <v>2023</v>
      </c>
      <c r="C196" s="106">
        <v>3.9</v>
      </c>
      <c r="D196" s="120">
        <v>0.97</v>
      </c>
      <c r="E196" s="108">
        <v>5.6936999999999998</v>
      </c>
      <c r="F196" s="121">
        <v>4.3041</v>
      </c>
      <c r="G196" s="122">
        <v>67460</v>
      </c>
      <c r="H196" s="123">
        <v>11.119300000000001</v>
      </c>
      <c r="I196" s="89">
        <v>3.5</v>
      </c>
      <c r="J196" s="126">
        <v>1</v>
      </c>
      <c r="K196" s="119">
        <v>0</v>
      </c>
      <c r="L196" s="109">
        <v>371.16500000000002</v>
      </c>
      <c r="M196" s="124">
        <v>7610361</v>
      </c>
    </row>
    <row r="197" spans="1:13" ht="13.5" customHeight="1" x14ac:dyDescent="0.35">
      <c r="A197" s="97" t="s">
        <v>39</v>
      </c>
      <c r="B197" s="117">
        <v>2016</v>
      </c>
      <c r="C197" s="98">
        <v>55.74</v>
      </c>
      <c r="D197" s="99">
        <v>2.4300000000000002</v>
      </c>
      <c r="E197" s="100">
        <v>7.1412000000000004</v>
      </c>
      <c r="F197" s="101">
        <v>4.0072999999999999</v>
      </c>
      <c r="G197" s="77">
        <v>17159</v>
      </c>
      <c r="H197" s="102">
        <v>9.7502999999999993</v>
      </c>
      <c r="I197" s="85">
        <v>13.6</v>
      </c>
      <c r="J197" s="117">
        <v>0</v>
      </c>
      <c r="K197" s="117">
        <v>0</v>
      </c>
      <c r="L197" s="101">
        <v>47.420699999999997</v>
      </c>
      <c r="M197" s="118">
        <v>2265779</v>
      </c>
    </row>
    <row r="198" spans="1:13" ht="13.5" customHeight="1" x14ac:dyDescent="0.35">
      <c r="A198" s="105" t="s">
        <v>39</v>
      </c>
      <c r="B198" s="119">
        <v>2017</v>
      </c>
      <c r="C198" s="106">
        <v>47.94</v>
      </c>
      <c r="D198" s="120">
        <v>3.76</v>
      </c>
      <c r="E198" s="108">
        <v>7.0003000000000002</v>
      </c>
      <c r="F198" s="121">
        <v>4.4542999999999999</v>
      </c>
      <c r="G198" s="122">
        <v>17793</v>
      </c>
      <c r="H198" s="123">
        <v>9.7865000000000002</v>
      </c>
      <c r="I198" s="89">
        <v>14.6</v>
      </c>
      <c r="J198" s="119">
        <v>0</v>
      </c>
      <c r="K198" s="119">
        <v>0</v>
      </c>
      <c r="L198" s="109">
        <v>47.420699999999997</v>
      </c>
      <c r="M198" s="124">
        <v>2288116</v>
      </c>
    </row>
    <row r="199" spans="1:13" ht="13.5" customHeight="1" x14ac:dyDescent="0.35">
      <c r="A199" s="97" t="s">
        <v>39</v>
      </c>
      <c r="B199" s="117">
        <v>2018</v>
      </c>
      <c r="C199" s="98">
        <v>42.18</v>
      </c>
      <c r="D199" s="99">
        <v>4.13</v>
      </c>
      <c r="E199" s="100">
        <v>6.8680000000000003</v>
      </c>
      <c r="F199" s="101">
        <v>4.5433000000000003</v>
      </c>
      <c r="G199" s="77">
        <v>18443</v>
      </c>
      <c r="H199" s="102">
        <v>9.8224</v>
      </c>
      <c r="I199" s="85">
        <v>16.8</v>
      </c>
      <c r="J199" s="117">
        <v>0</v>
      </c>
      <c r="K199" s="117">
        <v>0</v>
      </c>
      <c r="L199" s="101">
        <v>47.420699999999997</v>
      </c>
      <c r="M199" s="118">
        <v>2278308</v>
      </c>
    </row>
    <row r="200" spans="1:13" ht="13.5" customHeight="1" x14ac:dyDescent="0.35">
      <c r="A200" s="105" t="s">
        <v>39</v>
      </c>
      <c r="B200" s="119">
        <v>2019</v>
      </c>
      <c r="C200" s="106">
        <v>33.93</v>
      </c>
      <c r="D200" s="120">
        <v>15.84</v>
      </c>
      <c r="E200" s="108">
        <v>6.6593</v>
      </c>
      <c r="F200" s="121">
        <v>5.8971999999999998</v>
      </c>
      <c r="G200" s="122">
        <v>19441</v>
      </c>
      <c r="H200" s="123">
        <v>9.8751999999999995</v>
      </c>
      <c r="I200" s="89">
        <v>15.2</v>
      </c>
      <c r="J200" s="119">
        <v>0</v>
      </c>
      <c r="K200" s="119">
        <v>0</v>
      </c>
      <c r="L200" s="109">
        <v>47.420699999999997</v>
      </c>
      <c r="M200" s="124">
        <v>2298696</v>
      </c>
    </row>
    <row r="201" spans="1:13" ht="13.5" customHeight="1" x14ac:dyDescent="0.35">
      <c r="A201" s="97" t="s">
        <v>39</v>
      </c>
      <c r="B201" s="117">
        <v>2020</v>
      </c>
      <c r="C201" s="98">
        <v>35.49</v>
      </c>
      <c r="D201" s="99">
        <v>26.69</v>
      </c>
      <c r="E201" s="100">
        <v>6.7130000000000001</v>
      </c>
      <c r="F201" s="101">
        <v>6.4280999999999997</v>
      </c>
      <c r="G201" s="77">
        <v>19583</v>
      </c>
      <c r="H201" s="102">
        <v>9.8824000000000005</v>
      </c>
      <c r="I201" s="85">
        <v>18.899999999999999</v>
      </c>
      <c r="J201" s="117">
        <v>0</v>
      </c>
      <c r="K201" s="125">
        <v>1</v>
      </c>
      <c r="L201" s="101">
        <v>47.420699999999997</v>
      </c>
      <c r="M201" s="118">
        <v>2318822</v>
      </c>
    </row>
    <row r="202" spans="1:13" ht="13.5" customHeight="1" x14ac:dyDescent="0.35">
      <c r="A202" s="105" t="s">
        <v>39</v>
      </c>
      <c r="B202" s="119">
        <v>2021</v>
      </c>
      <c r="C202" s="106">
        <v>28.39</v>
      </c>
      <c r="D202" s="120">
        <v>42.89</v>
      </c>
      <c r="E202" s="108">
        <v>6.4983000000000004</v>
      </c>
      <c r="F202" s="121">
        <v>6.9108000000000001</v>
      </c>
      <c r="G202" s="122">
        <v>22177</v>
      </c>
      <c r="H202" s="123">
        <v>10.0068</v>
      </c>
      <c r="I202" s="89">
        <v>18</v>
      </c>
      <c r="J202" s="119">
        <v>0</v>
      </c>
      <c r="K202" s="125">
        <v>1</v>
      </c>
      <c r="L202" s="109">
        <v>47.420699999999997</v>
      </c>
      <c r="M202" s="124">
        <v>2338474</v>
      </c>
    </row>
    <row r="203" spans="1:13" ht="13.5" customHeight="1" x14ac:dyDescent="0.35">
      <c r="A203" s="97" t="s">
        <v>39</v>
      </c>
      <c r="B203" s="117">
        <v>2022</v>
      </c>
      <c r="C203" s="98">
        <v>29.59</v>
      </c>
      <c r="D203" s="99">
        <v>47.42</v>
      </c>
      <c r="E203" s="100">
        <v>6.4831000000000003</v>
      </c>
      <c r="F203" s="101">
        <v>6.9546000000000001</v>
      </c>
      <c r="G203" s="77">
        <v>25960</v>
      </c>
      <c r="H203" s="102">
        <v>10.164300000000001</v>
      </c>
      <c r="I203" s="85">
        <v>13.1</v>
      </c>
      <c r="J203" s="117">
        <v>0</v>
      </c>
      <c r="K203" s="117">
        <v>0</v>
      </c>
      <c r="L203" s="101">
        <v>47.420699999999997</v>
      </c>
      <c r="M203" s="118">
        <v>2210004</v>
      </c>
    </row>
    <row r="204" spans="1:13" ht="13.5" customHeight="1" x14ac:dyDescent="0.35">
      <c r="A204" s="105" t="s">
        <v>39</v>
      </c>
      <c r="B204" s="119">
        <v>2023</v>
      </c>
      <c r="C204" s="106">
        <v>25.88</v>
      </c>
      <c r="D204" s="120">
        <v>0.05</v>
      </c>
      <c r="E204" s="108">
        <v>6.3491</v>
      </c>
      <c r="F204" s="121">
        <v>0</v>
      </c>
      <c r="G204" s="122">
        <v>27519</v>
      </c>
      <c r="H204" s="123">
        <v>10.2226</v>
      </c>
      <c r="I204" s="89">
        <v>10.9</v>
      </c>
      <c r="J204" s="126">
        <v>1</v>
      </c>
      <c r="K204" s="119">
        <v>0</v>
      </c>
      <c r="L204" s="109">
        <v>47.420699999999997</v>
      </c>
      <c r="M204" s="124">
        <v>2210004</v>
      </c>
    </row>
    <row r="205" spans="1:13" ht="13.5" customHeight="1" x14ac:dyDescent="0.35">
      <c r="A205" s="97" t="s">
        <v>40</v>
      </c>
      <c r="B205" s="117">
        <v>2016</v>
      </c>
      <c r="C205" s="98">
        <v>6.01</v>
      </c>
      <c r="D205" s="99">
        <v>4.46</v>
      </c>
      <c r="E205" s="100">
        <v>7.8973000000000004</v>
      </c>
      <c r="F205" s="101">
        <v>7.5979000000000001</v>
      </c>
      <c r="G205" s="77">
        <v>45559</v>
      </c>
      <c r="H205" s="102">
        <v>10.726800000000001</v>
      </c>
      <c r="I205" s="85">
        <v>12.5</v>
      </c>
      <c r="J205" s="117">
        <v>0</v>
      </c>
      <c r="K205" s="117">
        <v>0</v>
      </c>
      <c r="L205" s="101">
        <v>190.7603</v>
      </c>
      <c r="M205" s="118">
        <v>44749699</v>
      </c>
    </row>
    <row r="206" spans="1:13" ht="13.5" customHeight="1" x14ac:dyDescent="0.35">
      <c r="A206" s="105" t="s">
        <v>40</v>
      </c>
      <c r="B206" s="119">
        <v>2017</v>
      </c>
      <c r="C206" s="106">
        <v>5.52</v>
      </c>
      <c r="D206" s="120">
        <v>7.2</v>
      </c>
      <c r="E206" s="108">
        <v>7.82</v>
      </c>
      <c r="F206" s="121">
        <v>8.0858000000000008</v>
      </c>
      <c r="G206" s="122">
        <v>47029</v>
      </c>
      <c r="H206" s="123">
        <v>10.7585</v>
      </c>
      <c r="I206" s="89">
        <v>13.5</v>
      </c>
      <c r="J206" s="119">
        <v>0</v>
      </c>
      <c r="K206" s="119">
        <v>0</v>
      </c>
      <c r="L206" s="109">
        <v>190.7603</v>
      </c>
      <c r="M206" s="124">
        <v>45094866</v>
      </c>
    </row>
    <row r="207" spans="1:13" ht="13.5" customHeight="1" x14ac:dyDescent="0.35">
      <c r="A207" s="97" t="s">
        <v>40</v>
      </c>
      <c r="B207" s="117">
        <v>2018</v>
      </c>
      <c r="C207" s="98">
        <v>4.32</v>
      </c>
      <c r="D207" s="99">
        <v>10.01</v>
      </c>
      <c r="E207" s="100">
        <v>7.5838000000000001</v>
      </c>
      <c r="F207" s="101">
        <v>8.4248999999999992</v>
      </c>
      <c r="G207" s="77">
        <v>48542</v>
      </c>
      <c r="H207" s="102">
        <v>10.7902</v>
      </c>
      <c r="I207" s="85">
        <v>13.4</v>
      </c>
      <c r="J207" s="117">
        <v>0</v>
      </c>
      <c r="K207" s="117">
        <v>0</v>
      </c>
      <c r="L207" s="101">
        <v>190.7603</v>
      </c>
      <c r="M207" s="118">
        <v>45538936</v>
      </c>
    </row>
    <row r="208" spans="1:13" ht="13.5" customHeight="1" x14ac:dyDescent="0.35">
      <c r="A208" s="105" t="s">
        <v>40</v>
      </c>
      <c r="B208" s="119">
        <v>2019</v>
      </c>
      <c r="C208" s="106">
        <v>3.75</v>
      </c>
      <c r="D208" s="120">
        <v>53.87</v>
      </c>
      <c r="E208" s="108">
        <v>7.4507000000000003</v>
      </c>
      <c r="F208" s="121">
        <v>10.116099999999999</v>
      </c>
      <c r="G208" s="122">
        <v>51141</v>
      </c>
      <c r="H208" s="123">
        <v>10.8423</v>
      </c>
      <c r="I208" s="89">
        <v>12.6</v>
      </c>
      <c r="J208" s="119">
        <v>0</v>
      </c>
      <c r="K208" s="119">
        <v>0</v>
      </c>
      <c r="L208" s="109">
        <v>190.7603</v>
      </c>
      <c r="M208" s="124">
        <v>45919049</v>
      </c>
    </row>
    <row r="209" spans="1:13" ht="13.5" customHeight="1" x14ac:dyDescent="0.35">
      <c r="A209" s="97" t="s">
        <v>40</v>
      </c>
      <c r="B209" s="117">
        <v>2020</v>
      </c>
      <c r="C209" s="98">
        <v>3.81</v>
      </c>
      <c r="D209" s="99">
        <v>50.59</v>
      </c>
      <c r="E209" s="100">
        <v>7.4741999999999997</v>
      </c>
      <c r="F209" s="101">
        <v>10.061199999999999</v>
      </c>
      <c r="G209" s="77">
        <v>51365</v>
      </c>
      <c r="H209" s="102">
        <v>10.8467</v>
      </c>
      <c r="I209" s="85">
        <v>14.1</v>
      </c>
      <c r="J209" s="117">
        <v>0</v>
      </c>
      <c r="K209" s="125">
        <v>1</v>
      </c>
      <c r="L209" s="101">
        <v>190.7603</v>
      </c>
      <c r="M209" s="118">
        <v>46289333</v>
      </c>
    </row>
    <row r="210" spans="1:13" ht="13.5" customHeight="1" x14ac:dyDescent="0.35">
      <c r="A210" s="105" t="s">
        <v>40</v>
      </c>
      <c r="B210" s="119">
        <v>2021</v>
      </c>
      <c r="C210" s="106">
        <v>3.48</v>
      </c>
      <c r="D210" s="120">
        <v>129.04</v>
      </c>
      <c r="E210" s="108">
        <v>7.3914</v>
      </c>
      <c r="F210" s="121">
        <v>11.0053</v>
      </c>
      <c r="G210" s="122">
        <v>58302</v>
      </c>
      <c r="H210" s="123">
        <v>10.9734</v>
      </c>
      <c r="I210" s="89">
        <v>13.5</v>
      </c>
      <c r="J210" s="119">
        <v>0</v>
      </c>
      <c r="K210" s="125">
        <v>1</v>
      </c>
      <c r="L210" s="109">
        <v>190.7603</v>
      </c>
      <c r="M210" s="124">
        <v>46649132</v>
      </c>
    </row>
    <row r="211" spans="1:13" ht="13.5" customHeight="1" x14ac:dyDescent="0.35">
      <c r="A211" s="97" t="s">
        <v>40</v>
      </c>
      <c r="B211" s="117">
        <v>2022</v>
      </c>
      <c r="C211" s="98">
        <v>3.71</v>
      </c>
      <c r="D211" s="99">
        <v>190.76</v>
      </c>
      <c r="E211" s="100">
        <v>7.4078999999999997</v>
      </c>
      <c r="F211" s="101">
        <v>11.347099999999999</v>
      </c>
      <c r="G211" s="77">
        <v>70485</v>
      </c>
      <c r="H211" s="102">
        <v>11.1632</v>
      </c>
      <c r="I211" s="85">
        <v>9.1</v>
      </c>
      <c r="J211" s="117">
        <v>0</v>
      </c>
      <c r="K211" s="117">
        <v>0</v>
      </c>
      <c r="L211" s="101">
        <v>190.7603</v>
      </c>
      <c r="M211" s="118">
        <v>44411238</v>
      </c>
    </row>
    <row r="212" spans="1:13" ht="13.5" customHeight="1" x14ac:dyDescent="0.35">
      <c r="A212" s="105" t="s">
        <v>40</v>
      </c>
      <c r="B212" s="119">
        <v>2023</v>
      </c>
      <c r="C212" s="106">
        <v>3.29</v>
      </c>
      <c r="D212" s="120">
        <v>0.44</v>
      </c>
      <c r="E212" s="108">
        <v>7.2876000000000003</v>
      </c>
      <c r="F212" s="121">
        <v>5.2781000000000002</v>
      </c>
      <c r="G212" s="122">
        <v>77566</v>
      </c>
      <c r="H212" s="123">
        <v>11.258900000000001</v>
      </c>
      <c r="I212" s="89">
        <v>7.6</v>
      </c>
      <c r="J212" s="126">
        <v>1</v>
      </c>
      <c r="K212" s="119">
        <v>0</v>
      </c>
      <c r="L212" s="109">
        <v>190.7603</v>
      </c>
      <c r="M212" s="124">
        <v>44411238</v>
      </c>
    </row>
    <row r="213" spans="1:13" ht="13.5" customHeight="1" x14ac:dyDescent="0.35">
      <c r="A213" s="97" t="s">
        <v>41</v>
      </c>
      <c r="B213" s="117">
        <v>2016</v>
      </c>
      <c r="C213" s="98">
        <v>19.77</v>
      </c>
      <c r="D213" s="99">
        <v>3.85</v>
      </c>
      <c r="E213" s="100">
        <v>5.7137000000000002</v>
      </c>
      <c r="F213" s="101">
        <v>4.0774999999999997</v>
      </c>
      <c r="G213" s="77">
        <v>20605</v>
      </c>
      <c r="H213" s="102">
        <v>9.9332999999999991</v>
      </c>
      <c r="I213" s="85">
        <v>11.5</v>
      </c>
      <c r="J213" s="117">
        <v>0</v>
      </c>
      <c r="K213" s="117">
        <v>0</v>
      </c>
      <c r="L213" s="101">
        <v>202.18860000000001</v>
      </c>
      <c r="M213" s="118">
        <v>1532902</v>
      </c>
    </row>
    <row r="214" spans="1:13" ht="13.5" customHeight="1" x14ac:dyDescent="0.35">
      <c r="A214" s="105" t="s">
        <v>41</v>
      </c>
      <c r="B214" s="119">
        <v>2017</v>
      </c>
      <c r="C214" s="106">
        <v>20.71</v>
      </c>
      <c r="D214" s="120">
        <v>3.74</v>
      </c>
      <c r="E214" s="108">
        <v>5.7713999999999999</v>
      </c>
      <c r="F214" s="121">
        <v>4.0603999999999996</v>
      </c>
      <c r="G214" s="122">
        <v>22002</v>
      </c>
      <c r="H214" s="123">
        <v>9.9989000000000008</v>
      </c>
      <c r="I214" s="89">
        <v>11.7</v>
      </c>
      <c r="J214" s="119">
        <v>0</v>
      </c>
      <c r="K214" s="119">
        <v>0</v>
      </c>
      <c r="L214" s="109">
        <v>202.18860000000001</v>
      </c>
      <c r="M214" s="124">
        <v>1550194</v>
      </c>
    </row>
    <row r="215" spans="1:13" ht="13.5" customHeight="1" x14ac:dyDescent="0.35">
      <c r="A215" s="97" t="s">
        <v>41</v>
      </c>
      <c r="B215" s="117">
        <v>2018</v>
      </c>
      <c r="C215" s="98">
        <v>19.739999999999998</v>
      </c>
      <c r="D215" s="99">
        <v>6.62</v>
      </c>
      <c r="E215" s="100">
        <v>5.7267999999999999</v>
      </c>
      <c r="F215" s="101">
        <v>4.6346999999999996</v>
      </c>
      <c r="G215" s="77">
        <v>22933</v>
      </c>
      <c r="H215" s="102">
        <v>10.0403</v>
      </c>
      <c r="I215" s="85">
        <v>10.7</v>
      </c>
      <c r="J215" s="117">
        <v>0</v>
      </c>
      <c r="K215" s="117">
        <v>0</v>
      </c>
      <c r="L215" s="101">
        <v>202.18860000000001</v>
      </c>
      <c r="M215" s="118">
        <v>1555229</v>
      </c>
    </row>
    <row r="216" spans="1:13" ht="13.5" customHeight="1" x14ac:dyDescent="0.35">
      <c r="A216" s="105" t="s">
        <v>41</v>
      </c>
      <c r="B216" s="119">
        <v>2019</v>
      </c>
      <c r="C216" s="106">
        <v>15.7</v>
      </c>
      <c r="D216" s="120">
        <v>27.47</v>
      </c>
      <c r="E216" s="108">
        <v>5.5094000000000003</v>
      </c>
      <c r="F216" s="121">
        <v>6.0683999999999996</v>
      </c>
      <c r="G216" s="122">
        <v>25022</v>
      </c>
      <c r="H216" s="123">
        <v>10.1275</v>
      </c>
      <c r="I216" s="89">
        <v>11</v>
      </c>
      <c r="J216" s="119">
        <v>0</v>
      </c>
      <c r="K216" s="119">
        <v>0</v>
      </c>
      <c r="L216" s="109">
        <v>202.18860000000001</v>
      </c>
      <c r="M216" s="124">
        <v>1572866</v>
      </c>
    </row>
    <row r="217" spans="1:13" ht="13.5" customHeight="1" x14ac:dyDescent="0.35">
      <c r="A217" s="97" t="s">
        <v>41</v>
      </c>
      <c r="B217" s="117">
        <v>2020</v>
      </c>
      <c r="C217" s="98">
        <v>17.29</v>
      </c>
      <c r="D217" s="99">
        <v>47.35</v>
      </c>
      <c r="E217" s="100">
        <v>5.6167999999999996</v>
      </c>
      <c r="F217" s="101">
        <v>6.6241000000000003</v>
      </c>
      <c r="G217" s="77">
        <v>27448</v>
      </c>
      <c r="H217" s="102">
        <v>10.2201</v>
      </c>
      <c r="I217" s="85">
        <v>12.1</v>
      </c>
      <c r="J217" s="117">
        <v>0</v>
      </c>
      <c r="K217" s="125">
        <v>1</v>
      </c>
      <c r="L217" s="101">
        <v>202.18860000000001</v>
      </c>
      <c r="M217" s="118">
        <v>1590248</v>
      </c>
    </row>
    <row r="218" spans="1:13" ht="13.5" customHeight="1" x14ac:dyDescent="0.35">
      <c r="A218" s="105" t="s">
        <v>41</v>
      </c>
      <c r="B218" s="119">
        <v>2021</v>
      </c>
      <c r="C218" s="106">
        <v>15.62</v>
      </c>
      <c r="D218" s="120">
        <v>100.91</v>
      </c>
      <c r="E218" s="108">
        <v>5.5255000000000001</v>
      </c>
      <c r="F218" s="121">
        <v>7.3914</v>
      </c>
      <c r="G218" s="122">
        <v>32215</v>
      </c>
      <c r="H218" s="123">
        <v>10.3802</v>
      </c>
      <c r="I218" s="89">
        <v>13.4</v>
      </c>
      <c r="J218" s="119">
        <v>0</v>
      </c>
      <c r="K218" s="125">
        <v>1</v>
      </c>
      <c r="L218" s="109">
        <v>202.18860000000001</v>
      </c>
      <c r="M218" s="124">
        <v>1607363</v>
      </c>
    </row>
    <row r="219" spans="1:13" ht="13.5" customHeight="1" x14ac:dyDescent="0.35">
      <c r="A219" s="97" t="s">
        <v>41</v>
      </c>
      <c r="B219" s="117">
        <v>2022</v>
      </c>
      <c r="C219" s="98">
        <v>16.41</v>
      </c>
      <c r="D219" s="99">
        <v>202.19</v>
      </c>
      <c r="E219" s="100">
        <v>5.5133999999999999</v>
      </c>
      <c r="F219" s="101">
        <v>8.0249000000000006</v>
      </c>
      <c r="G219" s="77">
        <v>38512</v>
      </c>
      <c r="H219" s="102">
        <v>10.5587</v>
      </c>
      <c r="I219" s="85">
        <v>6.4</v>
      </c>
      <c r="J219" s="117">
        <v>0</v>
      </c>
      <c r="K219" s="117">
        <v>0</v>
      </c>
      <c r="L219" s="101">
        <v>202.18860000000001</v>
      </c>
      <c r="M219" s="118">
        <v>1511460</v>
      </c>
    </row>
    <row r="220" spans="1:13" ht="13.5" customHeight="1" x14ac:dyDescent="0.35">
      <c r="A220" s="105" t="s">
        <v>41</v>
      </c>
      <c r="B220" s="119">
        <v>2023</v>
      </c>
      <c r="C220" s="106">
        <v>17.670000000000002</v>
      </c>
      <c r="D220" s="120">
        <v>0.33</v>
      </c>
      <c r="E220" s="108">
        <v>5.5872000000000002</v>
      </c>
      <c r="F220" s="121">
        <v>1.6093999999999999</v>
      </c>
      <c r="G220" s="122">
        <v>42553</v>
      </c>
      <c r="H220" s="123">
        <v>10.6585</v>
      </c>
      <c r="I220" s="89">
        <v>6.1</v>
      </c>
      <c r="J220" s="126">
        <v>1</v>
      </c>
      <c r="K220" s="119">
        <v>0</v>
      </c>
      <c r="L220" s="109">
        <v>202.18860000000001</v>
      </c>
      <c r="M220" s="124">
        <v>1511460</v>
      </c>
    </row>
    <row r="221" spans="1:13" ht="13.5" customHeight="1" x14ac:dyDescent="0.35">
      <c r="A221" s="193" t="s">
        <v>15</v>
      </c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5"/>
      <c r="M221" s="128">
        <v>880631</v>
      </c>
    </row>
    <row r="222" spans="1:13" ht="13.5" customHeight="1" x14ac:dyDescent="0.35">
      <c r="A222" s="129" t="s">
        <v>16</v>
      </c>
      <c r="B222" s="130">
        <v>2024</v>
      </c>
      <c r="C222" s="131">
        <v>27.61</v>
      </c>
      <c r="D222" s="131">
        <v>16.52</v>
      </c>
      <c r="E222" s="132">
        <v>6.7900999999999998</v>
      </c>
      <c r="F222" s="132">
        <v>6.2766000000000002</v>
      </c>
      <c r="G222" s="133">
        <v>30268</v>
      </c>
      <c r="H222" s="134">
        <v>10.3178</v>
      </c>
      <c r="I222" s="135">
        <v>8.6</v>
      </c>
      <c r="J222" s="136">
        <v>1</v>
      </c>
      <c r="K222" s="136">
        <v>0</v>
      </c>
      <c r="L222" s="132">
        <v>111.52030000000001</v>
      </c>
      <c r="M222" s="137">
        <v>3220104</v>
      </c>
    </row>
    <row r="223" spans="1:13" ht="13.5" customHeight="1" x14ac:dyDescent="0.35">
      <c r="A223" s="127" t="s">
        <v>17</v>
      </c>
      <c r="B223" s="138">
        <v>2024</v>
      </c>
      <c r="C223" s="139">
        <v>17.71</v>
      </c>
      <c r="D223" s="139">
        <v>2.85</v>
      </c>
      <c r="E223" s="140">
        <v>6.6307</v>
      </c>
      <c r="F223" s="140">
        <v>4.8040000000000003</v>
      </c>
      <c r="G223" s="141">
        <v>41557</v>
      </c>
      <c r="H223" s="142">
        <v>10.6348</v>
      </c>
      <c r="I223" s="143">
        <v>8.8000000000000007</v>
      </c>
      <c r="J223" s="144">
        <v>1</v>
      </c>
      <c r="K223" s="144">
        <v>0</v>
      </c>
      <c r="L223" s="140">
        <v>101.60809999999999</v>
      </c>
      <c r="M223" s="128">
        <v>4281209</v>
      </c>
    </row>
    <row r="224" spans="1:13" ht="13.5" customHeight="1" x14ac:dyDescent="0.35">
      <c r="A224" s="129" t="s">
        <v>18</v>
      </c>
      <c r="B224" s="130">
        <v>2024</v>
      </c>
      <c r="C224" s="131">
        <v>24.41</v>
      </c>
      <c r="D224" s="131">
        <v>8.2200000000000006</v>
      </c>
      <c r="E224" s="132">
        <v>5.2781000000000002</v>
      </c>
      <c r="F224" s="132">
        <v>4.1897000000000002</v>
      </c>
      <c r="G224" s="133">
        <v>39592</v>
      </c>
      <c r="H224" s="134">
        <v>10.586399999999999</v>
      </c>
      <c r="I224" s="135">
        <v>9.3000000000000007</v>
      </c>
      <c r="J224" s="136">
        <v>1</v>
      </c>
      <c r="K224" s="136">
        <v>0</v>
      </c>
      <c r="L224" s="132">
        <v>75.092799999999997</v>
      </c>
      <c r="M224" s="137">
        <v>802837</v>
      </c>
    </row>
    <row r="225" spans="1:13" ht="13.5" customHeight="1" x14ac:dyDescent="0.35">
      <c r="A225" s="127" t="s">
        <v>19</v>
      </c>
      <c r="B225" s="138">
        <v>2024</v>
      </c>
      <c r="C225" s="139">
        <v>25.43</v>
      </c>
      <c r="D225" s="139">
        <v>10.38</v>
      </c>
      <c r="E225" s="140">
        <v>8.2367000000000008</v>
      </c>
      <c r="F225" s="140">
        <v>7.3402000000000003</v>
      </c>
      <c r="G225" s="141">
        <v>31312</v>
      </c>
      <c r="H225" s="142">
        <v>10.351800000000001</v>
      </c>
      <c r="I225" s="143">
        <v>11.2</v>
      </c>
      <c r="J225" s="144">
        <v>1</v>
      </c>
      <c r="K225" s="144">
        <v>0</v>
      </c>
      <c r="L225" s="140">
        <v>83.590100000000007</v>
      </c>
      <c r="M225" s="128">
        <v>14850513</v>
      </c>
    </row>
    <row r="226" spans="1:13" ht="13.5" customHeight="1" x14ac:dyDescent="0.35">
      <c r="A226" s="129" t="s">
        <v>20</v>
      </c>
      <c r="B226" s="130">
        <v>2024</v>
      </c>
      <c r="C226" s="131">
        <v>29.3</v>
      </c>
      <c r="D226" s="131">
        <v>14.34</v>
      </c>
      <c r="E226" s="132">
        <v>7.9028999999999998</v>
      </c>
      <c r="F226" s="132">
        <v>7.1883999999999997</v>
      </c>
      <c r="G226" s="133">
        <v>27101</v>
      </c>
      <c r="H226" s="134">
        <v>10.2073</v>
      </c>
      <c r="I226" s="135">
        <v>7.3</v>
      </c>
      <c r="J226" s="136">
        <v>1</v>
      </c>
      <c r="K226" s="136">
        <v>0</v>
      </c>
      <c r="L226" s="132">
        <v>73.200999999999993</v>
      </c>
      <c r="M226" s="137">
        <v>9233656</v>
      </c>
    </row>
    <row r="227" spans="1:13" ht="13.5" customHeight="1" x14ac:dyDescent="0.35">
      <c r="A227" s="127" t="s">
        <v>21</v>
      </c>
      <c r="B227" s="138">
        <v>2024</v>
      </c>
      <c r="C227" s="139">
        <v>3.69</v>
      </c>
      <c r="D227" s="139">
        <v>38.49</v>
      </c>
      <c r="E227" s="140">
        <v>4.7004999999999999</v>
      </c>
      <c r="F227" s="140">
        <v>7.0457999999999998</v>
      </c>
      <c r="G227" s="141">
        <v>136149</v>
      </c>
      <c r="H227" s="142">
        <v>11.8215</v>
      </c>
      <c r="I227" s="143">
        <v>9.1999999999999993</v>
      </c>
      <c r="J227" s="144">
        <v>1</v>
      </c>
      <c r="K227" s="144">
        <v>0</v>
      </c>
      <c r="L227" s="140">
        <v>385.49990000000003</v>
      </c>
      <c r="M227" s="128">
        <v>2982818</v>
      </c>
    </row>
    <row r="228" spans="1:13" ht="13.5" customHeight="1" x14ac:dyDescent="0.35">
      <c r="A228" s="129" t="s">
        <v>22</v>
      </c>
      <c r="B228" s="130">
        <v>2024</v>
      </c>
      <c r="C228" s="131">
        <v>18.14</v>
      </c>
      <c r="D228" s="131">
        <v>12.55</v>
      </c>
      <c r="E228" s="132">
        <v>6.6120000000000001</v>
      </c>
      <c r="F228" s="132">
        <v>6.2442000000000002</v>
      </c>
      <c r="G228" s="133">
        <v>53393</v>
      </c>
      <c r="H228" s="134">
        <v>10.885400000000001</v>
      </c>
      <c r="I228" s="135">
        <v>4.7</v>
      </c>
      <c r="J228" s="136">
        <v>1</v>
      </c>
      <c r="K228" s="136">
        <v>0</v>
      </c>
      <c r="L228" s="132">
        <v>78.644400000000005</v>
      </c>
      <c r="M228" s="137">
        <v>4102129</v>
      </c>
    </row>
    <row r="229" spans="1:13" ht="13.5" customHeight="1" x14ac:dyDescent="0.35">
      <c r="A229" s="127" t="s">
        <v>23</v>
      </c>
      <c r="B229" s="138">
        <v>2024</v>
      </c>
      <c r="C229" s="139">
        <v>8.6300000000000008</v>
      </c>
      <c r="D229" s="139">
        <v>68.7</v>
      </c>
      <c r="E229" s="140">
        <v>6.452</v>
      </c>
      <c r="F229" s="140">
        <v>8.5271000000000008</v>
      </c>
      <c r="G229" s="141">
        <v>50470</v>
      </c>
      <c r="H229" s="142">
        <v>10.8291</v>
      </c>
      <c r="I229" s="143">
        <v>5.4</v>
      </c>
      <c r="J229" s="144">
        <v>1</v>
      </c>
      <c r="K229" s="144">
        <v>0</v>
      </c>
      <c r="L229" s="140">
        <v>412.65530000000001</v>
      </c>
      <c r="M229" s="128">
        <v>7350483</v>
      </c>
    </row>
    <row r="230" spans="1:13" ht="13.5" customHeight="1" x14ac:dyDescent="0.35">
      <c r="A230" s="129" t="s">
        <v>24</v>
      </c>
      <c r="B230" s="130">
        <v>2024</v>
      </c>
      <c r="C230" s="131">
        <v>22.42</v>
      </c>
      <c r="D230" s="131">
        <v>7.32</v>
      </c>
      <c r="E230" s="132">
        <v>7.3601000000000001</v>
      </c>
      <c r="F230" s="132">
        <v>6.2403000000000004</v>
      </c>
      <c r="G230" s="133">
        <v>22544</v>
      </c>
      <c r="H230" s="134">
        <v>10.023199999999999</v>
      </c>
      <c r="I230" s="135">
        <v>7.7</v>
      </c>
      <c r="J230" s="136">
        <v>1</v>
      </c>
      <c r="K230" s="136">
        <v>0</v>
      </c>
      <c r="L230" s="132">
        <v>73.531400000000005</v>
      </c>
      <c r="M230" s="137">
        <v>7010960</v>
      </c>
    </row>
    <row r="231" spans="1:13" ht="13.5" customHeight="1" x14ac:dyDescent="0.35">
      <c r="A231" s="127" t="s">
        <v>25</v>
      </c>
      <c r="B231" s="138">
        <v>2024</v>
      </c>
      <c r="C231" s="139">
        <v>7.89</v>
      </c>
      <c r="D231" s="139">
        <v>36.42</v>
      </c>
      <c r="E231" s="140">
        <v>7.4276999999999997</v>
      </c>
      <c r="F231" s="140">
        <v>8.9574999999999996</v>
      </c>
      <c r="G231" s="141">
        <v>48462</v>
      </c>
      <c r="H231" s="142">
        <v>10.788500000000001</v>
      </c>
      <c r="I231" s="143">
        <v>5.2</v>
      </c>
      <c r="J231" s="144">
        <v>1</v>
      </c>
      <c r="K231" s="144">
        <v>0</v>
      </c>
      <c r="L231" s="140">
        <v>178.18899999999999</v>
      </c>
      <c r="M231" s="128">
        <v>21322691</v>
      </c>
    </row>
    <row r="232" spans="1:13" ht="13.5" customHeight="1" x14ac:dyDescent="0.35">
      <c r="A232" s="129" t="s">
        <v>26</v>
      </c>
      <c r="B232" s="130">
        <v>2024</v>
      </c>
      <c r="C232" s="131">
        <v>7.48</v>
      </c>
      <c r="D232" s="131">
        <v>40.659999999999997</v>
      </c>
      <c r="E232" s="132">
        <v>5.3799000000000001</v>
      </c>
      <c r="F232" s="132">
        <v>7.0732999999999997</v>
      </c>
      <c r="G232" s="133">
        <v>69436</v>
      </c>
      <c r="H232" s="134">
        <v>11.148199999999999</v>
      </c>
      <c r="I232" s="135">
        <v>4</v>
      </c>
      <c r="J232" s="136">
        <v>1</v>
      </c>
      <c r="K232" s="136">
        <v>0</v>
      </c>
      <c r="L232" s="132">
        <v>325.67860000000002</v>
      </c>
      <c r="M232" s="137">
        <v>2901895</v>
      </c>
    </row>
    <row r="233" spans="1:13" ht="13.5" customHeight="1" x14ac:dyDescent="0.35">
      <c r="A233" s="127" t="s">
        <v>27</v>
      </c>
      <c r="B233" s="138">
        <v>2024</v>
      </c>
      <c r="C233" s="139">
        <v>18.059999999999999</v>
      </c>
      <c r="D233" s="139">
        <v>58.75</v>
      </c>
      <c r="E233" s="140">
        <v>6.5410000000000004</v>
      </c>
      <c r="F233" s="140">
        <v>7.7205000000000004</v>
      </c>
      <c r="G233" s="141">
        <v>75843</v>
      </c>
      <c r="H233" s="142">
        <v>11.2364</v>
      </c>
      <c r="I233" s="143">
        <v>2.9</v>
      </c>
      <c r="J233" s="144">
        <v>1</v>
      </c>
      <c r="K233" s="144">
        <v>0</v>
      </c>
      <c r="L233" s="140">
        <v>362.75689999999997</v>
      </c>
      <c r="M233" s="128">
        <v>3836399</v>
      </c>
    </row>
    <row r="234" spans="1:13" ht="13.5" customHeight="1" x14ac:dyDescent="0.35">
      <c r="A234" s="129" t="s">
        <v>28</v>
      </c>
      <c r="B234" s="130">
        <v>2024</v>
      </c>
      <c r="C234" s="131">
        <v>18</v>
      </c>
      <c r="D234" s="131">
        <v>11.15</v>
      </c>
      <c r="E234" s="132">
        <v>7.3524000000000003</v>
      </c>
      <c r="F234" s="132">
        <v>6.8731999999999998</v>
      </c>
      <c r="G234" s="133">
        <v>30179</v>
      </c>
      <c r="H234" s="134">
        <v>10.3149</v>
      </c>
      <c r="I234" s="135">
        <v>7.5</v>
      </c>
      <c r="J234" s="136">
        <v>1</v>
      </c>
      <c r="K234" s="136">
        <v>0</v>
      </c>
      <c r="L234" s="132">
        <v>75.466800000000006</v>
      </c>
      <c r="M234" s="137">
        <v>8664306</v>
      </c>
    </row>
    <row r="235" spans="1:13" ht="13.5" customHeight="1" x14ac:dyDescent="0.35">
      <c r="A235" s="127" t="s">
        <v>29</v>
      </c>
      <c r="B235" s="138">
        <v>2024</v>
      </c>
      <c r="C235" s="139">
        <v>21.52</v>
      </c>
      <c r="D235" s="139">
        <v>13.05</v>
      </c>
      <c r="E235" s="140">
        <v>6.7934999999999999</v>
      </c>
      <c r="F235" s="140">
        <v>6.2934000000000001</v>
      </c>
      <c r="G235" s="141">
        <v>25683</v>
      </c>
      <c r="H235" s="142">
        <v>10.153600000000001</v>
      </c>
      <c r="I235" s="143">
        <v>8.6999999999999993</v>
      </c>
      <c r="J235" s="144">
        <v>1</v>
      </c>
      <c r="K235" s="144">
        <v>0</v>
      </c>
      <c r="L235" s="140">
        <v>93.391000000000005</v>
      </c>
      <c r="M235" s="128">
        <v>4145040</v>
      </c>
    </row>
    <row r="236" spans="1:13" ht="13.5" customHeight="1" x14ac:dyDescent="0.35">
      <c r="A236" s="129" t="s">
        <v>30</v>
      </c>
      <c r="B236" s="130">
        <v>2024</v>
      </c>
      <c r="C236" s="131">
        <v>29.09</v>
      </c>
      <c r="D236" s="131">
        <v>10.01</v>
      </c>
      <c r="E236" s="132">
        <v>7.9283999999999999</v>
      </c>
      <c r="F236" s="132">
        <v>6.8616999999999999</v>
      </c>
      <c r="G236" s="133">
        <v>30956</v>
      </c>
      <c r="H236" s="134">
        <v>10.340299999999999</v>
      </c>
      <c r="I236" s="135">
        <v>11.1</v>
      </c>
      <c r="J236" s="136">
        <v>1</v>
      </c>
      <c r="K236" s="136">
        <v>0</v>
      </c>
      <c r="L236" s="132">
        <v>91.699600000000004</v>
      </c>
      <c r="M236" s="137">
        <v>9539029</v>
      </c>
    </row>
    <row r="237" spans="1:13" ht="13.5" customHeight="1" x14ac:dyDescent="0.35">
      <c r="A237" s="127" t="s">
        <v>31</v>
      </c>
      <c r="B237" s="138">
        <v>2024</v>
      </c>
      <c r="C237" s="139">
        <v>14.31</v>
      </c>
      <c r="D237" s="139">
        <v>8.06</v>
      </c>
      <c r="E237" s="140">
        <v>6.18</v>
      </c>
      <c r="F237" s="140">
        <v>5.6058000000000003</v>
      </c>
      <c r="G237" s="141">
        <v>26337</v>
      </c>
      <c r="H237" s="142">
        <v>10.178699999999999</v>
      </c>
      <c r="I237" s="143">
        <v>8.5</v>
      </c>
      <c r="J237" s="144">
        <v>1</v>
      </c>
      <c r="K237" s="144">
        <v>0</v>
      </c>
      <c r="L237" s="140">
        <v>43.592599999999997</v>
      </c>
      <c r="M237" s="128">
        <v>3375646</v>
      </c>
    </row>
    <row r="238" spans="1:13" ht="13.5" customHeight="1" x14ac:dyDescent="0.35">
      <c r="A238" s="129" t="s">
        <v>32</v>
      </c>
      <c r="B238" s="130">
        <v>2024</v>
      </c>
      <c r="C238" s="131">
        <v>9.26</v>
      </c>
      <c r="D238" s="131">
        <v>45.04</v>
      </c>
      <c r="E238" s="132">
        <v>6.9984999999999999</v>
      </c>
      <c r="F238" s="132">
        <v>8.5803999999999991</v>
      </c>
      <c r="G238" s="133">
        <v>61827</v>
      </c>
      <c r="H238" s="134">
        <v>11.0321</v>
      </c>
      <c r="I238" s="135">
        <v>4</v>
      </c>
      <c r="J238" s="136">
        <v>1</v>
      </c>
      <c r="K238" s="136">
        <v>0</v>
      </c>
      <c r="L238" s="132">
        <v>339.46789999999999</v>
      </c>
      <c r="M238" s="137">
        <v>11824665</v>
      </c>
    </row>
    <row r="239" spans="1:13" ht="13.5" customHeight="1" x14ac:dyDescent="0.35">
      <c r="A239" s="127" t="s">
        <v>33</v>
      </c>
      <c r="B239" s="138">
        <v>2024</v>
      </c>
      <c r="C239" s="139">
        <v>11.81</v>
      </c>
      <c r="D239" s="139">
        <v>15.89</v>
      </c>
      <c r="E239" s="140">
        <v>7.6173000000000002</v>
      </c>
      <c r="F239" s="140">
        <v>7.9142999999999999</v>
      </c>
      <c r="G239" s="141">
        <v>74008</v>
      </c>
      <c r="H239" s="142">
        <v>11.2119</v>
      </c>
      <c r="I239" s="143">
        <v>9</v>
      </c>
      <c r="J239" s="144">
        <v>1</v>
      </c>
      <c r="K239" s="144">
        <v>0</v>
      </c>
      <c r="L239" s="140">
        <v>91.596599999999995</v>
      </c>
      <c r="M239" s="128">
        <v>17219679</v>
      </c>
    </row>
    <row r="240" spans="1:13" ht="13.5" customHeight="1" x14ac:dyDescent="0.35">
      <c r="A240" s="129" t="s">
        <v>34</v>
      </c>
      <c r="B240" s="130">
        <v>2024</v>
      </c>
      <c r="C240" s="131">
        <v>17.59</v>
      </c>
      <c r="D240" s="131">
        <v>18.920000000000002</v>
      </c>
      <c r="E240" s="132">
        <v>6.4069000000000003</v>
      </c>
      <c r="F240" s="132">
        <v>6.48</v>
      </c>
      <c r="G240" s="133">
        <v>32670</v>
      </c>
      <c r="H240" s="134">
        <v>10.3942</v>
      </c>
      <c r="I240" s="135">
        <v>9.1</v>
      </c>
      <c r="J240" s="136">
        <v>1</v>
      </c>
      <c r="K240" s="136">
        <v>0</v>
      </c>
      <c r="L240" s="132">
        <v>74.998599999999996</v>
      </c>
      <c r="M240" s="137">
        <v>3446071</v>
      </c>
    </row>
    <row r="241" spans="1:13" ht="13.5" customHeight="1" x14ac:dyDescent="0.35">
      <c r="A241" s="127" t="s">
        <v>35</v>
      </c>
      <c r="B241" s="138">
        <v>2024</v>
      </c>
      <c r="C241" s="139">
        <v>18.96</v>
      </c>
      <c r="D241" s="139">
        <v>21.65</v>
      </c>
      <c r="E241" s="140">
        <v>5.8021000000000003</v>
      </c>
      <c r="F241" s="140">
        <v>5.9348999999999998</v>
      </c>
      <c r="G241" s="141">
        <v>48766</v>
      </c>
      <c r="H241" s="142">
        <v>10.7948</v>
      </c>
      <c r="I241" s="143">
        <v>2.9</v>
      </c>
      <c r="J241" s="144">
        <v>1</v>
      </c>
      <c r="K241" s="144">
        <v>0</v>
      </c>
      <c r="L241" s="140">
        <v>351.00009999999997</v>
      </c>
      <c r="M241" s="128">
        <v>1746227</v>
      </c>
    </row>
    <row r="242" spans="1:13" ht="13.5" customHeight="1" x14ac:dyDescent="0.35">
      <c r="A242" s="129" t="s">
        <v>36</v>
      </c>
      <c r="B242" s="130">
        <v>2024</v>
      </c>
      <c r="C242" s="131">
        <v>9.6300000000000008</v>
      </c>
      <c r="D242" s="131">
        <v>7.81</v>
      </c>
      <c r="E242" s="132">
        <v>4.2340999999999998</v>
      </c>
      <c r="F242" s="132">
        <v>4.0254000000000003</v>
      </c>
      <c r="G242" s="133">
        <v>39946</v>
      </c>
      <c r="H242" s="134">
        <v>10.5953</v>
      </c>
      <c r="I242" s="135">
        <v>6.8</v>
      </c>
      <c r="J242" s="136">
        <v>1</v>
      </c>
      <c r="K242" s="136">
        <v>0</v>
      </c>
      <c r="L242" s="132">
        <v>80.884900000000002</v>
      </c>
      <c r="M242" s="137">
        <v>716793</v>
      </c>
    </row>
    <row r="243" spans="1:13" ht="13.5" customHeight="1" x14ac:dyDescent="0.35">
      <c r="A243" s="127" t="s">
        <v>37</v>
      </c>
      <c r="B243" s="138">
        <v>2024</v>
      </c>
      <c r="C243" s="139">
        <v>10.93</v>
      </c>
      <c r="D243" s="139">
        <v>47.75</v>
      </c>
      <c r="E243" s="140">
        <v>7.1123000000000003</v>
      </c>
      <c r="F243" s="140">
        <v>8.5870999999999995</v>
      </c>
      <c r="G243" s="141">
        <v>61199</v>
      </c>
      <c r="H243" s="142">
        <v>11.0219</v>
      </c>
      <c r="I243" s="143">
        <v>5.0999999999999996</v>
      </c>
      <c r="J243" s="144">
        <v>1</v>
      </c>
      <c r="K243" s="144">
        <v>0</v>
      </c>
      <c r="L243" s="140">
        <v>273.30790000000002</v>
      </c>
      <c r="M243" s="128">
        <v>11229915</v>
      </c>
    </row>
    <row r="244" spans="1:13" ht="13.5" customHeight="1" x14ac:dyDescent="0.35">
      <c r="A244" s="129" t="s">
        <v>38</v>
      </c>
      <c r="B244" s="130">
        <v>2024</v>
      </c>
      <c r="C244" s="131">
        <v>3.78</v>
      </c>
      <c r="D244" s="131">
        <v>72.78</v>
      </c>
      <c r="E244" s="132">
        <v>5.7202999999999999</v>
      </c>
      <c r="F244" s="132">
        <v>8.6768000000000001</v>
      </c>
      <c r="G244" s="133">
        <v>69506</v>
      </c>
      <c r="H244" s="134">
        <v>11.1492</v>
      </c>
      <c r="I244" s="135">
        <v>3.1</v>
      </c>
      <c r="J244" s="136">
        <v>1</v>
      </c>
      <c r="K244" s="136">
        <v>0</v>
      </c>
      <c r="L244" s="132">
        <v>371.16500000000002</v>
      </c>
      <c r="M244" s="137">
        <v>8058441</v>
      </c>
    </row>
    <row r="245" spans="1:13" ht="13.5" customHeight="1" x14ac:dyDescent="0.35">
      <c r="A245" s="127" t="s">
        <v>39</v>
      </c>
      <c r="B245" s="138">
        <v>2024</v>
      </c>
      <c r="C245" s="139">
        <v>17.28</v>
      </c>
      <c r="D245" s="139">
        <v>1.05</v>
      </c>
      <c r="E245" s="140">
        <v>5.9813999999999998</v>
      </c>
      <c r="F245" s="140">
        <v>3.1781000000000001</v>
      </c>
      <c r="G245" s="141">
        <v>28579</v>
      </c>
      <c r="H245" s="142">
        <v>10.260400000000001</v>
      </c>
      <c r="I245" s="143">
        <v>8.9</v>
      </c>
      <c r="J245" s="144">
        <v>1</v>
      </c>
      <c r="K245" s="144">
        <v>0</v>
      </c>
      <c r="L245" s="140">
        <v>47.420699999999997</v>
      </c>
      <c r="M245" s="128">
        <v>2291077</v>
      </c>
    </row>
    <row r="246" spans="1:13" ht="13.5" customHeight="1" x14ac:dyDescent="0.35">
      <c r="A246" s="129" t="s">
        <v>40</v>
      </c>
      <c r="B246" s="130">
        <v>2024</v>
      </c>
      <c r="C246" s="131">
        <v>3.13</v>
      </c>
      <c r="D246" s="131">
        <v>59.74</v>
      </c>
      <c r="E246" s="132">
        <v>7.2724000000000002</v>
      </c>
      <c r="F246" s="132">
        <v>10.220599999999999</v>
      </c>
      <c r="G246" s="133">
        <v>82767</v>
      </c>
      <c r="H246" s="134">
        <v>11.3238</v>
      </c>
      <c r="I246" s="135">
        <v>6.5</v>
      </c>
      <c r="J246" s="136">
        <v>1</v>
      </c>
      <c r="K246" s="136">
        <v>0</v>
      </c>
      <c r="L246" s="132">
        <v>190.7603</v>
      </c>
      <c r="M246" s="137">
        <v>45973194</v>
      </c>
    </row>
    <row r="247" spans="1:13" ht="13.5" customHeight="1" x14ac:dyDescent="0.35">
      <c r="A247" s="127" t="s">
        <v>41</v>
      </c>
      <c r="B247" s="138">
        <v>2024</v>
      </c>
      <c r="C247" s="139">
        <v>8.6199999999999992</v>
      </c>
      <c r="D247" s="139">
        <v>41.34</v>
      </c>
      <c r="E247" s="140">
        <v>4.9127000000000001</v>
      </c>
      <c r="F247" s="140">
        <v>6.48</v>
      </c>
      <c r="G247" s="141">
        <v>45296</v>
      </c>
      <c r="H247" s="142">
        <v>10.721</v>
      </c>
      <c r="I247" s="143">
        <v>5.4</v>
      </c>
      <c r="J247" s="144">
        <v>1</v>
      </c>
      <c r="K247" s="144">
        <v>0</v>
      </c>
      <c r="L247" s="140">
        <v>202.18860000000001</v>
      </c>
      <c r="M247" s="128">
        <v>1577342</v>
      </c>
    </row>
    <row r="248" spans="1:13" ht="409.6" customHeight="1" x14ac:dyDescent="0.35">
      <c r="A248" s="45" t="s">
        <v>175</v>
      </c>
    </row>
  </sheetData>
  <mergeCells count="3">
    <mergeCell ref="A2:L2"/>
    <mergeCell ref="A1:L1"/>
    <mergeCell ref="A221:L22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75"/>
  <sheetViews>
    <sheetView showGridLines="0" zoomScaleNormal="100" workbookViewId="0">
      <pane ySplit="4" topLeftCell="A43" activePane="bottomLeft" state="frozen"/>
      <selection pane="bottomLeft" activeCell="A2" sqref="A2:C2"/>
    </sheetView>
  </sheetViews>
  <sheetFormatPr defaultColWidth="8.6328125" defaultRowHeight="14.5" x14ac:dyDescent="0.35"/>
  <cols>
    <col min="1" max="2" width="7" customWidth="1"/>
    <col min="3" max="3" width="12" customWidth="1"/>
  </cols>
  <sheetData>
    <row r="1" spans="1:3" ht="19.5" customHeight="1" x14ac:dyDescent="0.35">
      <c r="A1" s="196" t="s">
        <v>176</v>
      </c>
      <c r="B1" s="186"/>
      <c r="C1" s="186"/>
    </row>
    <row r="2" spans="1:3" ht="12.75" customHeight="1" x14ac:dyDescent="0.35">
      <c r="A2" s="198" t="s">
        <v>177</v>
      </c>
      <c r="B2" s="186"/>
      <c r="C2" s="186"/>
    </row>
    <row r="3" spans="1:3" ht="19.5" customHeight="1" x14ac:dyDescent="0.35">
      <c r="A3" s="145" t="s">
        <v>149</v>
      </c>
      <c r="B3" s="145" t="s">
        <v>150</v>
      </c>
      <c r="C3" s="146" t="s">
        <v>178</v>
      </c>
    </row>
    <row r="4" spans="1:3" ht="24" customHeight="1" x14ac:dyDescent="0.35">
      <c r="A4" s="116" t="s">
        <v>162</v>
      </c>
      <c r="B4" s="116" t="s">
        <v>45</v>
      </c>
      <c r="C4" s="116" t="s">
        <v>179</v>
      </c>
    </row>
    <row r="5" spans="1:3" ht="13.5" customHeight="1" x14ac:dyDescent="0.35">
      <c r="A5" s="97" t="s">
        <v>15</v>
      </c>
      <c r="B5" s="117">
        <v>2016</v>
      </c>
      <c r="C5" s="76">
        <v>10</v>
      </c>
    </row>
    <row r="6" spans="1:3" ht="13.5" customHeight="1" x14ac:dyDescent="0.35">
      <c r="A6" s="105" t="s">
        <v>15</v>
      </c>
      <c r="B6" s="119">
        <v>2017</v>
      </c>
      <c r="C6" s="79">
        <v>23</v>
      </c>
    </row>
    <row r="7" spans="1:3" ht="13.5" customHeight="1" x14ac:dyDescent="0.35">
      <c r="A7" s="97" t="s">
        <v>15</v>
      </c>
      <c r="B7" s="117">
        <v>2018</v>
      </c>
      <c r="C7" s="76">
        <v>66</v>
      </c>
    </row>
    <row r="8" spans="1:3" ht="13.5" customHeight="1" x14ac:dyDescent="0.35">
      <c r="A8" s="105" t="s">
        <v>15</v>
      </c>
      <c r="B8" s="119">
        <v>2019</v>
      </c>
      <c r="C8" s="79">
        <v>159</v>
      </c>
    </row>
    <row r="9" spans="1:3" ht="13.5" customHeight="1" x14ac:dyDescent="0.35">
      <c r="A9" s="97" t="s">
        <v>15</v>
      </c>
      <c r="B9" s="117">
        <v>2020</v>
      </c>
      <c r="C9" s="76">
        <v>337</v>
      </c>
    </row>
    <row r="10" spans="1:3" ht="13.5" customHeight="1" x14ac:dyDescent="0.35">
      <c r="A10" s="105" t="s">
        <v>15</v>
      </c>
      <c r="B10" s="119">
        <v>2021</v>
      </c>
      <c r="C10" s="79">
        <v>544</v>
      </c>
    </row>
    <row r="11" spans="1:3" ht="13.5" customHeight="1" x14ac:dyDescent="0.35">
      <c r="A11" s="97" t="s">
        <v>15</v>
      </c>
      <c r="B11" s="117">
        <v>2022</v>
      </c>
      <c r="C11" s="77">
        <v>605</v>
      </c>
    </row>
    <row r="12" spans="1:3" ht="13.5" customHeight="1" x14ac:dyDescent="0.35">
      <c r="A12" s="105" t="s">
        <v>15</v>
      </c>
      <c r="B12" s="119">
        <v>2023</v>
      </c>
      <c r="C12" s="78">
        <v>1</v>
      </c>
    </row>
    <row r="13" spans="1:3" ht="13.5" customHeight="1" x14ac:dyDescent="0.35">
      <c r="A13" s="97" t="s">
        <v>15</v>
      </c>
      <c r="B13" s="117">
        <v>2024</v>
      </c>
      <c r="C13" s="76">
        <v>39</v>
      </c>
    </row>
    <row r="14" spans="1:3" ht="13.5" customHeight="1" x14ac:dyDescent="0.35">
      <c r="A14" s="105" t="s">
        <v>15</v>
      </c>
      <c r="B14" s="119">
        <v>2025</v>
      </c>
      <c r="C14" s="79">
        <v>99</v>
      </c>
    </row>
    <row r="15" spans="1:3" ht="13.5" customHeight="1" x14ac:dyDescent="0.35">
      <c r="A15" s="97" t="s">
        <v>16</v>
      </c>
      <c r="B15" s="117">
        <v>2016</v>
      </c>
      <c r="C15" s="76">
        <v>27</v>
      </c>
    </row>
    <row r="16" spans="1:3" ht="13.5" customHeight="1" x14ac:dyDescent="0.35">
      <c r="A16" s="105" t="s">
        <v>16</v>
      </c>
      <c r="B16" s="119">
        <v>2017</v>
      </c>
      <c r="C16" s="79">
        <v>77</v>
      </c>
    </row>
    <row r="17" spans="1:3" ht="13.5" customHeight="1" x14ac:dyDescent="0.35">
      <c r="A17" s="97" t="s">
        <v>16</v>
      </c>
      <c r="B17" s="117">
        <v>2018</v>
      </c>
      <c r="C17" s="76">
        <v>121</v>
      </c>
    </row>
    <row r="18" spans="1:3" ht="13.5" customHeight="1" x14ac:dyDescent="0.35">
      <c r="A18" s="105" t="s">
        <v>16</v>
      </c>
      <c r="B18" s="119">
        <v>2019</v>
      </c>
      <c r="C18" s="79">
        <v>722</v>
      </c>
    </row>
    <row r="19" spans="1:3" ht="13.5" customHeight="1" x14ac:dyDescent="0.35">
      <c r="A19" s="97" t="s">
        <v>16</v>
      </c>
      <c r="B19" s="117">
        <v>2020</v>
      </c>
      <c r="C19" s="76">
        <v>1261</v>
      </c>
    </row>
    <row r="20" spans="1:3" ht="13.5" customHeight="1" x14ac:dyDescent="0.35">
      <c r="A20" s="105" t="s">
        <v>16</v>
      </c>
      <c r="B20" s="119">
        <v>2021</v>
      </c>
      <c r="C20" s="79">
        <v>2587</v>
      </c>
    </row>
    <row r="21" spans="1:3" ht="13.5" customHeight="1" x14ac:dyDescent="0.35">
      <c r="A21" s="97" t="s">
        <v>16</v>
      </c>
      <c r="B21" s="117">
        <v>2022</v>
      </c>
      <c r="C21" s="77">
        <v>3488</v>
      </c>
    </row>
    <row r="22" spans="1:3" ht="13.5" customHeight="1" x14ac:dyDescent="0.35">
      <c r="A22" s="105" t="s">
        <v>16</v>
      </c>
      <c r="B22" s="119">
        <v>2023</v>
      </c>
      <c r="C22" s="78">
        <v>4</v>
      </c>
    </row>
    <row r="23" spans="1:3" ht="13.5" customHeight="1" x14ac:dyDescent="0.35">
      <c r="A23" s="97" t="s">
        <v>16</v>
      </c>
      <c r="B23" s="117">
        <v>2024</v>
      </c>
      <c r="C23" s="76">
        <v>532</v>
      </c>
    </row>
    <row r="24" spans="1:3" ht="13.5" customHeight="1" x14ac:dyDescent="0.35">
      <c r="A24" s="105" t="s">
        <v>16</v>
      </c>
      <c r="B24" s="119">
        <v>2025</v>
      </c>
      <c r="C24" s="79">
        <v>756</v>
      </c>
    </row>
    <row r="25" spans="1:3" ht="13.5" customHeight="1" x14ac:dyDescent="0.35">
      <c r="A25" s="97" t="s">
        <v>17</v>
      </c>
      <c r="B25" s="117">
        <v>2016</v>
      </c>
      <c r="C25" s="76">
        <v>20</v>
      </c>
    </row>
    <row r="26" spans="1:3" ht="13.5" customHeight="1" x14ac:dyDescent="0.35">
      <c r="A26" s="105" t="s">
        <v>17</v>
      </c>
      <c r="B26" s="119">
        <v>2017</v>
      </c>
      <c r="C26" s="79">
        <v>88</v>
      </c>
    </row>
    <row r="27" spans="1:3" ht="13.5" customHeight="1" x14ac:dyDescent="0.35">
      <c r="A27" s="97" t="s">
        <v>17</v>
      </c>
      <c r="B27" s="117">
        <v>2018</v>
      </c>
      <c r="C27" s="76">
        <v>192</v>
      </c>
    </row>
    <row r="28" spans="1:3" ht="13.5" customHeight="1" x14ac:dyDescent="0.35">
      <c r="A28" s="105" t="s">
        <v>17</v>
      </c>
      <c r="B28" s="119">
        <v>2019</v>
      </c>
      <c r="C28" s="79">
        <v>397</v>
      </c>
    </row>
    <row r="29" spans="1:3" ht="13.5" customHeight="1" x14ac:dyDescent="0.35">
      <c r="A29" s="97" t="s">
        <v>17</v>
      </c>
      <c r="B29" s="117">
        <v>2020</v>
      </c>
      <c r="C29" s="76">
        <v>1067</v>
      </c>
    </row>
    <row r="30" spans="1:3" ht="13.5" customHeight="1" x14ac:dyDescent="0.35">
      <c r="A30" s="105" t="s">
        <v>17</v>
      </c>
      <c r="B30" s="119">
        <v>2021</v>
      </c>
      <c r="C30" s="79">
        <v>2142</v>
      </c>
    </row>
    <row r="31" spans="1:3" ht="13.5" customHeight="1" x14ac:dyDescent="0.35">
      <c r="A31" s="97" t="s">
        <v>17</v>
      </c>
      <c r="B31" s="117">
        <v>2022</v>
      </c>
      <c r="C31" s="77">
        <v>4005</v>
      </c>
    </row>
    <row r="32" spans="1:3" ht="13.5" customHeight="1" x14ac:dyDescent="0.35">
      <c r="A32" s="105" t="s">
        <v>17</v>
      </c>
      <c r="B32" s="119">
        <v>2023</v>
      </c>
      <c r="C32" s="78">
        <v>16</v>
      </c>
    </row>
    <row r="33" spans="1:3" ht="13.5" customHeight="1" x14ac:dyDescent="0.35">
      <c r="A33" s="97" t="s">
        <v>17</v>
      </c>
      <c r="B33" s="117">
        <v>2024</v>
      </c>
      <c r="C33" s="76">
        <v>122</v>
      </c>
    </row>
    <row r="34" spans="1:3" ht="13.5" customHeight="1" x14ac:dyDescent="0.35">
      <c r="A34" s="105" t="s">
        <v>17</v>
      </c>
      <c r="B34" s="119">
        <v>2025</v>
      </c>
      <c r="C34" s="79">
        <v>232</v>
      </c>
    </row>
    <row r="35" spans="1:3" ht="13.5" customHeight="1" x14ac:dyDescent="0.35">
      <c r="A35" s="97" t="s">
        <v>18</v>
      </c>
      <c r="B35" s="117">
        <v>2016</v>
      </c>
      <c r="C35" s="76">
        <v>0</v>
      </c>
    </row>
    <row r="36" spans="1:3" ht="13.5" customHeight="1" x14ac:dyDescent="0.35">
      <c r="A36" s="105" t="s">
        <v>18</v>
      </c>
      <c r="B36" s="119">
        <v>2017</v>
      </c>
      <c r="C36" s="79">
        <v>22</v>
      </c>
    </row>
    <row r="37" spans="1:3" ht="13.5" customHeight="1" x14ac:dyDescent="0.35">
      <c r="A37" s="97" t="s">
        <v>18</v>
      </c>
      <c r="B37" s="117">
        <v>2018</v>
      </c>
      <c r="C37" s="76">
        <v>21</v>
      </c>
    </row>
    <row r="38" spans="1:3" ht="13.5" customHeight="1" x14ac:dyDescent="0.35">
      <c r="A38" s="105" t="s">
        <v>18</v>
      </c>
      <c r="B38" s="119">
        <v>2019</v>
      </c>
      <c r="C38" s="79">
        <v>111</v>
      </c>
    </row>
    <row r="39" spans="1:3" ht="13.5" customHeight="1" x14ac:dyDescent="0.35">
      <c r="A39" s="97" t="s">
        <v>18</v>
      </c>
      <c r="B39" s="117">
        <v>2020</v>
      </c>
      <c r="C39" s="76">
        <v>226</v>
      </c>
    </row>
    <row r="40" spans="1:3" ht="13.5" customHeight="1" x14ac:dyDescent="0.35">
      <c r="A40" s="105" t="s">
        <v>18</v>
      </c>
      <c r="B40" s="119">
        <v>2021</v>
      </c>
      <c r="C40" s="79">
        <v>355</v>
      </c>
    </row>
    <row r="41" spans="1:3" ht="13.5" customHeight="1" x14ac:dyDescent="0.35">
      <c r="A41" s="97" t="s">
        <v>18</v>
      </c>
      <c r="B41" s="117">
        <v>2022</v>
      </c>
      <c r="C41" s="77">
        <v>551</v>
      </c>
    </row>
    <row r="42" spans="1:3" ht="13.5" customHeight="1" x14ac:dyDescent="0.35">
      <c r="A42" s="105" t="s">
        <v>18</v>
      </c>
      <c r="B42" s="119">
        <v>2023</v>
      </c>
      <c r="C42" s="78">
        <v>41</v>
      </c>
    </row>
    <row r="43" spans="1:3" ht="13.5" customHeight="1" x14ac:dyDescent="0.35">
      <c r="A43" s="97" t="s">
        <v>18</v>
      </c>
      <c r="B43" s="117">
        <v>2024</v>
      </c>
      <c r="C43" s="76">
        <v>66</v>
      </c>
    </row>
    <row r="44" spans="1:3" ht="13.5" customHeight="1" x14ac:dyDescent="0.35">
      <c r="A44" s="105" t="s">
        <v>18</v>
      </c>
      <c r="B44" s="119">
        <v>2025</v>
      </c>
      <c r="C44" s="79">
        <v>170</v>
      </c>
    </row>
    <row r="45" spans="1:3" ht="13.5" customHeight="1" x14ac:dyDescent="0.35">
      <c r="A45" s="97" t="s">
        <v>19</v>
      </c>
      <c r="B45" s="117">
        <v>2016</v>
      </c>
      <c r="C45" s="76">
        <v>245</v>
      </c>
    </row>
    <row r="46" spans="1:3" ht="13.5" customHeight="1" x14ac:dyDescent="0.35">
      <c r="A46" s="105" t="s">
        <v>19</v>
      </c>
      <c r="B46" s="119">
        <v>2017</v>
      </c>
      <c r="C46" s="79">
        <v>455</v>
      </c>
    </row>
    <row r="47" spans="1:3" ht="13.5" customHeight="1" x14ac:dyDescent="0.35">
      <c r="A47" s="97" t="s">
        <v>19</v>
      </c>
      <c r="B47" s="117">
        <v>2018</v>
      </c>
      <c r="C47" s="76">
        <v>790</v>
      </c>
    </row>
    <row r="48" spans="1:3" ht="13.5" customHeight="1" x14ac:dyDescent="0.35">
      <c r="A48" s="105" t="s">
        <v>19</v>
      </c>
      <c r="B48" s="119">
        <v>2019</v>
      </c>
      <c r="C48" s="79">
        <v>2920</v>
      </c>
    </row>
    <row r="49" spans="1:3" ht="13.5" customHeight="1" x14ac:dyDescent="0.35">
      <c r="A49" s="97" t="s">
        <v>19</v>
      </c>
      <c r="B49" s="117">
        <v>2020</v>
      </c>
      <c r="C49" s="76">
        <v>6161</v>
      </c>
    </row>
    <row r="50" spans="1:3" ht="13.5" customHeight="1" x14ac:dyDescent="0.35">
      <c r="A50" s="105" t="s">
        <v>19</v>
      </c>
      <c r="B50" s="119">
        <v>2021</v>
      </c>
      <c r="C50" s="79">
        <v>8501</v>
      </c>
    </row>
    <row r="51" spans="1:3" ht="13.5" customHeight="1" x14ac:dyDescent="0.35">
      <c r="A51" s="97" t="s">
        <v>19</v>
      </c>
      <c r="B51" s="117">
        <v>2022</v>
      </c>
      <c r="C51" s="77">
        <v>11821</v>
      </c>
    </row>
    <row r="52" spans="1:3" ht="13.5" customHeight="1" x14ac:dyDescent="0.35">
      <c r="A52" s="105" t="s">
        <v>19</v>
      </c>
      <c r="B52" s="119">
        <v>2023</v>
      </c>
      <c r="C52" s="78">
        <v>72</v>
      </c>
    </row>
    <row r="53" spans="1:3" ht="13.5" customHeight="1" x14ac:dyDescent="0.35">
      <c r="A53" s="97" t="s">
        <v>19</v>
      </c>
      <c r="B53" s="117">
        <v>2024</v>
      </c>
      <c r="C53" s="76">
        <v>1541</v>
      </c>
    </row>
    <row r="54" spans="1:3" ht="13.5" customHeight="1" x14ac:dyDescent="0.35">
      <c r="A54" s="105" t="s">
        <v>19</v>
      </c>
      <c r="B54" s="119">
        <v>2025</v>
      </c>
      <c r="C54" s="79">
        <v>4306</v>
      </c>
    </row>
    <row r="55" spans="1:3" ht="13.5" customHeight="1" x14ac:dyDescent="0.35">
      <c r="A55" s="97" t="s">
        <v>20</v>
      </c>
      <c r="B55" s="117">
        <v>2016</v>
      </c>
      <c r="C55" s="76">
        <v>388</v>
      </c>
    </row>
    <row r="56" spans="1:3" ht="13.5" customHeight="1" x14ac:dyDescent="0.35">
      <c r="A56" s="105" t="s">
        <v>20</v>
      </c>
      <c r="B56" s="119">
        <v>2017</v>
      </c>
      <c r="C56" s="79">
        <v>692</v>
      </c>
    </row>
    <row r="57" spans="1:3" ht="13.5" customHeight="1" x14ac:dyDescent="0.35">
      <c r="A57" s="97" t="s">
        <v>20</v>
      </c>
      <c r="B57" s="117">
        <v>2018</v>
      </c>
      <c r="C57" s="76">
        <v>993</v>
      </c>
    </row>
    <row r="58" spans="1:3" ht="13.5" customHeight="1" x14ac:dyDescent="0.35">
      <c r="A58" s="105" t="s">
        <v>20</v>
      </c>
      <c r="B58" s="119">
        <v>2019</v>
      </c>
      <c r="C58" s="79">
        <v>2102</v>
      </c>
    </row>
    <row r="59" spans="1:3" ht="13.5" customHeight="1" x14ac:dyDescent="0.35">
      <c r="A59" s="97" t="s">
        <v>20</v>
      </c>
      <c r="B59" s="117">
        <v>2020</v>
      </c>
      <c r="C59" s="76">
        <v>3117</v>
      </c>
    </row>
    <row r="60" spans="1:3" ht="13.5" customHeight="1" x14ac:dyDescent="0.35">
      <c r="A60" s="105" t="s">
        <v>20</v>
      </c>
      <c r="B60" s="119">
        <v>2021</v>
      </c>
      <c r="C60" s="79">
        <v>6179</v>
      </c>
    </row>
    <row r="61" spans="1:3" ht="13.5" customHeight="1" x14ac:dyDescent="0.35">
      <c r="A61" s="97" t="s">
        <v>20</v>
      </c>
      <c r="B61" s="117">
        <v>2022</v>
      </c>
      <c r="C61" s="77">
        <v>6438</v>
      </c>
    </row>
    <row r="62" spans="1:3" ht="13.5" customHeight="1" x14ac:dyDescent="0.35">
      <c r="A62" s="105" t="s">
        <v>20</v>
      </c>
      <c r="B62" s="119">
        <v>2023</v>
      </c>
      <c r="C62" s="78">
        <v>18</v>
      </c>
    </row>
    <row r="63" spans="1:3" ht="13.5" customHeight="1" x14ac:dyDescent="0.35">
      <c r="A63" s="97" t="s">
        <v>20</v>
      </c>
      <c r="B63" s="117">
        <v>2024</v>
      </c>
      <c r="C63" s="76">
        <v>1324</v>
      </c>
    </row>
    <row r="64" spans="1:3" ht="13.5" customHeight="1" x14ac:dyDescent="0.35">
      <c r="A64" s="105" t="s">
        <v>20</v>
      </c>
      <c r="B64" s="119">
        <v>2025</v>
      </c>
      <c r="C64" s="79">
        <v>1409</v>
      </c>
    </row>
    <row r="65" spans="1:3" ht="13.5" customHeight="1" x14ac:dyDescent="0.35">
      <c r="A65" s="97" t="s">
        <v>21</v>
      </c>
      <c r="B65" s="117">
        <v>2016</v>
      </c>
      <c r="C65" s="76">
        <v>189</v>
      </c>
    </row>
    <row r="66" spans="1:3" ht="13.5" customHeight="1" x14ac:dyDescent="0.35">
      <c r="A66" s="105" t="s">
        <v>21</v>
      </c>
      <c r="B66" s="119">
        <v>2017</v>
      </c>
      <c r="C66" s="79">
        <v>319</v>
      </c>
    </row>
    <row r="67" spans="1:3" ht="13.5" customHeight="1" x14ac:dyDescent="0.35">
      <c r="A67" s="97" t="s">
        <v>21</v>
      </c>
      <c r="B67" s="117">
        <v>2018</v>
      </c>
      <c r="C67" s="76">
        <v>500</v>
      </c>
    </row>
    <row r="68" spans="1:3" ht="13.5" customHeight="1" x14ac:dyDescent="0.35">
      <c r="A68" s="105" t="s">
        <v>21</v>
      </c>
      <c r="B68" s="119">
        <v>2019</v>
      </c>
      <c r="C68" s="79">
        <v>2483</v>
      </c>
    </row>
    <row r="69" spans="1:3" ht="13.5" customHeight="1" x14ac:dyDescent="0.35">
      <c r="A69" s="97" t="s">
        <v>21</v>
      </c>
      <c r="B69" s="117">
        <v>2020</v>
      </c>
      <c r="C69" s="76">
        <v>5045</v>
      </c>
    </row>
    <row r="70" spans="1:3" ht="13.5" customHeight="1" x14ac:dyDescent="0.35">
      <c r="A70" s="105" t="s">
        <v>21</v>
      </c>
      <c r="B70" s="119">
        <v>2021</v>
      </c>
      <c r="C70" s="79">
        <v>8289</v>
      </c>
    </row>
    <row r="71" spans="1:3" ht="13.5" customHeight="1" x14ac:dyDescent="0.35">
      <c r="A71" s="97" t="s">
        <v>21</v>
      </c>
      <c r="B71" s="117">
        <v>2022</v>
      </c>
      <c r="C71" s="77">
        <v>10861</v>
      </c>
    </row>
    <row r="72" spans="1:3" ht="13.5" customHeight="1" x14ac:dyDescent="0.35">
      <c r="A72" s="105" t="s">
        <v>21</v>
      </c>
      <c r="B72" s="119">
        <v>2023</v>
      </c>
      <c r="C72" s="78">
        <v>18</v>
      </c>
    </row>
    <row r="73" spans="1:3" ht="13.5" customHeight="1" x14ac:dyDescent="0.35">
      <c r="A73" s="97" t="s">
        <v>21</v>
      </c>
      <c r="B73" s="117">
        <v>2024</v>
      </c>
      <c r="C73" s="76">
        <v>1148</v>
      </c>
    </row>
    <row r="74" spans="1:3" ht="13.5" customHeight="1" x14ac:dyDescent="0.35">
      <c r="A74" s="105" t="s">
        <v>21</v>
      </c>
      <c r="B74" s="119">
        <v>2025</v>
      </c>
      <c r="C74" s="79">
        <v>1512</v>
      </c>
    </row>
    <row r="75" spans="1:3" ht="13.5" customHeight="1" x14ac:dyDescent="0.35">
      <c r="A75" s="97" t="s">
        <v>22</v>
      </c>
      <c r="B75" s="117">
        <v>2016</v>
      </c>
      <c r="C75" s="76">
        <v>40</v>
      </c>
    </row>
    <row r="76" spans="1:3" ht="13.5" customHeight="1" x14ac:dyDescent="0.35">
      <c r="A76" s="105" t="s">
        <v>22</v>
      </c>
      <c r="B76" s="119">
        <v>2017</v>
      </c>
      <c r="C76" s="79">
        <v>135</v>
      </c>
    </row>
    <row r="77" spans="1:3" ht="13.5" customHeight="1" x14ac:dyDescent="0.35">
      <c r="A77" s="97" t="s">
        <v>22</v>
      </c>
      <c r="B77" s="117">
        <v>2018</v>
      </c>
      <c r="C77" s="76">
        <v>321</v>
      </c>
    </row>
    <row r="78" spans="1:3" ht="13.5" customHeight="1" x14ac:dyDescent="0.35">
      <c r="A78" s="105" t="s">
        <v>22</v>
      </c>
      <c r="B78" s="119">
        <v>2019</v>
      </c>
      <c r="C78" s="79">
        <v>658</v>
      </c>
    </row>
    <row r="79" spans="1:3" ht="13.5" customHeight="1" x14ac:dyDescent="0.35">
      <c r="A79" s="97" t="s">
        <v>22</v>
      </c>
      <c r="B79" s="117">
        <v>2020</v>
      </c>
      <c r="C79" s="76">
        <v>750</v>
      </c>
    </row>
    <row r="80" spans="1:3" ht="13.5" customHeight="1" x14ac:dyDescent="0.35">
      <c r="A80" s="105" t="s">
        <v>22</v>
      </c>
      <c r="B80" s="119">
        <v>2021</v>
      </c>
      <c r="C80" s="79">
        <v>2320</v>
      </c>
    </row>
    <row r="81" spans="1:3" ht="13.5" customHeight="1" x14ac:dyDescent="0.35">
      <c r="A81" s="97" t="s">
        <v>22</v>
      </c>
      <c r="B81" s="117">
        <v>2022</v>
      </c>
      <c r="C81" s="77">
        <v>3015</v>
      </c>
    </row>
    <row r="82" spans="1:3" ht="13.5" customHeight="1" x14ac:dyDescent="0.35">
      <c r="A82" s="105" t="s">
        <v>22</v>
      </c>
      <c r="B82" s="119">
        <v>2023</v>
      </c>
      <c r="C82" s="78">
        <v>39</v>
      </c>
    </row>
    <row r="83" spans="1:3" ht="13.5" customHeight="1" x14ac:dyDescent="0.35">
      <c r="A83" s="97" t="s">
        <v>22</v>
      </c>
      <c r="B83" s="117">
        <v>2024</v>
      </c>
      <c r="C83" s="76">
        <v>515</v>
      </c>
    </row>
    <row r="84" spans="1:3" ht="13.5" customHeight="1" x14ac:dyDescent="0.35">
      <c r="A84" s="105" t="s">
        <v>22</v>
      </c>
      <c r="B84" s="119">
        <v>2025</v>
      </c>
      <c r="C84" s="79">
        <v>1496</v>
      </c>
    </row>
    <row r="85" spans="1:3" ht="13.5" customHeight="1" x14ac:dyDescent="0.35">
      <c r="A85" s="97" t="s">
        <v>23</v>
      </c>
      <c r="B85" s="117">
        <v>2016</v>
      </c>
      <c r="C85" s="76">
        <v>115</v>
      </c>
    </row>
    <row r="86" spans="1:3" ht="13.5" customHeight="1" x14ac:dyDescent="0.35">
      <c r="A86" s="105" t="s">
        <v>23</v>
      </c>
      <c r="B86" s="119">
        <v>2017</v>
      </c>
      <c r="C86" s="79">
        <v>301</v>
      </c>
    </row>
    <row r="87" spans="1:3" ht="13.5" customHeight="1" x14ac:dyDescent="0.35">
      <c r="A87" s="97" t="s">
        <v>23</v>
      </c>
      <c r="B87" s="117">
        <v>2018</v>
      </c>
      <c r="C87" s="76">
        <v>594</v>
      </c>
    </row>
    <row r="88" spans="1:3" ht="13.5" customHeight="1" x14ac:dyDescent="0.35">
      <c r="A88" s="105" t="s">
        <v>23</v>
      </c>
      <c r="B88" s="119">
        <v>2019</v>
      </c>
      <c r="C88" s="79">
        <v>3046</v>
      </c>
    </row>
    <row r="89" spans="1:3" ht="13.5" customHeight="1" x14ac:dyDescent="0.35">
      <c r="A89" s="97" t="s">
        <v>23</v>
      </c>
      <c r="B89" s="117">
        <v>2020</v>
      </c>
      <c r="C89" s="76">
        <v>8498</v>
      </c>
    </row>
    <row r="90" spans="1:3" ht="13.5" customHeight="1" x14ac:dyDescent="0.35">
      <c r="A90" s="105" t="s">
        <v>23</v>
      </c>
      <c r="B90" s="119">
        <v>2021</v>
      </c>
      <c r="C90" s="79">
        <v>22040</v>
      </c>
    </row>
    <row r="91" spans="1:3" ht="13.5" customHeight="1" x14ac:dyDescent="0.35">
      <c r="A91" s="97" t="s">
        <v>23</v>
      </c>
      <c r="B91" s="117">
        <v>2022</v>
      </c>
      <c r="C91" s="77">
        <v>29119</v>
      </c>
    </row>
    <row r="92" spans="1:3" ht="13.5" customHeight="1" x14ac:dyDescent="0.35">
      <c r="A92" s="105" t="s">
        <v>23</v>
      </c>
      <c r="B92" s="119">
        <v>2023</v>
      </c>
      <c r="C92" s="78">
        <v>52</v>
      </c>
    </row>
    <row r="93" spans="1:3" ht="13.5" customHeight="1" x14ac:dyDescent="0.35">
      <c r="A93" s="97" t="s">
        <v>23</v>
      </c>
      <c r="B93" s="117">
        <v>2024</v>
      </c>
      <c r="C93" s="76">
        <v>5050</v>
      </c>
    </row>
    <row r="94" spans="1:3" ht="13.5" customHeight="1" x14ac:dyDescent="0.35">
      <c r="A94" s="105" t="s">
        <v>23</v>
      </c>
      <c r="B94" s="119">
        <v>2025</v>
      </c>
      <c r="C94" s="79">
        <v>5594</v>
      </c>
    </row>
    <row r="95" spans="1:3" ht="13.5" customHeight="1" x14ac:dyDescent="0.35">
      <c r="A95" s="97" t="s">
        <v>24</v>
      </c>
      <c r="B95" s="117">
        <v>2016</v>
      </c>
      <c r="C95" s="76">
        <v>32</v>
      </c>
    </row>
    <row r="96" spans="1:3" ht="13.5" customHeight="1" x14ac:dyDescent="0.35">
      <c r="A96" s="105" t="s">
        <v>24</v>
      </c>
      <c r="B96" s="119">
        <v>2017</v>
      </c>
      <c r="C96" s="79">
        <v>90</v>
      </c>
    </row>
    <row r="97" spans="1:3" ht="13.5" customHeight="1" x14ac:dyDescent="0.35">
      <c r="A97" s="97" t="s">
        <v>24</v>
      </c>
      <c r="B97" s="117">
        <v>2018</v>
      </c>
      <c r="C97" s="76">
        <v>118</v>
      </c>
    </row>
    <row r="98" spans="1:3" ht="13.5" customHeight="1" x14ac:dyDescent="0.35">
      <c r="A98" s="105" t="s">
        <v>24</v>
      </c>
      <c r="B98" s="119">
        <v>2019</v>
      </c>
      <c r="C98" s="79">
        <v>636</v>
      </c>
    </row>
    <row r="99" spans="1:3" ht="13.5" customHeight="1" x14ac:dyDescent="0.35">
      <c r="A99" s="97" t="s">
        <v>24</v>
      </c>
      <c r="B99" s="117">
        <v>2020</v>
      </c>
      <c r="C99" s="76">
        <v>1500</v>
      </c>
    </row>
    <row r="100" spans="1:3" ht="13.5" customHeight="1" x14ac:dyDescent="0.35">
      <c r="A100" s="105" t="s">
        <v>24</v>
      </c>
      <c r="B100" s="119">
        <v>2021</v>
      </c>
      <c r="C100" s="79">
        <v>2852</v>
      </c>
    </row>
    <row r="101" spans="1:3" ht="13.5" customHeight="1" x14ac:dyDescent="0.35">
      <c r="A101" s="97" t="s">
        <v>24</v>
      </c>
      <c r="B101" s="117">
        <v>2022</v>
      </c>
      <c r="C101" s="77">
        <v>4983</v>
      </c>
    </row>
    <row r="102" spans="1:3" ht="13.5" customHeight="1" x14ac:dyDescent="0.35">
      <c r="A102" s="105" t="s">
        <v>24</v>
      </c>
      <c r="B102" s="119">
        <v>2023</v>
      </c>
      <c r="C102" s="78">
        <v>2</v>
      </c>
    </row>
    <row r="103" spans="1:3" ht="13.5" customHeight="1" x14ac:dyDescent="0.35">
      <c r="A103" s="97" t="s">
        <v>24</v>
      </c>
      <c r="B103" s="117">
        <v>2024</v>
      </c>
      <c r="C103" s="76">
        <v>513</v>
      </c>
    </row>
    <row r="104" spans="1:3" ht="13.5" customHeight="1" x14ac:dyDescent="0.35">
      <c r="A104" s="105" t="s">
        <v>24</v>
      </c>
      <c r="B104" s="119">
        <v>2025</v>
      </c>
      <c r="C104" s="79">
        <v>2285</v>
      </c>
    </row>
    <row r="105" spans="1:3" ht="13.5" customHeight="1" x14ac:dyDescent="0.35">
      <c r="A105" s="97" t="s">
        <v>25</v>
      </c>
      <c r="B105" s="117">
        <v>2016</v>
      </c>
      <c r="C105" s="76">
        <v>272</v>
      </c>
    </row>
    <row r="106" spans="1:3" ht="13.5" customHeight="1" x14ac:dyDescent="0.35">
      <c r="A106" s="105" t="s">
        <v>25</v>
      </c>
      <c r="B106" s="119">
        <v>2017</v>
      </c>
      <c r="C106" s="79">
        <v>489</v>
      </c>
    </row>
    <row r="107" spans="1:3" ht="13.5" customHeight="1" x14ac:dyDescent="0.35">
      <c r="A107" s="97" t="s">
        <v>25</v>
      </c>
      <c r="B107" s="117">
        <v>2018</v>
      </c>
      <c r="C107" s="76">
        <v>1089</v>
      </c>
    </row>
    <row r="108" spans="1:3" ht="13.5" customHeight="1" x14ac:dyDescent="0.35">
      <c r="A108" s="105" t="s">
        <v>25</v>
      </c>
      <c r="B108" s="119">
        <v>2019</v>
      </c>
      <c r="C108" s="79">
        <v>6591</v>
      </c>
    </row>
    <row r="109" spans="1:3" ht="13.5" customHeight="1" x14ac:dyDescent="0.35">
      <c r="A109" s="97" t="s">
        <v>25</v>
      </c>
      <c r="B109" s="117">
        <v>2020</v>
      </c>
      <c r="C109" s="76">
        <v>10111</v>
      </c>
    </row>
    <row r="110" spans="1:3" ht="13.5" customHeight="1" x14ac:dyDescent="0.35">
      <c r="A110" s="105" t="s">
        <v>25</v>
      </c>
      <c r="B110" s="119">
        <v>2021</v>
      </c>
      <c r="C110" s="79">
        <v>23876</v>
      </c>
    </row>
    <row r="111" spans="1:3" ht="13.5" customHeight="1" x14ac:dyDescent="0.35">
      <c r="A111" s="97" t="s">
        <v>25</v>
      </c>
      <c r="B111" s="117">
        <v>2022</v>
      </c>
      <c r="C111" s="77">
        <v>36600</v>
      </c>
    </row>
    <row r="112" spans="1:3" ht="13.5" customHeight="1" x14ac:dyDescent="0.35">
      <c r="A112" s="105" t="s">
        <v>25</v>
      </c>
      <c r="B112" s="119">
        <v>2023</v>
      </c>
      <c r="C112" s="78">
        <v>101</v>
      </c>
    </row>
    <row r="113" spans="1:3" ht="13.5" customHeight="1" x14ac:dyDescent="0.35">
      <c r="A113" s="97" t="s">
        <v>25</v>
      </c>
      <c r="B113" s="117">
        <v>2024</v>
      </c>
      <c r="C113" s="76">
        <v>7766</v>
      </c>
    </row>
    <row r="114" spans="1:3" ht="13.5" customHeight="1" x14ac:dyDescent="0.35">
      <c r="A114" s="105" t="s">
        <v>25</v>
      </c>
      <c r="B114" s="119">
        <v>2025</v>
      </c>
      <c r="C114" s="79">
        <v>8984</v>
      </c>
    </row>
    <row r="115" spans="1:3" ht="13.5" customHeight="1" x14ac:dyDescent="0.35">
      <c r="A115" s="97" t="s">
        <v>26</v>
      </c>
      <c r="B115" s="117">
        <v>2016</v>
      </c>
      <c r="C115" s="76">
        <v>117</v>
      </c>
    </row>
    <row r="116" spans="1:3" ht="13.5" customHeight="1" x14ac:dyDescent="0.35">
      <c r="A116" s="105" t="s">
        <v>26</v>
      </c>
      <c r="B116" s="119">
        <v>2017</v>
      </c>
      <c r="C116" s="79">
        <v>190</v>
      </c>
    </row>
    <row r="117" spans="1:3" ht="13.5" customHeight="1" x14ac:dyDescent="0.35">
      <c r="A117" s="97" t="s">
        <v>26</v>
      </c>
      <c r="B117" s="117">
        <v>2018</v>
      </c>
      <c r="C117" s="76">
        <v>187</v>
      </c>
    </row>
    <row r="118" spans="1:3" ht="13.5" customHeight="1" x14ac:dyDescent="0.35">
      <c r="A118" s="105" t="s">
        <v>26</v>
      </c>
      <c r="B118" s="119">
        <v>2019</v>
      </c>
      <c r="C118" s="79">
        <v>1053</v>
      </c>
    </row>
    <row r="119" spans="1:3" ht="13.5" customHeight="1" x14ac:dyDescent="0.35">
      <c r="A119" s="97" t="s">
        <v>26</v>
      </c>
      <c r="B119" s="117">
        <v>2020</v>
      </c>
      <c r="C119" s="76">
        <v>2364</v>
      </c>
    </row>
    <row r="120" spans="1:3" ht="13.5" customHeight="1" x14ac:dyDescent="0.35">
      <c r="A120" s="105" t="s">
        <v>26</v>
      </c>
      <c r="B120" s="119">
        <v>2021</v>
      </c>
      <c r="C120" s="79">
        <v>4750</v>
      </c>
    </row>
    <row r="121" spans="1:3" ht="13.5" customHeight="1" x14ac:dyDescent="0.35">
      <c r="A121" s="97" t="s">
        <v>26</v>
      </c>
      <c r="B121" s="117">
        <v>2022</v>
      </c>
      <c r="C121" s="77">
        <v>8979</v>
      </c>
    </row>
    <row r="122" spans="1:3" ht="13.5" customHeight="1" x14ac:dyDescent="0.35">
      <c r="A122" s="105" t="s">
        <v>26</v>
      </c>
      <c r="B122" s="119">
        <v>2023</v>
      </c>
      <c r="C122" s="78">
        <v>18</v>
      </c>
    </row>
    <row r="123" spans="1:3" ht="13.5" customHeight="1" x14ac:dyDescent="0.35">
      <c r="A123" s="97" t="s">
        <v>26</v>
      </c>
      <c r="B123" s="117">
        <v>2024</v>
      </c>
      <c r="C123" s="76">
        <v>1180</v>
      </c>
    </row>
    <row r="124" spans="1:3" ht="13.5" customHeight="1" x14ac:dyDescent="0.35">
      <c r="A124" s="105" t="s">
        <v>26</v>
      </c>
      <c r="B124" s="119">
        <v>2025</v>
      </c>
      <c r="C124" s="79">
        <v>1513</v>
      </c>
    </row>
    <row r="125" spans="1:3" ht="13.5" customHeight="1" x14ac:dyDescent="0.35">
      <c r="A125" s="97" t="s">
        <v>27</v>
      </c>
      <c r="B125" s="117">
        <v>2016</v>
      </c>
      <c r="C125" s="76">
        <v>143</v>
      </c>
    </row>
    <row r="126" spans="1:3" ht="13.5" customHeight="1" x14ac:dyDescent="0.35">
      <c r="A126" s="105" t="s">
        <v>27</v>
      </c>
      <c r="B126" s="119">
        <v>2017</v>
      </c>
      <c r="C126" s="79">
        <v>226</v>
      </c>
    </row>
    <row r="127" spans="1:3" ht="13.5" customHeight="1" x14ac:dyDescent="0.35">
      <c r="A127" s="97" t="s">
        <v>27</v>
      </c>
      <c r="B127" s="117">
        <v>2018</v>
      </c>
      <c r="C127" s="76">
        <v>325</v>
      </c>
    </row>
    <row r="128" spans="1:3" ht="13.5" customHeight="1" x14ac:dyDescent="0.35">
      <c r="A128" s="105" t="s">
        <v>27</v>
      </c>
      <c r="B128" s="119">
        <v>2019</v>
      </c>
      <c r="C128" s="79">
        <v>1654</v>
      </c>
    </row>
    <row r="129" spans="1:3" ht="13.5" customHeight="1" x14ac:dyDescent="0.35">
      <c r="A129" s="97" t="s">
        <v>27</v>
      </c>
      <c r="B129" s="117">
        <v>2020</v>
      </c>
      <c r="C129" s="76">
        <v>2269</v>
      </c>
    </row>
    <row r="130" spans="1:3" ht="13.5" customHeight="1" x14ac:dyDescent="0.35">
      <c r="A130" s="105" t="s">
        <v>27</v>
      </c>
      <c r="B130" s="119">
        <v>2021</v>
      </c>
      <c r="C130" s="79">
        <v>6044</v>
      </c>
    </row>
    <row r="131" spans="1:3" ht="13.5" customHeight="1" x14ac:dyDescent="0.35">
      <c r="A131" s="97" t="s">
        <v>27</v>
      </c>
      <c r="B131" s="117">
        <v>2022</v>
      </c>
      <c r="C131" s="77">
        <v>13272</v>
      </c>
    </row>
    <row r="132" spans="1:3" ht="13.5" customHeight="1" x14ac:dyDescent="0.35">
      <c r="A132" s="105" t="s">
        <v>27</v>
      </c>
      <c r="B132" s="119">
        <v>2023</v>
      </c>
      <c r="C132" s="78">
        <v>37</v>
      </c>
    </row>
    <row r="133" spans="1:3" ht="13.5" customHeight="1" x14ac:dyDescent="0.35">
      <c r="A133" s="97" t="s">
        <v>27</v>
      </c>
      <c r="B133" s="117">
        <v>2024</v>
      </c>
      <c r="C133" s="76">
        <v>2254</v>
      </c>
    </row>
    <row r="134" spans="1:3" ht="13.5" customHeight="1" x14ac:dyDescent="0.35">
      <c r="A134" s="105" t="s">
        <v>27</v>
      </c>
      <c r="B134" s="119">
        <v>2025</v>
      </c>
      <c r="C134" s="79">
        <v>3388</v>
      </c>
    </row>
    <row r="135" spans="1:3" ht="13.5" customHeight="1" x14ac:dyDescent="0.35">
      <c r="A135" s="97" t="s">
        <v>28</v>
      </c>
      <c r="B135" s="117">
        <v>2016</v>
      </c>
      <c r="C135" s="76">
        <v>51</v>
      </c>
    </row>
    <row r="136" spans="1:3" ht="13.5" customHeight="1" x14ac:dyDescent="0.35">
      <c r="A136" s="105" t="s">
        <v>28</v>
      </c>
      <c r="B136" s="119">
        <v>2017</v>
      </c>
      <c r="C136" s="79">
        <v>68</v>
      </c>
    </row>
    <row r="137" spans="1:3" ht="13.5" customHeight="1" x14ac:dyDescent="0.35">
      <c r="A137" s="97" t="s">
        <v>28</v>
      </c>
      <c r="B137" s="117">
        <v>2018</v>
      </c>
      <c r="C137" s="76">
        <v>84</v>
      </c>
    </row>
    <row r="138" spans="1:3" ht="13.5" customHeight="1" x14ac:dyDescent="0.35">
      <c r="A138" s="105" t="s">
        <v>28</v>
      </c>
      <c r="B138" s="119">
        <v>2019</v>
      </c>
      <c r="C138" s="79">
        <v>490</v>
      </c>
    </row>
    <row r="139" spans="1:3" ht="13.5" customHeight="1" x14ac:dyDescent="0.35">
      <c r="A139" s="97" t="s">
        <v>28</v>
      </c>
      <c r="B139" s="117">
        <v>2020</v>
      </c>
      <c r="C139" s="76">
        <v>1937</v>
      </c>
    </row>
    <row r="140" spans="1:3" ht="13.5" customHeight="1" x14ac:dyDescent="0.35">
      <c r="A140" s="105" t="s">
        <v>28</v>
      </c>
      <c r="B140" s="119">
        <v>2021</v>
      </c>
      <c r="C140" s="79">
        <v>4052</v>
      </c>
    </row>
    <row r="141" spans="1:3" ht="13.5" customHeight="1" x14ac:dyDescent="0.35">
      <c r="A141" s="97" t="s">
        <v>28</v>
      </c>
      <c r="B141" s="117">
        <v>2022</v>
      </c>
      <c r="C141" s="77">
        <v>6128</v>
      </c>
    </row>
    <row r="142" spans="1:3" ht="13.5" customHeight="1" x14ac:dyDescent="0.35">
      <c r="A142" s="105" t="s">
        <v>28</v>
      </c>
      <c r="B142" s="119">
        <v>2023</v>
      </c>
      <c r="C142" s="78">
        <v>18</v>
      </c>
    </row>
    <row r="143" spans="1:3" ht="13.5" customHeight="1" x14ac:dyDescent="0.35">
      <c r="A143" s="97" t="s">
        <v>28</v>
      </c>
      <c r="B143" s="117">
        <v>2024</v>
      </c>
      <c r="C143" s="76">
        <v>966</v>
      </c>
    </row>
    <row r="144" spans="1:3" ht="13.5" customHeight="1" x14ac:dyDescent="0.35">
      <c r="A144" s="105" t="s">
        <v>28</v>
      </c>
      <c r="B144" s="119">
        <v>2025</v>
      </c>
      <c r="C144" s="79">
        <v>1668</v>
      </c>
    </row>
    <row r="145" spans="1:3" ht="13.5" customHeight="1" x14ac:dyDescent="0.35">
      <c r="A145" s="97" t="s">
        <v>29</v>
      </c>
      <c r="B145" s="117">
        <v>2016</v>
      </c>
      <c r="C145" s="76">
        <v>60</v>
      </c>
    </row>
    <row r="146" spans="1:3" ht="13.5" customHeight="1" x14ac:dyDescent="0.35">
      <c r="A146" s="105" t="s">
        <v>29</v>
      </c>
      <c r="B146" s="119">
        <v>2017</v>
      </c>
      <c r="C146" s="79">
        <v>104</v>
      </c>
    </row>
    <row r="147" spans="1:3" ht="13.5" customHeight="1" x14ac:dyDescent="0.35">
      <c r="A147" s="97" t="s">
        <v>29</v>
      </c>
      <c r="B147" s="117">
        <v>2018</v>
      </c>
      <c r="C147" s="76">
        <v>639</v>
      </c>
    </row>
    <row r="148" spans="1:3" ht="13.5" customHeight="1" x14ac:dyDescent="0.35">
      <c r="A148" s="105" t="s">
        <v>29</v>
      </c>
      <c r="B148" s="119">
        <v>2019</v>
      </c>
      <c r="C148" s="79">
        <v>1179</v>
      </c>
    </row>
    <row r="149" spans="1:3" ht="13.5" customHeight="1" x14ac:dyDescent="0.35">
      <c r="A149" s="97" t="s">
        <v>29</v>
      </c>
      <c r="B149" s="117">
        <v>2020</v>
      </c>
      <c r="C149" s="76">
        <v>1636</v>
      </c>
    </row>
    <row r="150" spans="1:3" ht="13.5" customHeight="1" x14ac:dyDescent="0.35">
      <c r="A150" s="105" t="s">
        <v>29</v>
      </c>
      <c r="B150" s="119">
        <v>2021</v>
      </c>
      <c r="C150" s="79">
        <v>2913</v>
      </c>
    </row>
    <row r="151" spans="1:3" ht="13.5" customHeight="1" x14ac:dyDescent="0.35">
      <c r="A151" s="97" t="s">
        <v>29</v>
      </c>
      <c r="B151" s="117">
        <v>2022</v>
      </c>
      <c r="C151" s="77">
        <v>3712</v>
      </c>
    </row>
    <row r="152" spans="1:3" ht="13.5" customHeight="1" x14ac:dyDescent="0.35">
      <c r="A152" s="105" t="s">
        <v>29</v>
      </c>
      <c r="B152" s="119">
        <v>2023</v>
      </c>
      <c r="C152" s="78">
        <v>4</v>
      </c>
    </row>
    <row r="153" spans="1:3" ht="13.5" customHeight="1" x14ac:dyDescent="0.35">
      <c r="A153" s="97" t="s">
        <v>29</v>
      </c>
      <c r="B153" s="117">
        <v>2024</v>
      </c>
      <c r="C153" s="76">
        <v>541</v>
      </c>
    </row>
    <row r="154" spans="1:3" ht="13.5" customHeight="1" x14ac:dyDescent="0.35">
      <c r="A154" s="105" t="s">
        <v>29</v>
      </c>
      <c r="B154" s="119">
        <v>2025</v>
      </c>
      <c r="C154" s="79">
        <v>901</v>
      </c>
    </row>
    <row r="155" spans="1:3" ht="13.5" customHeight="1" x14ac:dyDescent="0.35">
      <c r="A155" s="97" t="s">
        <v>30</v>
      </c>
      <c r="B155" s="117">
        <v>2016</v>
      </c>
      <c r="C155" s="76">
        <v>125</v>
      </c>
    </row>
    <row r="156" spans="1:3" ht="13.5" customHeight="1" x14ac:dyDescent="0.35">
      <c r="A156" s="105" t="s">
        <v>30</v>
      </c>
      <c r="B156" s="119">
        <v>2017</v>
      </c>
      <c r="C156" s="79">
        <v>286</v>
      </c>
    </row>
    <row r="157" spans="1:3" ht="13.5" customHeight="1" x14ac:dyDescent="0.35">
      <c r="A157" s="97" t="s">
        <v>30</v>
      </c>
      <c r="B157" s="117">
        <v>2018</v>
      </c>
      <c r="C157" s="76">
        <v>384</v>
      </c>
    </row>
    <row r="158" spans="1:3" ht="13.5" customHeight="1" x14ac:dyDescent="0.35">
      <c r="A158" s="105" t="s">
        <v>30</v>
      </c>
      <c r="B158" s="119">
        <v>2019</v>
      </c>
      <c r="C158" s="79">
        <v>1968</v>
      </c>
    </row>
    <row r="159" spans="1:3" ht="13.5" customHeight="1" x14ac:dyDescent="0.35">
      <c r="A159" s="97" t="s">
        <v>30</v>
      </c>
      <c r="B159" s="117">
        <v>2020</v>
      </c>
      <c r="C159" s="76">
        <v>3765</v>
      </c>
    </row>
    <row r="160" spans="1:3" ht="13.5" customHeight="1" x14ac:dyDescent="0.35">
      <c r="A160" s="105" t="s">
        <v>30</v>
      </c>
      <c r="B160" s="119">
        <v>2021</v>
      </c>
      <c r="C160" s="79">
        <v>6335</v>
      </c>
    </row>
    <row r="161" spans="1:3" ht="13.5" customHeight="1" x14ac:dyDescent="0.35">
      <c r="A161" s="97" t="s">
        <v>30</v>
      </c>
      <c r="B161" s="117">
        <v>2022</v>
      </c>
      <c r="C161" s="77">
        <v>8307</v>
      </c>
    </row>
    <row r="162" spans="1:3" ht="13.5" customHeight="1" x14ac:dyDescent="0.35">
      <c r="A162" s="105" t="s">
        <v>30</v>
      </c>
      <c r="B162" s="119">
        <v>2023</v>
      </c>
      <c r="C162" s="78">
        <v>10</v>
      </c>
    </row>
    <row r="163" spans="1:3" ht="13.5" customHeight="1" x14ac:dyDescent="0.35">
      <c r="A163" s="97" t="s">
        <v>30</v>
      </c>
      <c r="B163" s="117">
        <v>2024</v>
      </c>
      <c r="C163" s="76">
        <v>955</v>
      </c>
    </row>
    <row r="164" spans="1:3" ht="13.5" customHeight="1" x14ac:dyDescent="0.35">
      <c r="A164" s="105" t="s">
        <v>30</v>
      </c>
      <c r="B164" s="119">
        <v>2025</v>
      </c>
      <c r="C164" s="79">
        <v>1515</v>
      </c>
    </row>
    <row r="165" spans="1:3" ht="13.5" customHeight="1" x14ac:dyDescent="0.35">
      <c r="A165" s="97" t="s">
        <v>31</v>
      </c>
      <c r="B165" s="117">
        <v>2016</v>
      </c>
      <c r="C165" s="76">
        <v>37</v>
      </c>
    </row>
    <row r="166" spans="1:3" ht="13.5" customHeight="1" x14ac:dyDescent="0.35">
      <c r="A166" s="105" t="s">
        <v>31</v>
      </c>
      <c r="B166" s="119">
        <v>2017</v>
      </c>
      <c r="C166" s="79">
        <v>112</v>
      </c>
    </row>
    <row r="167" spans="1:3" ht="13.5" customHeight="1" x14ac:dyDescent="0.35">
      <c r="A167" s="97" t="s">
        <v>31</v>
      </c>
      <c r="B167" s="117">
        <v>2018</v>
      </c>
      <c r="C167" s="76">
        <v>129</v>
      </c>
    </row>
    <row r="168" spans="1:3" ht="13.5" customHeight="1" x14ac:dyDescent="0.35">
      <c r="A168" s="105" t="s">
        <v>31</v>
      </c>
      <c r="B168" s="119">
        <v>2019</v>
      </c>
      <c r="C168" s="79">
        <v>288</v>
      </c>
    </row>
    <row r="169" spans="1:3" ht="13.5" customHeight="1" x14ac:dyDescent="0.35">
      <c r="A169" s="97" t="s">
        <v>31</v>
      </c>
      <c r="B169" s="117">
        <v>2020</v>
      </c>
      <c r="C169" s="76">
        <v>462</v>
      </c>
    </row>
    <row r="170" spans="1:3" ht="13.5" customHeight="1" x14ac:dyDescent="0.35">
      <c r="A170" s="105" t="s">
        <v>31</v>
      </c>
      <c r="B170" s="119">
        <v>2021</v>
      </c>
      <c r="C170" s="79">
        <v>1209</v>
      </c>
    </row>
    <row r="171" spans="1:3" ht="13.5" customHeight="1" x14ac:dyDescent="0.35">
      <c r="A171" s="97" t="s">
        <v>31</v>
      </c>
      <c r="B171" s="117">
        <v>2022</v>
      </c>
      <c r="C171" s="77">
        <v>1426</v>
      </c>
    </row>
    <row r="172" spans="1:3" ht="13.5" customHeight="1" x14ac:dyDescent="0.35">
      <c r="A172" s="105" t="s">
        <v>31</v>
      </c>
      <c r="B172" s="119">
        <v>2023</v>
      </c>
      <c r="C172" s="78">
        <v>0</v>
      </c>
    </row>
    <row r="173" spans="1:3" ht="13.5" customHeight="1" x14ac:dyDescent="0.35">
      <c r="A173" s="97" t="s">
        <v>31</v>
      </c>
      <c r="B173" s="117">
        <v>2024</v>
      </c>
      <c r="C173" s="76">
        <v>272</v>
      </c>
    </row>
    <row r="174" spans="1:3" ht="13.5" customHeight="1" x14ac:dyDescent="0.35">
      <c r="A174" s="105" t="s">
        <v>31</v>
      </c>
      <c r="B174" s="119">
        <v>2025</v>
      </c>
      <c r="C174" s="79">
        <v>284</v>
      </c>
    </row>
    <row r="175" spans="1:3" ht="13.5" customHeight="1" x14ac:dyDescent="0.35">
      <c r="A175" s="97" t="s">
        <v>32</v>
      </c>
      <c r="B175" s="117">
        <v>2016</v>
      </c>
      <c r="C175" s="76">
        <v>386</v>
      </c>
    </row>
    <row r="176" spans="1:3" ht="13.5" customHeight="1" x14ac:dyDescent="0.35">
      <c r="A176" s="105" t="s">
        <v>32</v>
      </c>
      <c r="B176" s="119">
        <v>2017</v>
      </c>
      <c r="C176" s="79">
        <v>518</v>
      </c>
    </row>
    <row r="177" spans="1:3" ht="13.5" customHeight="1" x14ac:dyDescent="0.35">
      <c r="A177" s="97" t="s">
        <v>32</v>
      </c>
      <c r="B177" s="117">
        <v>2018</v>
      </c>
      <c r="C177" s="76">
        <v>1238</v>
      </c>
    </row>
    <row r="178" spans="1:3" ht="13.5" customHeight="1" x14ac:dyDescent="0.35">
      <c r="A178" s="105" t="s">
        <v>32</v>
      </c>
      <c r="B178" s="119">
        <v>2019</v>
      </c>
      <c r="C178" s="79">
        <v>7341</v>
      </c>
    </row>
    <row r="179" spans="1:3" ht="13.5" customHeight="1" x14ac:dyDescent="0.35">
      <c r="A179" s="97" t="s">
        <v>32</v>
      </c>
      <c r="B179" s="117">
        <v>2020</v>
      </c>
      <c r="C179" s="76">
        <v>17292</v>
      </c>
    </row>
    <row r="180" spans="1:3" ht="13.5" customHeight="1" x14ac:dyDescent="0.35">
      <c r="A180" s="105" t="s">
        <v>32</v>
      </c>
      <c r="B180" s="119">
        <v>2021</v>
      </c>
      <c r="C180" s="79">
        <v>15235</v>
      </c>
    </row>
    <row r="181" spans="1:3" ht="13.5" customHeight="1" x14ac:dyDescent="0.35">
      <c r="A181" s="97" t="s">
        <v>32</v>
      </c>
      <c r="B181" s="117">
        <v>2022</v>
      </c>
      <c r="C181" s="77">
        <v>38850</v>
      </c>
    </row>
    <row r="182" spans="1:3" ht="13.5" customHeight="1" x14ac:dyDescent="0.35">
      <c r="A182" s="105" t="s">
        <v>32</v>
      </c>
      <c r="B182" s="119">
        <v>2023</v>
      </c>
      <c r="C182" s="78">
        <v>87</v>
      </c>
    </row>
    <row r="183" spans="1:3" ht="13.5" customHeight="1" x14ac:dyDescent="0.35">
      <c r="A183" s="97" t="s">
        <v>32</v>
      </c>
      <c r="B183" s="117">
        <v>2024</v>
      </c>
      <c r="C183" s="76">
        <v>5326</v>
      </c>
    </row>
    <row r="184" spans="1:3" ht="13.5" customHeight="1" x14ac:dyDescent="0.35">
      <c r="A184" s="105" t="s">
        <v>32</v>
      </c>
      <c r="B184" s="119">
        <v>2025</v>
      </c>
      <c r="C184" s="79">
        <v>7310</v>
      </c>
    </row>
    <row r="185" spans="1:3" ht="13.5" customHeight="1" x14ac:dyDescent="0.35">
      <c r="A185" s="97" t="s">
        <v>33</v>
      </c>
      <c r="B185" s="117">
        <v>2016</v>
      </c>
      <c r="C185" s="76">
        <v>399</v>
      </c>
    </row>
    <row r="186" spans="1:3" ht="13.5" customHeight="1" x14ac:dyDescent="0.35">
      <c r="A186" s="105" t="s">
        <v>33</v>
      </c>
      <c r="B186" s="119">
        <v>2017</v>
      </c>
      <c r="C186" s="79">
        <v>672</v>
      </c>
    </row>
    <row r="187" spans="1:3" ht="13.5" customHeight="1" x14ac:dyDescent="0.35">
      <c r="A187" s="97" t="s">
        <v>33</v>
      </c>
      <c r="B187" s="117">
        <v>2018</v>
      </c>
      <c r="C187" s="76">
        <v>1481</v>
      </c>
    </row>
    <row r="188" spans="1:3" ht="13.5" customHeight="1" x14ac:dyDescent="0.35">
      <c r="A188" s="105" t="s">
        <v>33</v>
      </c>
      <c r="B188" s="119">
        <v>2019</v>
      </c>
      <c r="C188" s="79">
        <v>1502</v>
      </c>
    </row>
    <row r="189" spans="1:3" ht="13.5" customHeight="1" x14ac:dyDescent="0.35">
      <c r="A189" s="97" t="s">
        <v>33</v>
      </c>
      <c r="B189" s="117">
        <v>2020</v>
      </c>
      <c r="C189" s="76">
        <v>3221</v>
      </c>
    </row>
    <row r="190" spans="1:3" ht="13.5" customHeight="1" x14ac:dyDescent="0.35">
      <c r="A190" s="105" t="s">
        <v>33</v>
      </c>
      <c r="B190" s="119">
        <v>2021</v>
      </c>
      <c r="C190" s="79">
        <v>7957</v>
      </c>
    </row>
    <row r="191" spans="1:3" ht="13.5" customHeight="1" x14ac:dyDescent="0.35">
      <c r="A191" s="97" t="s">
        <v>33</v>
      </c>
      <c r="B191" s="117">
        <v>2022</v>
      </c>
      <c r="C191" s="77">
        <v>14706</v>
      </c>
    </row>
    <row r="192" spans="1:3" ht="13.5" customHeight="1" x14ac:dyDescent="0.35">
      <c r="A192" s="105" t="s">
        <v>33</v>
      </c>
      <c r="B192" s="119">
        <v>2023</v>
      </c>
      <c r="C192" s="78">
        <v>49</v>
      </c>
    </row>
    <row r="193" spans="1:3" ht="13.5" customHeight="1" x14ac:dyDescent="0.35">
      <c r="A193" s="97" t="s">
        <v>33</v>
      </c>
      <c r="B193" s="117">
        <v>2024</v>
      </c>
      <c r="C193" s="76">
        <v>2736</v>
      </c>
    </row>
    <row r="194" spans="1:3" ht="13.5" customHeight="1" x14ac:dyDescent="0.35">
      <c r="A194" s="105" t="s">
        <v>33</v>
      </c>
      <c r="B194" s="119">
        <v>2025</v>
      </c>
      <c r="C194" s="79">
        <v>5065</v>
      </c>
    </row>
    <row r="195" spans="1:3" ht="13.5" customHeight="1" x14ac:dyDescent="0.35">
      <c r="A195" s="97" t="s">
        <v>34</v>
      </c>
      <c r="B195" s="117">
        <v>2016</v>
      </c>
      <c r="C195" s="76">
        <v>76</v>
      </c>
    </row>
    <row r="196" spans="1:3" ht="13.5" customHeight="1" x14ac:dyDescent="0.35">
      <c r="A196" s="105" t="s">
        <v>34</v>
      </c>
      <c r="B196" s="119">
        <v>2017</v>
      </c>
      <c r="C196" s="79">
        <v>78</v>
      </c>
    </row>
    <row r="197" spans="1:3" ht="13.5" customHeight="1" x14ac:dyDescent="0.35">
      <c r="A197" s="97" t="s">
        <v>34</v>
      </c>
      <c r="B197" s="117">
        <v>2018</v>
      </c>
      <c r="C197" s="76">
        <v>107</v>
      </c>
    </row>
    <row r="198" spans="1:3" ht="13.5" customHeight="1" x14ac:dyDescent="0.35">
      <c r="A198" s="105" t="s">
        <v>34</v>
      </c>
      <c r="B198" s="119">
        <v>2019</v>
      </c>
      <c r="C198" s="79">
        <v>939</v>
      </c>
    </row>
    <row r="199" spans="1:3" ht="13.5" customHeight="1" x14ac:dyDescent="0.35">
      <c r="A199" s="97" t="s">
        <v>34</v>
      </c>
      <c r="B199" s="117">
        <v>2020</v>
      </c>
      <c r="C199" s="76">
        <v>1181</v>
      </c>
    </row>
    <row r="200" spans="1:3" ht="13.5" customHeight="1" x14ac:dyDescent="0.35">
      <c r="A200" s="105" t="s">
        <v>34</v>
      </c>
      <c r="B200" s="119">
        <v>2021</v>
      </c>
      <c r="C200" s="79">
        <v>1932</v>
      </c>
    </row>
    <row r="201" spans="1:3" ht="13.5" customHeight="1" x14ac:dyDescent="0.35">
      <c r="A201" s="97" t="s">
        <v>34</v>
      </c>
      <c r="B201" s="117">
        <v>2022</v>
      </c>
      <c r="C201" s="77">
        <v>2477</v>
      </c>
    </row>
    <row r="202" spans="1:3" ht="13.5" customHeight="1" x14ac:dyDescent="0.35">
      <c r="A202" s="105" t="s">
        <v>34</v>
      </c>
      <c r="B202" s="119">
        <v>2023</v>
      </c>
      <c r="C202" s="78">
        <v>3</v>
      </c>
    </row>
    <row r="203" spans="1:3" ht="13.5" customHeight="1" x14ac:dyDescent="0.35">
      <c r="A203" s="97" t="s">
        <v>34</v>
      </c>
      <c r="B203" s="117">
        <v>2024</v>
      </c>
      <c r="C203" s="76">
        <v>652</v>
      </c>
    </row>
    <row r="204" spans="1:3" ht="13.5" customHeight="1" x14ac:dyDescent="0.35">
      <c r="A204" s="105" t="s">
        <v>34</v>
      </c>
      <c r="B204" s="119">
        <v>2025</v>
      </c>
      <c r="C204" s="79">
        <v>564</v>
      </c>
    </row>
    <row r="205" spans="1:3" ht="13.5" customHeight="1" x14ac:dyDescent="0.35">
      <c r="A205" s="97" t="s">
        <v>35</v>
      </c>
      <c r="B205" s="117">
        <v>2016</v>
      </c>
      <c r="C205" s="76">
        <v>84</v>
      </c>
    </row>
    <row r="206" spans="1:3" ht="13.5" customHeight="1" x14ac:dyDescent="0.35">
      <c r="A206" s="105" t="s">
        <v>35</v>
      </c>
      <c r="B206" s="119">
        <v>2017</v>
      </c>
      <c r="C206" s="79">
        <v>88</v>
      </c>
    </row>
    <row r="207" spans="1:3" ht="13.5" customHeight="1" x14ac:dyDescent="0.35">
      <c r="A207" s="97" t="s">
        <v>35</v>
      </c>
      <c r="B207" s="117">
        <v>2018</v>
      </c>
      <c r="C207" s="76">
        <v>207</v>
      </c>
    </row>
    <row r="208" spans="1:3" ht="13.5" customHeight="1" x14ac:dyDescent="0.35">
      <c r="A208" s="105" t="s">
        <v>35</v>
      </c>
      <c r="B208" s="119">
        <v>2019</v>
      </c>
      <c r="C208" s="79">
        <v>956</v>
      </c>
    </row>
    <row r="209" spans="1:3" ht="13.5" customHeight="1" x14ac:dyDescent="0.35">
      <c r="A209" s="97" t="s">
        <v>35</v>
      </c>
      <c r="B209" s="117">
        <v>2020</v>
      </c>
      <c r="C209" s="76">
        <v>1899</v>
      </c>
    </row>
    <row r="210" spans="1:3" ht="13.5" customHeight="1" x14ac:dyDescent="0.35">
      <c r="A210" s="105" t="s">
        <v>35</v>
      </c>
      <c r="B210" s="119">
        <v>2021</v>
      </c>
      <c r="C210" s="79">
        <v>3543</v>
      </c>
    </row>
    <row r="211" spans="1:3" ht="13.5" customHeight="1" x14ac:dyDescent="0.35">
      <c r="A211" s="97" t="s">
        <v>35</v>
      </c>
      <c r="B211" s="117">
        <v>2022</v>
      </c>
      <c r="C211" s="77">
        <v>5550</v>
      </c>
    </row>
    <row r="212" spans="1:3" ht="13.5" customHeight="1" x14ac:dyDescent="0.35">
      <c r="A212" s="105" t="s">
        <v>35</v>
      </c>
      <c r="B212" s="119">
        <v>2023</v>
      </c>
      <c r="C212" s="78">
        <v>8</v>
      </c>
    </row>
    <row r="213" spans="1:3" ht="13.5" customHeight="1" x14ac:dyDescent="0.35">
      <c r="A213" s="97" t="s">
        <v>35</v>
      </c>
      <c r="B213" s="117">
        <v>2024</v>
      </c>
      <c r="C213" s="76">
        <v>378</v>
      </c>
    </row>
    <row r="214" spans="1:3" ht="13.5" customHeight="1" x14ac:dyDescent="0.35">
      <c r="A214" s="105" t="s">
        <v>35</v>
      </c>
      <c r="B214" s="119">
        <v>2025</v>
      </c>
      <c r="C214" s="79">
        <v>650</v>
      </c>
    </row>
    <row r="215" spans="1:3" ht="13.5" customHeight="1" x14ac:dyDescent="0.35">
      <c r="A215" s="97" t="s">
        <v>36</v>
      </c>
      <c r="B215" s="117">
        <v>2016</v>
      </c>
      <c r="C215" s="76">
        <v>0</v>
      </c>
    </row>
    <row r="216" spans="1:3" ht="13.5" customHeight="1" x14ac:dyDescent="0.35">
      <c r="A216" s="105" t="s">
        <v>36</v>
      </c>
      <c r="B216" s="119">
        <v>2017</v>
      </c>
      <c r="C216" s="79">
        <v>7</v>
      </c>
    </row>
    <row r="217" spans="1:3" ht="13.5" customHeight="1" x14ac:dyDescent="0.35">
      <c r="A217" s="97" t="s">
        <v>36</v>
      </c>
      <c r="B217" s="117">
        <v>2018</v>
      </c>
      <c r="C217" s="76">
        <v>16</v>
      </c>
    </row>
    <row r="218" spans="1:3" ht="13.5" customHeight="1" x14ac:dyDescent="0.35">
      <c r="A218" s="105" t="s">
        <v>36</v>
      </c>
      <c r="B218" s="119">
        <v>2019</v>
      </c>
      <c r="C218" s="79">
        <v>63</v>
      </c>
    </row>
    <row r="219" spans="1:3" ht="13.5" customHeight="1" x14ac:dyDescent="0.35">
      <c r="A219" s="97" t="s">
        <v>36</v>
      </c>
      <c r="B219" s="117">
        <v>2020</v>
      </c>
      <c r="C219" s="76">
        <v>104</v>
      </c>
    </row>
    <row r="220" spans="1:3" ht="13.5" customHeight="1" x14ac:dyDescent="0.35">
      <c r="A220" s="105" t="s">
        <v>36</v>
      </c>
      <c r="B220" s="119">
        <v>2021</v>
      </c>
      <c r="C220" s="79">
        <v>241</v>
      </c>
    </row>
    <row r="221" spans="1:3" ht="13.5" customHeight="1" x14ac:dyDescent="0.35">
      <c r="A221" s="97" t="s">
        <v>36</v>
      </c>
      <c r="B221" s="117">
        <v>2022</v>
      </c>
      <c r="C221" s="77">
        <v>515</v>
      </c>
    </row>
    <row r="222" spans="1:3" ht="13.5" customHeight="1" x14ac:dyDescent="0.35">
      <c r="A222" s="105" t="s">
        <v>36</v>
      </c>
      <c r="B222" s="119">
        <v>2023</v>
      </c>
      <c r="C222" s="78">
        <v>6</v>
      </c>
    </row>
    <row r="223" spans="1:3" ht="13.5" customHeight="1" x14ac:dyDescent="0.35">
      <c r="A223" s="97" t="s">
        <v>36</v>
      </c>
      <c r="B223" s="117">
        <v>2024</v>
      </c>
      <c r="C223" s="76">
        <v>56</v>
      </c>
    </row>
    <row r="224" spans="1:3" ht="13.5" customHeight="1" x14ac:dyDescent="0.35">
      <c r="A224" s="105" t="s">
        <v>36</v>
      </c>
      <c r="B224" s="119">
        <v>2025</v>
      </c>
      <c r="C224" s="79">
        <v>47</v>
      </c>
    </row>
    <row r="225" spans="1:3" ht="13.5" customHeight="1" x14ac:dyDescent="0.35">
      <c r="A225" s="97" t="s">
        <v>37</v>
      </c>
      <c r="B225" s="117">
        <v>2016</v>
      </c>
      <c r="C225" s="76">
        <v>863</v>
      </c>
    </row>
    <row r="226" spans="1:3" ht="13.5" customHeight="1" x14ac:dyDescent="0.35">
      <c r="A226" s="105" t="s">
        <v>37</v>
      </c>
      <c r="B226" s="119">
        <v>2017</v>
      </c>
      <c r="C226" s="79">
        <v>1460</v>
      </c>
    </row>
    <row r="227" spans="1:3" ht="13.5" customHeight="1" x14ac:dyDescent="0.35">
      <c r="A227" s="97" t="s">
        <v>37</v>
      </c>
      <c r="B227" s="117">
        <v>2018</v>
      </c>
      <c r="C227" s="76">
        <v>2059</v>
      </c>
    </row>
    <row r="228" spans="1:3" ht="13.5" customHeight="1" x14ac:dyDescent="0.35">
      <c r="A228" s="105" t="s">
        <v>37</v>
      </c>
      <c r="B228" s="119">
        <v>2019</v>
      </c>
      <c r="C228" s="79">
        <v>10957</v>
      </c>
    </row>
    <row r="229" spans="1:3" ht="13.5" customHeight="1" x14ac:dyDescent="0.35">
      <c r="A229" s="97" t="s">
        <v>37</v>
      </c>
      <c r="B229" s="117">
        <v>2020</v>
      </c>
      <c r="C229" s="76">
        <v>15875</v>
      </c>
    </row>
    <row r="230" spans="1:3" ht="13.5" customHeight="1" x14ac:dyDescent="0.35">
      <c r="A230" s="105" t="s">
        <v>37</v>
      </c>
      <c r="B230" s="119">
        <v>2021</v>
      </c>
      <c r="C230" s="79">
        <v>24668</v>
      </c>
    </row>
    <row r="231" spans="1:3" ht="13.5" customHeight="1" x14ac:dyDescent="0.35">
      <c r="A231" s="97" t="s">
        <v>37</v>
      </c>
      <c r="B231" s="117">
        <v>2022</v>
      </c>
      <c r="C231" s="77">
        <v>29744</v>
      </c>
    </row>
    <row r="232" spans="1:3" ht="13.5" customHeight="1" x14ac:dyDescent="0.35">
      <c r="A232" s="105" t="s">
        <v>37</v>
      </c>
      <c r="B232" s="119">
        <v>2023</v>
      </c>
      <c r="C232" s="78">
        <v>150</v>
      </c>
    </row>
    <row r="233" spans="1:3" ht="13.5" customHeight="1" x14ac:dyDescent="0.35">
      <c r="A233" s="97" t="s">
        <v>37</v>
      </c>
      <c r="B233" s="117">
        <v>2024</v>
      </c>
      <c r="C233" s="76">
        <v>5362</v>
      </c>
    </row>
    <row r="234" spans="1:3" ht="13.5" customHeight="1" x14ac:dyDescent="0.35">
      <c r="A234" s="105" t="s">
        <v>37</v>
      </c>
      <c r="B234" s="119">
        <v>2025</v>
      </c>
      <c r="C234" s="79">
        <v>4808</v>
      </c>
    </row>
    <row r="235" spans="1:3" ht="13.5" customHeight="1" x14ac:dyDescent="0.35">
      <c r="A235" s="97" t="s">
        <v>38</v>
      </c>
      <c r="B235" s="117">
        <v>2016</v>
      </c>
      <c r="C235" s="76">
        <v>435</v>
      </c>
    </row>
    <row r="236" spans="1:3" ht="13.5" customHeight="1" x14ac:dyDescent="0.35">
      <c r="A236" s="105" t="s">
        <v>38</v>
      </c>
      <c r="B236" s="119">
        <v>2017</v>
      </c>
      <c r="C236" s="79">
        <v>500</v>
      </c>
    </row>
    <row r="237" spans="1:3" ht="13.5" customHeight="1" x14ac:dyDescent="0.35">
      <c r="A237" s="97" t="s">
        <v>38</v>
      </c>
      <c r="B237" s="117">
        <v>2018</v>
      </c>
      <c r="C237" s="76">
        <v>1043</v>
      </c>
    </row>
    <row r="238" spans="1:3" ht="13.5" customHeight="1" x14ac:dyDescent="0.35">
      <c r="A238" s="105" t="s">
        <v>38</v>
      </c>
      <c r="B238" s="119">
        <v>2019</v>
      </c>
      <c r="C238" s="79">
        <v>7220</v>
      </c>
    </row>
    <row r="239" spans="1:3" ht="13.5" customHeight="1" x14ac:dyDescent="0.35">
      <c r="A239" s="97" t="s">
        <v>38</v>
      </c>
      <c r="B239" s="117">
        <v>2020</v>
      </c>
      <c r="C239" s="76">
        <v>13006</v>
      </c>
    </row>
    <row r="240" spans="1:3" ht="13.5" customHeight="1" x14ac:dyDescent="0.35">
      <c r="A240" s="105" t="s">
        <v>38</v>
      </c>
      <c r="B240" s="119">
        <v>2021</v>
      </c>
      <c r="C240" s="79">
        <v>11286</v>
      </c>
    </row>
    <row r="241" spans="1:3" ht="13.5" customHeight="1" x14ac:dyDescent="0.35">
      <c r="A241" s="97" t="s">
        <v>38</v>
      </c>
      <c r="B241" s="117">
        <v>2022</v>
      </c>
      <c r="C241" s="77">
        <v>28247</v>
      </c>
    </row>
    <row r="242" spans="1:3" ht="13.5" customHeight="1" x14ac:dyDescent="0.35">
      <c r="A242" s="105" t="s">
        <v>38</v>
      </c>
      <c r="B242" s="119">
        <v>2023</v>
      </c>
      <c r="C242" s="78">
        <v>74</v>
      </c>
    </row>
    <row r="243" spans="1:3" ht="13.5" customHeight="1" x14ac:dyDescent="0.35">
      <c r="A243" s="97" t="s">
        <v>38</v>
      </c>
      <c r="B243" s="117">
        <v>2024</v>
      </c>
      <c r="C243" s="76">
        <v>5865</v>
      </c>
    </row>
    <row r="244" spans="1:3" ht="13.5" customHeight="1" x14ac:dyDescent="0.35">
      <c r="A244" s="105" t="s">
        <v>38</v>
      </c>
      <c r="B244" s="119">
        <v>2025</v>
      </c>
      <c r="C244" s="79">
        <v>5749</v>
      </c>
    </row>
    <row r="245" spans="1:3" ht="13.5" customHeight="1" x14ac:dyDescent="0.35">
      <c r="A245" s="97" t="s">
        <v>39</v>
      </c>
      <c r="B245" s="117">
        <v>2016</v>
      </c>
      <c r="C245" s="76">
        <v>55</v>
      </c>
    </row>
    <row r="246" spans="1:3" ht="13.5" customHeight="1" x14ac:dyDescent="0.35">
      <c r="A246" s="105" t="s">
        <v>39</v>
      </c>
      <c r="B246" s="119">
        <v>2017</v>
      </c>
      <c r="C246" s="79">
        <v>86</v>
      </c>
    </row>
    <row r="247" spans="1:3" ht="13.5" customHeight="1" x14ac:dyDescent="0.35">
      <c r="A247" s="97" t="s">
        <v>39</v>
      </c>
      <c r="B247" s="117">
        <v>2018</v>
      </c>
      <c r="C247" s="76">
        <v>94</v>
      </c>
    </row>
    <row r="248" spans="1:3" ht="13.5" customHeight="1" x14ac:dyDescent="0.35">
      <c r="A248" s="105" t="s">
        <v>39</v>
      </c>
      <c r="B248" s="119">
        <v>2019</v>
      </c>
      <c r="C248" s="79">
        <v>364</v>
      </c>
    </row>
    <row r="249" spans="1:3" ht="13.5" customHeight="1" x14ac:dyDescent="0.35">
      <c r="A249" s="97" t="s">
        <v>39</v>
      </c>
      <c r="B249" s="117">
        <v>2020</v>
      </c>
      <c r="C249" s="76">
        <v>619</v>
      </c>
    </row>
    <row r="250" spans="1:3" ht="13.5" customHeight="1" x14ac:dyDescent="0.35">
      <c r="A250" s="105" t="s">
        <v>39</v>
      </c>
      <c r="B250" s="119">
        <v>2021</v>
      </c>
      <c r="C250" s="79">
        <v>1003</v>
      </c>
    </row>
    <row r="251" spans="1:3" ht="13.5" customHeight="1" x14ac:dyDescent="0.35">
      <c r="A251" s="97" t="s">
        <v>39</v>
      </c>
      <c r="B251" s="117">
        <v>2022</v>
      </c>
      <c r="C251" s="77">
        <v>1048</v>
      </c>
    </row>
    <row r="252" spans="1:3" ht="13.5" customHeight="1" x14ac:dyDescent="0.35">
      <c r="A252" s="105" t="s">
        <v>39</v>
      </c>
      <c r="B252" s="119">
        <v>2023</v>
      </c>
      <c r="C252" s="78">
        <v>1</v>
      </c>
    </row>
    <row r="253" spans="1:3" ht="13.5" customHeight="1" x14ac:dyDescent="0.35">
      <c r="A253" s="97" t="s">
        <v>39</v>
      </c>
      <c r="B253" s="117">
        <v>2024</v>
      </c>
      <c r="C253" s="76">
        <v>24</v>
      </c>
    </row>
    <row r="254" spans="1:3" ht="13.5" customHeight="1" x14ac:dyDescent="0.35">
      <c r="A254" s="105" t="s">
        <v>39</v>
      </c>
      <c r="B254" s="119">
        <v>2025</v>
      </c>
      <c r="C254" s="79">
        <v>467</v>
      </c>
    </row>
    <row r="255" spans="1:3" ht="13.5" customHeight="1" x14ac:dyDescent="0.35">
      <c r="A255" s="97" t="s">
        <v>40</v>
      </c>
      <c r="B255" s="117">
        <v>2016</v>
      </c>
      <c r="C255" s="76">
        <v>1994</v>
      </c>
    </row>
    <row r="256" spans="1:3" ht="13.5" customHeight="1" x14ac:dyDescent="0.35">
      <c r="A256" s="105" t="s">
        <v>40</v>
      </c>
      <c r="B256" s="119">
        <v>2017</v>
      </c>
      <c r="C256" s="79">
        <v>3248</v>
      </c>
    </row>
    <row r="257" spans="1:3" ht="13.5" customHeight="1" x14ac:dyDescent="0.35">
      <c r="A257" s="97" t="s">
        <v>40</v>
      </c>
      <c r="B257" s="117">
        <v>2018</v>
      </c>
      <c r="C257" s="76">
        <v>4559</v>
      </c>
    </row>
    <row r="258" spans="1:3" ht="13.5" customHeight="1" x14ac:dyDescent="0.35">
      <c r="A258" s="105" t="s">
        <v>40</v>
      </c>
      <c r="B258" s="119">
        <v>2019</v>
      </c>
      <c r="C258" s="79">
        <v>24737</v>
      </c>
    </row>
    <row r="259" spans="1:3" ht="13.5" customHeight="1" x14ac:dyDescent="0.35">
      <c r="A259" s="97" t="s">
        <v>40</v>
      </c>
      <c r="B259" s="117">
        <v>2020</v>
      </c>
      <c r="C259" s="76">
        <v>23416</v>
      </c>
    </row>
    <row r="260" spans="1:3" ht="13.5" customHeight="1" x14ac:dyDescent="0.35">
      <c r="A260" s="105" t="s">
        <v>40</v>
      </c>
      <c r="B260" s="119">
        <v>2021</v>
      </c>
      <c r="C260" s="79">
        <v>60194</v>
      </c>
    </row>
    <row r="261" spans="1:3" ht="13.5" customHeight="1" x14ac:dyDescent="0.35">
      <c r="A261" s="97" t="s">
        <v>40</v>
      </c>
      <c r="B261" s="117">
        <v>2022</v>
      </c>
      <c r="C261" s="77">
        <v>84719</v>
      </c>
    </row>
    <row r="262" spans="1:3" ht="13.5" customHeight="1" x14ac:dyDescent="0.35">
      <c r="A262" s="105" t="s">
        <v>40</v>
      </c>
      <c r="B262" s="119">
        <v>2023</v>
      </c>
      <c r="C262" s="78">
        <v>196</v>
      </c>
    </row>
    <row r="263" spans="1:3" ht="13.5" customHeight="1" x14ac:dyDescent="0.35">
      <c r="A263" s="97" t="s">
        <v>40</v>
      </c>
      <c r="B263" s="117">
        <v>2024</v>
      </c>
      <c r="C263" s="76">
        <v>27463</v>
      </c>
    </row>
    <row r="264" spans="1:3" ht="13.5" customHeight="1" x14ac:dyDescent="0.35">
      <c r="A264" s="105" t="s">
        <v>40</v>
      </c>
      <c r="B264" s="119">
        <v>2025</v>
      </c>
      <c r="C264" s="79">
        <v>22670</v>
      </c>
    </row>
    <row r="265" spans="1:3" ht="13.5" customHeight="1" x14ac:dyDescent="0.35">
      <c r="A265" s="97" t="s">
        <v>41</v>
      </c>
      <c r="B265" s="117">
        <v>2016</v>
      </c>
      <c r="C265" s="76">
        <v>59</v>
      </c>
    </row>
    <row r="266" spans="1:3" ht="13.5" customHeight="1" x14ac:dyDescent="0.35">
      <c r="A266" s="105" t="s">
        <v>41</v>
      </c>
      <c r="B266" s="119">
        <v>2017</v>
      </c>
      <c r="C266" s="79">
        <v>58</v>
      </c>
    </row>
    <row r="267" spans="1:3" ht="13.5" customHeight="1" x14ac:dyDescent="0.35">
      <c r="A267" s="97" t="s">
        <v>41</v>
      </c>
      <c r="B267" s="117">
        <v>2018</v>
      </c>
      <c r="C267" s="76">
        <v>103</v>
      </c>
    </row>
    <row r="268" spans="1:3" ht="13.5" customHeight="1" x14ac:dyDescent="0.35">
      <c r="A268" s="105" t="s">
        <v>41</v>
      </c>
      <c r="B268" s="119">
        <v>2019</v>
      </c>
      <c r="C268" s="79">
        <v>432</v>
      </c>
    </row>
    <row r="269" spans="1:3" ht="13.5" customHeight="1" x14ac:dyDescent="0.35">
      <c r="A269" s="97" t="s">
        <v>41</v>
      </c>
      <c r="B269" s="117">
        <v>2020</v>
      </c>
      <c r="C269" s="76">
        <v>753</v>
      </c>
    </row>
    <row r="270" spans="1:3" ht="13.5" customHeight="1" x14ac:dyDescent="0.35">
      <c r="A270" s="105" t="s">
        <v>41</v>
      </c>
      <c r="B270" s="119">
        <v>2021</v>
      </c>
      <c r="C270" s="79">
        <v>1622</v>
      </c>
    </row>
    <row r="271" spans="1:3" ht="13.5" customHeight="1" x14ac:dyDescent="0.35">
      <c r="A271" s="97" t="s">
        <v>41</v>
      </c>
      <c r="B271" s="117">
        <v>2022</v>
      </c>
      <c r="C271" s="77">
        <v>3056</v>
      </c>
    </row>
    <row r="272" spans="1:3" ht="13.5" customHeight="1" x14ac:dyDescent="0.35">
      <c r="A272" s="105" t="s">
        <v>41</v>
      </c>
      <c r="B272" s="119">
        <v>2023</v>
      </c>
      <c r="C272" s="78">
        <v>5</v>
      </c>
    </row>
    <row r="273" spans="1:3" ht="13.5" customHeight="1" x14ac:dyDescent="0.35">
      <c r="A273" s="97" t="s">
        <v>41</v>
      </c>
      <c r="B273" s="117">
        <v>2024</v>
      </c>
      <c r="C273" s="76">
        <v>652</v>
      </c>
    </row>
    <row r="274" spans="1:3" ht="13.5" customHeight="1" x14ac:dyDescent="0.35">
      <c r="A274" s="105" t="s">
        <v>41</v>
      </c>
      <c r="B274" s="119">
        <v>2025</v>
      </c>
      <c r="C274" s="79">
        <v>819</v>
      </c>
    </row>
    <row r="275" spans="1:3" ht="31.5" customHeight="1" x14ac:dyDescent="0.35">
      <c r="A275" s="197" t="s">
        <v>180</v>
      </c>
      <c r="B275" s="186"/>
      <c r="C275" s="186"/>
    </row>
  </sheetData>
  <mergeCells count="3">
    <mergeCell ref="A1:C1"/>
    <mergeCell ref="A275:C275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W30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2" customWidth="1"/>
    <col min="2" max="2" width="6" customWidth="1"/>
    <col min="3" max="23" width="8" customWidth="1"/>
  </cols>
  <sheetData>
    <row r="1" spans="2:23" ht="19.5" customHeight="1" x14ac:dyDescent="0.35">
      <c r="B1" s="196" t="s">
        <v>181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</row>
    <row r="2" spans="2:23" ht="12.75" customHeight="1" x14ac:dyDescent="0.35">
      <c r="B2" s="198" t="s">
        <v>182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</row>
    <row r="3" spans="2:23" ht="19.5" customHeight="1" x14ac:dyDescent="0.35">
      <c r="B3" s="145" t="s">
        <v>2</v>
      </c>
      <c r="C3" s="147" t="s">
        <v>106</v>
      </c>
      <c r="D3" s="147" t="s">
        <v>107</v>
      </c>
      <c r="E3" s="147" t="s">
        <v>108</v>
      </c>
      <c r="F3" s="147" t="s">
        <v>109</v>
      </c>
      <c r="G3" s="147" t="s">
        <v>110</v>
      </c>
      <c r="H3" s="147" t="s">
        <v>116</v>
      </c>
      <c r="I3" s="147" t="s">
        <v>117</v>
      </c>
      <c r="J3" s="147" t="s">
        <v>118</v>
      </c>
      <c r="K3" s="147" t="s">
        <v>119</v>
      </c>
      <c r="L3" s="147" t="s">
        <v>120</v>
      </c>
      <c r="M3" s="147" t="s">
        <v>121</v>
      </c>
      <c r="N3" s="148" t="s">
        <v>3</v>
      </c>
      <c r="O3" s="148" t="s">
        <v>4</v>
      </c>
      <c r="P3" s="148" t="s">
        <v>5</v>
      </c>
      <c r="Q3" s="148" t="s">
        <v>6</v>
      </c>
      <c r="R3" s="148" t="s">
        <v>7</v>
      </c>
      <c r="S3" s="148" t="s">
        <v>8</v>
      </c>
      <c r="T3" s="149" t="s">
        <v>9</v>
      </c>
      <c r="U3" s="150" t="s">
        <v>10</v>
      </c>
      <c r="V3" s="148" t="s">
        <v>11</v>
      </c>
      <c r="W3" s="148" t="s">
        <v>12</v>
      </c>
    </row>
    <row r="4" spans="2:23" ht="13.5" customHeight="1" x14ac:dyDescent="0.35">
      <c r="B4" s="97" t="s">
        <v>15</v>
      </c>
      <c r="C4" s="124">
        <v>0</v>
      </c>
      <c r="D4" s="124">
        <v>1</v>
      </c>
      <c r="E4" s="124">
        <v>0</v>
      </c>
      <c r="F4" s="124">
        <v>0</v>
      </c>
      <c r="G4" s="124">
        <v>0</v>
      </c>
      <c r="H4" s="124">
        <v>0</v>
      </c>
      <c r="I4" s="124">
        <v>0</v>
      </c>
      <c r="J4" s="124">
        <v>0</v>
      </c>
      <c r="K4" s="124">
        <v>2</v>
      </c>
      <c r="L4" s="124">
        <v>0</v>
      </c>
      <c r="M4" s="124">
        <v>0</v>
      </c>
      <c r="N4" s="76">
        <v>10</v>
      </c>
      <c r="O4" s="76">
        <v>23</v>
      </c>
      <c r="P4" s="76">
        <v>66</v>
      </c>
      <c r="Q4" s="76">
        <v>159</v>
      </c>
      <c r="R4" s="76">
        <v>337</v>
      </c>
      <c r="S4" s="76">
        <v>544</v>
      </c>
      <c r="T4" s="77">
        <v>605</v>
      </c>
      <c r="U4" s="78">
        <v>1</v>
      </c>
      <c r="V4" s="76">
        <v>39</v>
      </c>
      <c r="W4" s="76">
        <v>99</v>
      </c>
    </row>
    <row r="5" spans="2:23" ht="13.5" customHeight="1" x14ac:dyDescent="0.35">
      <c r="B5" s="105" t="s">
        <v>16</v>
      </c>
      <c r="C5" s="151">
        <v>2</v>
      </c>
      <c r="D5" s="151">
        <v>0</v>
      </c>
      <c r="E5" s="151">
        <v>0</v>
      </c>
      <c r="F5" s="151">
        <v>2</v>
      </c>
      <c r="G5" s="151">
        <v>3</v>
      </c>
      <c r="H5" s="151">
        <v>8</v>
      </c>
      <c r="I5" s="151">
        <v>11</v>
      </c>
      <c r="J5" s="151">
        <v>15</v>
      </c>
      <c r="K5" s="151">
        <v>9</v>
      </c>
      <c r="L5" s="151">
        <v>6</v>
      </c>
      <c r="M5" s="151">
        <v>1</v>
      </c>
      <c r="N5" s="79">
        <v>27</v>
      </c>
      <c r="O5" s="79">
        <v>77</v>
      </c>
      <c r="P5" s="79">
        <v>121</v>
      </c>
      <c r="Q5" s="79">
        <v>722</v>
      </c>
      <c r="R5" s="79">
        <v>1261</v>
      </c>
      <c r="S5" s="79">
        <v>2587</v>
      </c>
      <c r="T5" s="77">
        <v>3488</v>
      </c>
      <c r="U5" s="78">
        <v>4</v>
      </c>
      <c r="V5" s="79">
        <v>532</v>
      </c>
      <c r="W5" s="79">
        <v>756</v>
      </c>
    </row>
    <row r="6" spans="2:23" ht="13.5" customHeight="1" x14ac:dyDescent="0.35">
      <c r="B6" s="97" t="s">
        <v>17</v>
      </c>
      <c r="C6" s="124">
        <v>11</v>
      </c>
      <c r="D6" s="124">
        <v>6</v>
      </c>
      <c r="E6" s="124">
        <v>14</v>
      </c>
      <c r="F6" s="124">
        <v>9</v>
      </c>
      <c r="G6" s="124">
        <v>25</v>
      </c>
      <c r="H6" s="124">
        <v>16</v>
      </c>
      <c r="I6" s="124">
        <v>19</v>
      </c>
      <c r="J6" s="124">
        <v>31</v>
      </c>
      <c r="K6" s="124">
        <v>16</v>
      </c>
      <c r="L6" s="124">
        <v>5</v>
      </c>
      <c r="M6" s="124">
        <v>16</v>
      </c>
      <c r="N6" s="76">
        <v>20</v>
      </c>
      <c r="O6" s="76">
        <v>88</v>
      </c>
      <c r="P6" s="76">
        <v>192</v>
      </c>
      <c r="Q6" s="76">
        <v>397</v>
      </c>
      <c r="R6" s="76">
        <v>1067</v>
      </c>
      <c r="S6" s="76">
        <v>2142</v>
      </c>
      <c r="T6" s="77">
        <v>4005</v>
      </c>
      <c r="U6" s="78">
        <v>16</v>
      </c>
      <c r="V6" s="76">
        <v>122</v>
      </c>
      <c r="W6" s="76">
        <v>232</v>
      </c>
    </row>
    <row r="7" spans="2:23" ht="13.5" customHeight="1" x14ac:dyDescent="0.35">
      <c r="B7" s="105" t="s">
        <v>18</v>
      </c>
      <c r="C7" s="151">
        <v>0</v>
      </c>
      <c r="D7" s="151">
        <v>0</v>
      </c>
      <c r="E7" s="151">
        <v>0</v>
      </c>
      <c r="F7" s="151">
        <v>0</v>
      </c>
      <c r="G7" s="151">
        <v>0</v>
      </c>
      <c r="H7" s="151">
        <v>0</v>
      </c>
      <c r="I7" s="151">
        <v>1</v>
      </c>
      <c r="J7" s="151">
        <v>1</v>
      </c>
      <c r="K7" s="151">
        <v>1</v>
      </c>
      <c r="L7" s="151">
        <v>0</v>
      </c>
      <c r="M7" s="151">
        <v>1</v>
      </c>
      <c r="N7" s="79">
        <v>0</v>
      </c>
      <c r="O7" s="79">
        <v>22</v>
      </c>
      <c r="P7" s="79">
        <v>21</v>
      </c>
      <c r="Q7" s="79">
        <v>111</v>
      </c>
      <c r="R7" s="79">
        <v>226</v>
      </c>
      <c r="S7" s="79">
        <v>355</v>
      </c>
      <c r="T7" s="77">
        <v>551</v>
      </c>
      <c r="U7" s="78">
        <v>41</v>
      </c>
      <c r="V7" s="79">
        <v>66</v>
      </c>
      <c r="W7" s="79">
        <v>170</v>
      </c>
    </row>
    <row r="8" spans="2:23" ht="13.5" customHeight="1" x14ac:dyDescent="0.35">
      <c r="B8" s="97" t="s">
        <v>19</v>
      </c>
      <c r="C8" s="124">
        <v>6</v>
      </c>
      <c r="D8" s="124">
        <v>11</v>
      </c>
      <c r="E8" s="124">
        <v>16</v>
      </c>
      <c r="F8" s="124">
        <v>32</v>
      </c>
      <c r="G8" s="124">
        <v>58</v>
      </c>
      <c r="H8" s="124">
        <v>62</v>
      </c>
      <c r="I8" s="124">
        <v>153</v>
      </c>
      <c r="J8" s="124">
        <v>156</v>
      </c>
      <c r="K8" s="124">
        <v>88</v>
      </c>
      <c r="L8" s="124">
        <v>26</v>
      </c>
      <c r="M8" s="124">
        <v>148</v>
      </c>
      <c r="N8" s="76">
        <v>245</v>
      </c>
      <c r="O8" s="76">
        <v>455</v>
      </c>
      <c r="P8" s="76">
        <v>790</v>
      </c>
      <c r="Q8" s="76">
        <v>2920</v>
      </c>
      <c r="R8" s="76">
        <v>6161</v>
      </c>
      <c r="S8" s="76">
        <v>8501</v>
      </c>
      <c r="T8" s="77">
        <v>11821</v>
      </c>
      <c r="U8" s="78">
        <v>72</v>
      </c>
      <c r="V8" s="76">
        <v>1541</v>
      </c>
      <c r="W8" s="76">
        <v>4306</v>
      </c>
    </row>
    <row r="9" spans="2:23" ht="13.5" customHeight="1" x14ac:dyDescent="0.35">
      <c r="B9" s="105" t="s">
        <v>20</v>
      </c>
      <c r="C9" s="151">
        <v>17</v>
      </c>
      <c r="D9" s="151">
        <v>22</v>
      </c>
      <c r="E9" s="151">
        <v>37</v>
      </c>
      <c r="F9" s="151">
        <v>43</v>
      </c>
      <c r="G9" s="151">
        <v>128</v>
      </c>
      <c r="H9" s="151">
        <v>134</v>
      </c>
      <c r="I9" s="151">
        <v>221</v>
      </c>
      <c r="J9" s="151">
        <v>286</v>
      </c>
      <c r="K9" s="151">
        <v>376</v>
      </c>
      <c r="L9" s="151">
        <v>162</v>
      </c>
      <c r="M9" s="151">
        <v>250</v>
      </c>
      <c r="N9" s="79">
        <v>388</v>
      </c>
      <c r="O9" s="79">
        <v>692</v>
      </c>
      <c r="P9" s="79">
        <v>993</v>
      </c>
      <c r="Q9" s="79">
        <v>2102</v>
      </c>
      <c r="R9" s="79">
        <v>3117</v>
      </c>
      <c r="S9" s="79">
        <v>6179</v>
      </c>
      <c r="T9" s="77">
        <v>6438</v>
      </c>
      <c r="U9" s="78">
        <v>18</v>
      </c>
      <c r="V9" s="79">
        <v>1324</v>
      </c>
      <c r="W9" s="79">
        <v>1409</v>
      </c>
    </row>
    <row r="10" spans="2:23" ht="13.5" customHeight="1" x14ac:dyDescent="0.35">
      <c r="B10" s="97" t="s">
        <v>21</v>
      </c>
      <c r="C10" s="124">
        <v>75</v>
      </c>
      <c r="D10" s="124">
        <v>63</v>
      </c>
      <c r="E10" s="124">
        <v>53</v>
      </c>
      <c r="F10" s="124">
        <v>65</v>
      </c>
      <c r="G10" s="124">
        <v>65</v>
      </c>
      <c r="H10" s="124">
        <v>60</v>
      </c>
      <c r="I10" s="124">
        <v>157</v>
      </c>
      <c r="J10" s="124">
        <v>110</v>
      </c>
      <c r="K10" s="124">
        <v>69</v>
      </c>
      <c r="L10" s="124">
        <v>47</v>
      </c>
      <c r="M10" s="124">
        <v>48</v>
      </c>
      <c r="N10" s="76">
        <v>189</v>
      </c>
      <c r="O10" s="76">
        <v>319</v>
      </c>
      <c r="P10" s="76">
        <v>500</v>
      </c>
      <c r="Q10" s="76">
        <v>2483</v>
      </c>
      <c r="R10" s="76">
        <v>5045</v>
      </c>
      <c r="S10" s="76">
        <v>8289</v>
      </c>
      <c r="T10" s="77">
        <v>10861</v>
      </c>
      <c r="U10" s="78">
        <v>18</v>
      </c>
      <c r="V10" s="76">
        <v>1148</v>
      </c>
      <c r="W10" s="76">
        <v>1512</v>
      </c>
    </row>
    <row r="11" spans="2:23" ht="13.5" customHeight="1" x14ac:dyDescent="0.35">
      <c r="B11" s="105" t="s">
        <v>22</v>
      </c>
      <c r="C11" s="151">
        <v>39</v>
      </c>
      <c r="D11" s="151">
        <v>29</v>
      </c>
      <c r="E11" s="151">
        <v>13</v>
      </c>
      <c r="F11" s="151">
        <v>19</v>
      </c>
      <c r="G11" s="151">
        <v>16</v>
      </c>
      <c r="H11" s="151">
        <v>19</v>
      </c>
      <c r="I11" s="151">
        <v>46</v>
      </c>
      <c r="J11" s="151">
        <v>37</v>
      </c>
      <c r="K11" s="151">
        <v>24</v>
      </c>
      <c r="L11" s="151">
        <v>8</v>
      </c>
      <c r="M11" s="151">
        <v>24</v>
      </c>
      <c r="N11" s="79">
        <v>40</v>
      </c>
      <c r="O11" s="79">
        <v>135</v>
      </c>
      <c r="P11" s="79">
        <v>321</v>
      </c>
      <c r="Q11" s="79">
        <v>658</v>
      </c>
      <c r="R11" s="79">
        <v>750</v>
      </c>
      <c r="S11" s="79">
        <v>2320</v>
      </c>
      <c r="T11" s="77">
        <v>3015</v>
      </c>
      <c r="U11" s="78">
        <v>39</v>
      </c>
      <c r="V11" s="79">
        <v>515</v>
      </c>
      <c r="W11" s="79">
        <v>1496</v>
      </c>
    </row>
    <row r="12" spans="2:23" ht="13.5" customHeight="1" x14ac:dyDescent="0.35">
      <c r="B12" s="97" t="s">
        <v>23</v>
      </c>
      <c r="C12" s="124">
        <v>45</v>
      </c>
      <c r="D12" s="124">
        <v>31</v>
      </c>
      <c r="E12" s="124">
        <v>35</v>
      </c>
      <c r="F12" s="124">
        <v>54</v>
      </c>
      <c r="G12" s="124">
        <v>50</v>
      </c>
      <c r="H12" s="124">
        <v>62</v>
      </c>
      <c r="I12" s="124">
        <v>97</v>
      </c>
      <c r="J12" s="124">
        <v>96</v>
      </c>
      <c r="K12" s="124">
        <v>71</v>
      </c>
      <c r="L12" s="124">
        <v>54</v>
      </c>
      <c r="M12" s="124">
        <v>17</v>
      </c>
      <c r="N12" s="76">
        <v>115</v>
      </c>
      <c r="O12" s="76">
        <v>301</v>
      </c>
      <c r="P12" s="76">
        <v>594</v>
      </c>
      <c r="Q12" s="76">
        <v>3046</v>
      </c>
      <c r="R12" s="76">
        <v>8498</v>
      </c>
      <c r="S12" s="76">
        <v>22040</v>
      </c>
      <c r="T12" s="77">
        <v>29119</v>
      </c>
      <c r="U12" s="78">
        <v>52</v>
      </c>
      <c r="V12" s="76">
        <v>5050</v>
      </c>
      <c r="W12" s="76">
        <v>5594</v>
      </c>
    </row>
    <row r="13" spans="2:23" ht="13.5" customHeight="1" x14ac:dyDescent="0.35">
      <c r="B13" s="105" t="s">
        <v>24</v>
      </c>
      <c r="C13" s="151">
        <v>6</v>
      </c>
      <c r="D13" s="151">
        <v>6</v>
      </c>
      <c r="E13" s="151">
        <v>4</v>
      </c>
      <c r="F13" s="151">
        <v>8</v>
      </c>
      <c r="G13" s="151">
        <v>7</v>
      </c>
      <c r="H13" s="151">
        <v>12</v>
      </c>
      <c r="I13" s="151">
        <v>23</v>
      </c>
      <c r="J13" s="151">
        <v>34</v>
      </c>
      <c r="K13" s="151">
        <v>50</v>
      </c>
      <c r="L13" s="151">
        <v>39</v>
      </c>
      <c r="M13" s="151">
        <v>9</v>
      </c>
      <c r="N13" s="79">
        <v>32</v>
      </c>
      <c r="O13" s="79">
        <v>90</v>
      </c>
      <c r="P13" s="79">
        <v>118</v>
      </c>
      <c r="Q13" s="79">
        <v>636</v>
      </c>
      <c r="R13" s="79">
        <v>1500</v>
      </c>
      <c r="S13" s="79">
        <v>2852</v>
      </c>
      <c r="T13" s="77">
        <v>4983</v>
      </c>
      <c r="U13" s="78">
        <v>2</v>
      </c>
      <c r="V13" s="79">
        <v>513</v>
      </c>
      <c r="W13" s="79">
        <v>2285</v>
      </c>
    </row>
    <row r="14" spans="2:23" ht="13.5" customHeight="1" x14ac:dyDescent="0.35">
      <c r="B14" s="97" t="s">
        <v>25</v>
      </c>
      <c r="C14" s="124">
        <v>114</v>
      </c>
      <c r="D14" s="124">
        <v>136</v>
      </c>
      <c r="E14" s="124">
        <v>89</v>
      </c>
      <c r="F14" s="124">
        <v>91</v>
      </c>
      <c r="G14" s="124">
        <v>128</v>
      </c>
      <c r="H14" s="124">
        <v>68</v>
      </c>
      <c r="I14" s="124">
        <v>163</v>
      </c>
      <c r="J14" s="124">
        <v>178</v>
      </c>
      <c r="K14" s="124">
        <v>126</v>
      </c>
      <c r="L14" s="124">
        <v>111</v>
      </c>
      <c r="M14" s="124">
        <v>65</v>
      </c>
      <c r="N14" s="76">
        <v>272</v>
      </c>
      <c r="O14" s="76">
        <v>489</v>
      </c>
      <c r="P14" s="76">
        <v>1089</v>
      </c>
      <c r="Q14" s="76">
        <v>6591</v>
      </c>
      <c r="R14" s="76">
        <v>10111</v>
      </c>
      <c r="S14" s="76">
        <v>23876</v>
      </c>
      <c r="T14" s="77">
        <v>36600</v>
      </c>
      <c r="U14" s="78">
        <v>101</v>
      </c>
      <c r="V14" s="76">
        <v>7766</v>
      </c>
      <c r="W14" s="76">
        <v>8984</v>
      </c>
    </row>
    <row r="15" spans="2:23" ht="13.5" customHeight="1" x14ac:dyDescent="0.35">
      <c r="B15" s="105" t="s">
        <v>26</v>
      </c>
      <c r="C15" s="151">
        <v>8</v>
      </c>
      <c r="D15" s="151">
        <v>15</v>
      </c>
      <c r="E15" s="151">
        <v>8</v>
      </c>
      <c r="F15" s="151">
        <v>10</v>
      </c>
      <c r="G15" s="151">
        <v>27</v>
      </c>
      <c r="H15" s="151">
        <v>19</v>
      </c>
      <c r="I15" s="151">
        <v>54</v>
      </c>
      <c r="J15" s="151">
        <v>37</v>
      </c>
      <c r="K15" s="151">
        <v>13</v>
      </c>
      <c r="L15" s="151">
        <v>24</v>
      </c>
      <c r="M15" s="151">
        <v>15</v>
      </c>
      <c r="N15" s="79">
        <v>117</v>
      </c>
      <c r="O15" s="79">
        <v>190</v>
      </c>
      <c r="P15" s="79">
        <v>187</v>
      </c>
      <c r="Q15" s="79">
        <v>1053</v>
      </c>
      <c r="R15" s="79">
        <v>2364</v>
      </c>
      <c r="S15" s="79">
        <v>4750</v>
      </c>
      <c r="T15" s="77">
        <v>8979</v>
      </c>
      <c r="U15" s="78">
        <v>18</v>
      </c>
      <c r="V15" s="79">
        <v>1180</v>
      </c>
      <c r="W15" s="79">
        <v>1513</v>
      </c>
    </row>
    <row r="16" spans="2:23" ht="13.5" customHeight="1" x14ac:dyDescent="0.35">
      <c r="B16" s="97" t="s">
        <v>27</v>
      </c>
      <c r="C16" s="124">
        <v>5</v>
      </c>
      <c r="D16" s="124">
        <v>0</v>
      </c>
      <c r="E16" s="124">
        <v>6</v>
      </c>
      <c r="F16" s="124">
        <v>15</v>
      </c>
      <c r="G16" s="124">
        <v>32</v>
      </c>
      <c r="H16" s="124">
        <v>49</v>
      </c>
      <c r="I16" s="124">
        <v>58</v>
      </c>
      <c r="J16" s="124">
        <v>103</v>
      </c>
      <c r="K16" s="124">
        <v>29</v>
      </c>
      <c r="L16" s="124">
        <v>65</v>
      </c>
      <c r="M16" s="124">
        <v>24</v>
      </c>
      <c r="N16" s="76">
        <v>143</v>
      </c>
      <c r="O16" s="76">
        <v>226</v>
      </c>
      <c r="P16" s="76">
        <v>325</v>
      </c>
      <c r="Q16" s="76">
        <v>1654</v>
      </c>
      <c r="R16" s="76">
        <v>2269</v>
      </c>
      <c r="S16" s="76">
        <v>6044</v>
      </c>
      <c r="T16" s="77">
        <v>13272</v>
      </c>
      <c r="U16" s="78">
        <v>37</v>
      </c>
      <c r="V16" s="76">
        <v>2254</v>
      </c>
      <c r="W16" s="76">
        <v>3388</v>
      </c>
    </row>
    <row r="17" spans="2:23" ht="13.5" customHeight="1" x14ac:dyDescent="0.35">
      <c r="B17" s="105" t="s">
        <v>28</v>
      </c>
      <c r="C17" s="151">
        <v>6</v>
      </c>
      <c r="D17" s="151">
        <v>3</v>
      </c>
      <c r="E17" s="151">
        <v>8</v>
      </c>
      <c r="F17" s="151">
        <v>21</v>
      </c>
      <c r="G17" s="151">
        <v>26</v>
      </c>
      <c r="H17" s="151">
        <v>12</v>
      </c>
      <c r="I17" s="151">
        <v>20</v>
      </c>
      <c r="J17" s="151">
        <v>25</v>
      </c>
      <c r="K17" s="151">
        <v>22</v>
      </c>
      <c r="L17" s="151">
        <v>20</v>
      </c>
      <c r="M17" s="151">
        <v>17</v>
      </c>
      <c r="N17" s="79">
        <v>51</v>
      </c>
      <c r="O17" s="79">
        <v>68</v>
      </c>
      <c r="P17" s="79">
        <v>84</v>
      </c>
      <c r="Q17" s="79">
        <v>490</v>
      </c>
      <c r="R17" s="79">
        <v>1937</v>
      </c>
      <c r="S17" s="79">
        <v>4052</v>
      </c>
      <c r="T17" s="77">
        <v>6128</v>
      </c>
      <c r="U17" s="78">
        <v>18</v>
      </c>
      <c r="V17" s="79">
        <v>966</v>
      </c>
      <c r="W17" s="79">
        <v>1668</v>
      </c>
    </row>
    <row r="18" spans="2:23" ht="13.5" customHeight="1" x14ac:dyDescent="0.35">
      <c r="B18" s="97" t="s">
        <v>29</v>
      </c>
      <c r="C18" s="124">
        <v>8</v>
      </c>
      <c r="D18" s="124">
        <v>2</v>
      </c>
      <c r="E18" s="124">
        <v>1</v>
      </c>
      <c r="F18" s="124">
        <v>12</v>
      </c>
      <c r="G18" s="124">
        <v>17</v>
      </c>
      <c r="H18" s="124">
        <v>29</v>
      </c>
      <c r="I18" s="124">
        <v>16</v>
      </c>
      <c r="J18" s="124">
        <v>17</v>
      </c>
      <c r="K18" s="124">
        <v>12</v>
      </c>
      <c r="L18" s="124">
        <v>6</v>
      </c>
      <c r="M18" s="124">
        <v>3</v>
      </c>
      <c r="N18" s="76">
        <v>60</v>
      </c>
      <c r="O18" s="76">
        <v>104</v>
      </c>
      <c r="P18" s="76">
        <v>639</v>
      </c>
      <c r="Q18" s="76">
        <v>1179</v>
      </c>
      <c r="R18" s="76">
        <v>1636</v>
      </c>
      <c r="S18" s="76">
        <v>2913</v>
      </c>
      <c r="T18" s="77">
        <v>3712</v>
      </c>
      <c r="U18" s="78">
        <v>4</v>
      </c>
      <c r="V18" s="76">
        <v>541</v>
      </c>
      <c r="W18" s="76">
        <v>901</v>
      </c>
    </row>
    <row r="19" spans="2:23" ht="13.5" customHeight="1" x14ac:dyDescent="0.35">
      <c r="B19" s="105" t="s">
        <v>30</v>
      </c>
      <c r="C19" s="151">
        <v>34</v>
      </c>
      <c r="D19" s="151">
        <v>6</v>
      </c>
      <c r="E19" s="151">
        <v>5</v>
      </c>
      <c r="F19" s="151">
        <v>10</v>
      </c>
      <c r="G19" s="151">
        <v>22</v>
      </c>
      <c r="H19" s="151">
        <v>40</v>
      </c>
      <c r="I19" s="151">
        <v>103</v>
      </c>
      <c r="J19" s="151">
        <v>88</v>
      </c>
      <c r="K19" s="151">
        <v>46</v>
      </c>
      <c r="L19" s="151">
        <v>40</v>
      </c>
      <c r="M19" s="151">
        <v>10</v>
      </c>
      <c r="N19" s="79">
        <v>125</v>
      </c>
      <c r="O19" s="79">
        <v>286</v>
      </c>
      <c r="P19" s="79">
        <v>384</v>
      </c>
      <c r="Q19" s="79">
        <v>1968</v>
      </c>
      <c r="R19" s="79">
        <v>3765</v>
      </c>
      <c r="S19" s="79">
        <v>6335</v>
      </c>
      <c r="T19" s="77">
        <v>8307</v>
      </c>
      <c r="U19" s="78">
        <v>10</v>
      </c>
      <c r="V19" s="79">
        <v>955</v>
      </c>
      <c r="W19" s="79">
        <v>1515</v>
      </c>
    </row>
    <row r="20" spans="2:23" ht="13.5" customHeight="1" x14ac:dyDescent="0.35">
      <c r="B20" s="97" t="s">
        <v>31</v>
      </c>
      <c r="C20" s="124">
        <v>0</v>
      </c>
      <c r="D20" s="124">
        <v>2</v>
      </c>
      <c r="E20" s="124">
        <v>3</v>
      </c>
      <c r="F20" s="124">
        <v>0</v>
      </c>
      <c r="G20" s="124">
        <v>2</v>
      </c>
      <c r="H20" s="124">
        <v>4</v>
      </c>
      <c r="I20" s="124">
        <v>7</v>
      </c>
      <c r="J20" s="124">
        <v>6</v>
      </c>
      <c r="K20" s="124">
        <v>7</v>
      </c>
      <c r="L20" s="124">
        <v>7</v>
      </c>
      <c r="M20" s="124">
        <v>8</v>
      </c>
      <c r="N20" s="76">
        <v>37</v>
      </c>
      <c r="O20" s="76">
        <v>112</v>
      </c>
      <c r="P20" s="76">
        <v>129</v>
      </c>
      <c r="Q20" s="76">
        <v>288</v>
      </c>
      <c r="R20" s="76">
        <v>462</v>
      </c>
      <c r="S20" s="76">
        <v>1209</v>
      </c>
      <c r="T20" s="77">
        <v>1426</v>
      </c>
      <c r="U20" s="78">
        <v>0</v>
      </c>
      <c r="V20" s="76">
        <v>272</v>
      </c>
      <c r="W20" s="76">
        <v>284</v>
      </c>
    </row>
    <row r="21" spans="2:23" ht="13.5" customHeight="1" x14ac:dyDescent="0.35">
      <c r="B21" s="105" t="s">
        <v>32</v>
      </c>
      <c r="C21" s="151">
        <v>81</v>
      </c>
      <c r="D21" s="151">
        <v>74</v>
      </c>
      <c r="E21" s="151">
        <v>62</v>
      </c>
      <c r="F21" s="151">
        <v>175</v>
      </c>
      <c r="G21" s="151">
        <v>192</v>
      </c>
      <c r="H21" s="151">
        <v>212</v>
      </c>
      <c r="I21" s="151">
        <v>234</v>
      </c>
      <c r="J21" s="151">
        <v>157</v>
      </c>
      <c r="K21" s="151">
        <v>80</v>
      </c>
      <c r="L21" s="151">
        <v>61</v>
      </c>
      <c r="M21" s="151">
        <v>124</v>
      </c>
      <c r="N21" s="79">
        <v>386</v>
      </c>
      <c r="O21" s="79">
        <v>518</v>
      </c>
      <c r="P21" s="79">
        <v>1238</v>
      </c>
      <c r="Q21" s="79">
        <v>7341</v>
      </c>
      <c r="R21" s="79">
        <v>17292</v>
      </c>
      <c r="S21" s="79">
        <v>15235</v>
      </c>
      <c r="T21" s="77">
        <v>38850</v>
      </c>
      <c r="U21" s="78">
        <v>87</v>
      </c>
      <c r="V21" s="79">
        <v>5326</v>
      </c>
      <c r="W21" s="79">
        <v>7310</v>
      </c>
    </row>
    <row r="22" spans="2:23" ht="13.5" customHeight="1" x14ac:dyDescent="0.35">
      <c r="B22" s="97" t="s">
        <v>33</v>
      </c>
      <c r="C22" s="124">
        <v>135</v>
      </c>
      <c r="D22" s="124">
        <v>173</v>
      </c>
      <c r="E22" s="124">
        <v>202</v>
      </c>
      <c r="F22" s="124">
        <v>242</v>
      </c>
      <c r="G22" s="124">
        <v>174</v>
      </c>
      <c r="H22" s="124">
        <v>345</v>
      </c>
      <c r="I22" s="124">
        <v>483</v>
      </c>
      <c r="J22" s="124">
        <v>283</v>
      </c>
      <c r="K22" s="124">
        <v>139</v>
      </c>
      <c r="L22" s="124">
        <v>61</v>
      </c>
      <c r="M22" s="124">
        <v>175</v>
      </c>
      <c r="N22" s="76">
        <v>399</v>
      </c>
      <c r="O22" s="76">
        <v>672</v>
      </c>
      <c r="P22" s="76">
        <v>1481</v>
      </c>
      <c r="Q22" s="76">
        <v>1502</v>
      </c>
      <c r="R22" s="76">
        <v>3221</v>
      </c>
      <c r="S22" s="76">
        <v>7957</v>
      </c>
      <c r="T22" s="77">
        <v>14706</v>
      </c>
      <c r="U22" s="78">
        <v>49</v>
      </c>
      <c r="V22" s="76">
        <v>2736</v>
      </c>
      <c r="W22" s="76">
        <v>5065</v>
      </c>
    </row>
    <row r="23" spans="2:23" ht="13.5" customHeight="1" x14ac:dyDescent="0.35">
      <c r="B23" s="105" t="s">
        <v>34</v>
      </c>
      <c r="C23" s="151">
        <v>15</v>
      </c>
      <c r="D23" s="151">
        <v>8</v>
      </c>
      <c r="E23" s="151">
        <v>9</v>
      </c>
      <c r="F23" s="151">
        <v>7</v>
      </c>
      <c r="G23" s="151">
        <v>10</v>
      </c>
      <c r="H23" s="151">
        <v>20</v>
      </c>
      <c r="I23" s="151">
        <v>23</v>
      </c>
      <c r="J23" s="151">
        <v>47</v>
      </c>
      <c r="K23" s="151">
        <v>38</v>
      </c>
      <c r="L23" s="151">
        <v>33</v>
      </c>
      <c r="M23" s="151">
        <v>11</v>
      </c>
      <c r="N23" s="79">
        <v>76</v>
      </c>
      <c r="O23" s="79">
        <v>78</v>
      </c>
      <c r="P23" s="79">
        <v>107</v>
      </c>
      <c r="Q23" s="79">
        <v>939</v>
      </c>
      <c r="R23" s="79">
        <v>1181</v>
      </c>
      <c r="S23" s="79">
        <v>1932</v>
      </c>
      <c r="T23" s="77">
        <v>2477</v>
      </c>
      <c r="U23" s="78">
        <v>3</v>
      </c>
      <c r="V23" s="79">
        <v>652</v>
      </c>
      <c r="W23" s="79">
        <v>564</v>
      </c>
    </row>
    <row r="24" spans="2:23" ht="13.5" customHeight="1" x14ac:dyDescent="0.35">
      <c r="B24" s="97" t="s">
        <v>35</v>
      </c>
      <c r="C24" s="124">
        <v>0</v>
      </c>
      <c r="D24" s="124">
        <v>2</v>
      </c>
      <c r="E24" s="124">
        <v>0</v>
      </c>
      <c r="F24" s="124">
        <v>0</v>
      </c>
      <c r="G24" s="124">
        <v>0</v>
      </c>
      <c r="H24" s="124">
        <v>8</v>
      </c>
      <c r="I24" s="124">
        <v>1</v>
      </c>
      <c r="J24" s="124">
        <v>2</v>
      </c>
      <c r="K24" s="124">
        <v>0</v>
      </c>
      <c r="L24" s="124">
        <v>3</v>
      </c>
      <c r="M24" s="124">
        <v>4</v>
      </c>
      <c r="N24" s="76">
        <v>84</v>
      </c>
      <c r="O24" s="76">
        <v>88</v>
      </c>
      <c r="P24" s="76">
        <v>207</v>
      </c>
      <c r="Q24" s="76">
        <v>956</v>
      </c>
      <c r="R24" s="76">
        <v>1899</v>
      </c>
      <c r="S24" s="76">
        <v>3543</v>
      </c>
      <c r="T24" s="77">
        <v>5550</v>
      </c>
      <c r="U24" s="78">
        <v>8</v>
      </c>
      <c r="V24" s="76">
        <v>378</v>
      </c>
      <c r="W24" s="76">
        <v>650</v>
      </c>
    </row>
    <row r="25" spans="2:23" ht="13.5" customHeight="1" x14ac:dyDescent="0.35">
      <c r="B25" s="105" t="s">
        <v>36</v>
      </c>
      <c r="C25" s="151">
        <v>2</v>
      </c>
      <c r="D25" s="151">
        <v>0</v>
      </c>
      <c r="E25" s="151">
        <v>0</v>
      </c>
      <c r="F25" s="151">
        <v>0</v>
      </c>
      <c r="G25" s="151">
        <v>0</v>
      </c>
      <c r="H25" s="151">
        <v>2</v>
      </c>
      <c r="I25" s="151">
        <v>3</v>
      </c>
      <c r="J25" s="151">
        <v>8</v>
      </c>
      <c r="K25" s="151">
        <v>0</v>
      </c>
      <c r="L25" s="151">
        <v>1</v>
      </c>
      <c r="M25" s="151">
        <v>1</v>
      </c>
      <c r="N25" s="79">
        <v>0</v>
      </c>
      <c r="O25" s="79">
        <v>7</v>
      </c>
      <c r="P25" s="79">
        <v>16</v>
      </c>
      <c r="Q25" s="79">
        <v>63</v>
      </c>
      <c r="R25" s="79">
        <v>104</v>
      </c>
      <c r="S25" s="79">
        <v>241</v>
      </c>
      <c r="T25" s="77">
        <v>515</v>
      </c>
      <c r="U25" s="78">
        <v>6</v>
      </c>
      <c r="V25" s="79">
        <v>56</v>
      </c>
      <c r="W25" s="79">
        <v>47</v>
      </c>
    </row>
    <row r="26" spans="2:23" ht="13.5" customHeight="1" x14ac:dyDescent="0.35">
      <c r="B26" s="97" t="s">
        <v>37</v>
      </c>
      <c r="C26" s="124">
        <v>150</v>
      </c>
      <c r="D26" s="124">
        <v>1184</v>
      </c>
      <c r="E26" s="124">
        <v>383</v>
      </c>
      <c r="F26" s="124">
        <v>318</v>
      </c>
      <c r="G26" s="124">
        <v>477</v>
      </c>
      <c r="H26" s="124">
        <v>364</v>
      </c>
      <c r="I26" s="124">
        <v>915</v>
      </c>
      <c r="J26" s="124">
        <v>488</v>
      </c>
      <c r="K26" s="124">
        <v>209</v>
      </c>
      <c r="L26" s="124">
        <v>208</v>
      </c>
      <c r="M26" s="124">
        <v>476</v>
      </c>
      <c r="N26" s="76">
        <v>863</v>
      </c>
      <c r="O26" s="76">
        <v>1460</v>
      </c>
      <c r="P26" s="76">
        <v>2059</v>
      </c>
      <c r="Q26" s="76">
        <v>10957</v>
      </c>
      <c r="R26" s="76">
        <v>15875</v>
      </c>
      <c r="S26" s="76">
        <v>24668</v>
      </c>
      <c r="T26" s="77">
        <v>29744</v>
      </c>
      <c r="U26" s="78">
        <v>150</v>
      </c>
      <c r="V26" s="76">
        <v>5362</v>
      </c>
      <c r="W26" s="76">
        <v>4808</v>
      </c>
    </row>
    <row r="27" spans="2:23" ht="13.5" customHeight="1" x14ac:dyDescent="0.35">
      <c r="B27" s="105" t="s">
        <v>38</v>
      </c>
      <c r="C27" s="151">
        <v>79</v>
      </c>
      <c r="D27" s="151">
        <v>53</v>
      </c>
      <c r="E27" s="151">
        <v>40</v>
      </c>
      <c r="F27" s="151">
        <v>69</v>
      </c>
      <c r="G27" s="151">
        <v>151</v>
      </c>
      <c r="H27" s="151">
        <v>122</v>
      </c>
      <c r="I27" s="151">
        <v>195</v>
      </c>
      <c r="J27" s="151">
        <v>156</v>
      </c>
      <c r="K27" s="151">
        <v>78</v>
      </c>
      <c r="L27" s="151">
        <v>137</v>
      </c>
      <c r="M27" s="151">
        <v>152</v>
      </c>
      <c r="N27" s="79">
        <v>435</v>
      </c>
      <c r="O27" s="79">
        <v>500</v>
      </c>
      <c r="P27" s="79">
        <v>1043</v>
      </c>
      <c r="Q27" s="79">
        <v>7220</v>
      </c>
      <c r="R27" s="79">
        <v>13006</v>
      </c>
      <c r="S27" s="79">
        <v>11286</v>
      </c>
      <c r="T27" s="77">
        <v>28247</v>
      </c>
      <c r="U27" s="78">
        <v>74</v>
      </c>
      <c r="V27" s="79">
        <v>5865</v>
      </c>
      <c r="W27" s="79">
        <v>5749</v>
      </c>
    </row>
    <row r="28" spans="2:23" ht="13.5" customHeight="1" x14ac:dyDescent="0.35">
      <c r="B28" s="97" t="s">
        <v>39</v>
      </c>
      <c r="C28" s="124">
        <v>0</v>
      </c>
      <c r="D28" s="124">
        <v>0</v>
      </c>
      <c r="E28" s="124">
        <v>0</v>
      </c>
      <c r="F28" s="124">
        <v>0</v>
      </c>
      <c r="G28" s="124">
        <v>0</v>
      </c>
      <c r="H28" s="124">
        <v>0</v>
      </c>
      <c r="I28" s="124">
        <v>0</v>
      </c>
      <c r="J28" s="124">
        <v>1</v>
      </c>
      <c r="K28" s="124">
        <v>3</v>
      </c>
      <c r="L28" s="124">
        <v>0</v>
      </c>
      <c r="M28" s="124">
        <v>8</v>
      </c>
      <c r="N28" s="76">
        <v>55</v>
      </c>
      <c r="O28" s="76">
        <v>86</v>
      </c>
      <c r="P28" s="76">
        <v>94</v>
      </c>
      <c r="Q28" s="76">
        <v>364</v>
      </c>
      <c r="R28" s="76">
        <v>619</v>
      </c>
      <c r="S28" s="76">
        <v>1003</v>
      </c>
      <c r="T28" s="77">
        <v>1048</v>
      </c>
      <c r="U28" s="78">
        <v>1</v>
      </c>
      <c r="V28" s="76">
        <v>24</v>
      </c>
      <c r="W28" s="76">
        <v>467</v>
      </c>
    </row>
    <row r="29" spans="2:23" ht="13.5" customHeight="1" x14ac:dyDescent="0.35">
      <c r="B29" s="105" t="s">
        <v>40</v>
      </c>
      <c r="C29" s="151">
        <v>598</v>
      </c>
      <c r="D29" s="151">
        <v>650</v>
      </c>
      <c r="E29" s="151">
        <v>916</v>
      </c>
      <c r="F29" s="151">
        <v>1291</v>
      </c>
      <c r="G29" s="151">
        <v>2646</v>
      </c>
      <c r="H29" s="151">
        <v>2620</v>
      </c>
      <c r="I29" s="151">
        <v>2457</v>
      </c>
      <c r="J29" s="151">
        <v>2036</v>
      </c>
      <c r="K29" s="151">
        <v>1344</v>
      </c>
      <c r="L29" s="151">
        <v>670</v>
      </c>
      <c r="M29" s="151">
        <v>951</v>
      </c>
      <c r="N29" s="79">
        <v>1994</v>
      </c>
      <c r="O29" s="79">
        <v>3248</v>
      </c>
      <c r="P29" s="79">
        <v>4559</v>
      </c>
      <c r="Q29" s="79">
        <v>24737</v>
      </c>
      <c r="R29" s="79">
        <v>23416</v>
      </c>
      <c r="S29" s="79">
        <v>60194</v>
      </c>
      <c r="T29" s="77">
        <v>84719</v>
      </c>
      <c r="U29" s="78">
        <v>196</v>
      </c>
      <c r="V29" s="79">
        <v>27463</v>
      </c>
      <c r="W29" s="79">
        <v>22670</v>
      </c>
    </row>
    <row r="30" spans="2:23" ht="13.5" customHeight="1" x14ac:dyDescent="0.35">
      <c r="B30" s="97" t="s">
        <v>41</v>
      </c>
      <c r="C30" s="124">
        <v>18</v>
      </c>
      <c r="D30" s="124">
        <v>22</v>
      </c>
      <c r="E30" s="124">
        <v>13</v>
      </c>
      <c r="F30" s="124">
        <v>9</v>
      </c>
      <c r="G30" s="124">
        <v>12</v>
      </c>
      <c r="H30" s="124">
        <v>24</v>
      </c>
      <c r="I30" s="124">
        <v>37</v>
      </c>
      <c r="J30" s="124">
        <v>44</v>
      </c>
      <c r="K30" s="124">
        <v>23</v>
      </c>
      <c r="L30" s="124">
        <v>17</v>
      </c>
      <c r="M30" s="124">
        <v>8</v>
      </c>
      <c r="N30" s="76">
        <v>59</v>
      </c>
      <c r="O30" s="76">
        <v>58</v>
      </c>
      <c r="P30" s="76">
        <v>103</v>
      </c>
      <c r="Q30" s="76">
        <v>432</v>
      </c>
      <c r="R30" s="76">
        <v>753</v>
      </c>
      <c r="S30" s="76">
        <v>1622</v>
      </c>
      <c r="T30" s="77">
        <v>3056</v>
      </c>
      <c r="U30" s="78">
        <v>5</v>
      </c>
      <c r="V30" s="76">
        <v>652</v>
      </c>
      <c r="W30" s="76">
        <v>819</v>
      </c>
    </row>
  </sheetData>
  <mergeCells count="2">
    <mergeCell ref="B2:W2"/>
    <mergeCell ref="B1:W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V30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" sqref="B2:V2"/>
    </sheetView>
  </sheetViews>
  <sheetFormatPr defaultColWidth="8.6328125" defaultRowHeight="14.5" x14ac:dyDescent="0.35"/>
  <cols>
    <col min="1" max="1" width="2" customWidth="1"/>
    <col min="2" max="2" width="6" customWidth="1"/>
    <col min="3" max="22" width="8" customWidth="1"/>
  </cols>
  <sheetData>
    <row r="1" spans="2:22" ht="19.5" customHeight="1" x14ac:dyDescent="0.35">
      <c r="B1" s="199" t="s">
        <v>183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</row>
    <row r="2" spans="2:22" ht="12.75" customHeight="1" x14ac:dyDescent="0.35">
      <c r="B2" s="198" t="s">
        <v>184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</row>
    <row r="3" spans="2:22" ht="19.5" customHeight="1" x14ac:dyDescent="0.35">
      <c r="B3" s="152" t="s">
        <v>2</v>
      </c>
      <c r="C3" s="147" t="s">
        <v>106</v>
      </c>
      <c r="D3" s="147" t="s">
        <v>107</v>
      </c>
      <c r="E3" s="147" t="s">
        <v>108</v>
      </c>
      <c r="F3" s="147" t="s">
        <v>109</v>
      </c>
      <c r="G3" s="147" t="s">
        <v>110</v>
      </c>
      <c r="H3" s="147" t="s">
        <v>116</v>
      </c>
      <c r="I3" s="147" t="s">
        <v>117</v>
      </c>
      <c r="J3" s="147" t="s">
        <v>118</v>
      </c>
      <c r="K3" s="147" t="s">
        <v>119</v>
      </c>
      <c r="L3" s="147" t="s">
        <v>120</v>
      </c>
      <c r="M3" s="147" t="s">
        <v>121</v>
      </c>
      <c r="N3" s="148" t="s">
        <v>3</v>
      </c>
      <c r="O3" s="148" t="s">
        <v>4</v>
      </c>
      <c r="P3" s="148" t="s">
        <v>5</v>
      </c>
      <c r="Q3" s="148" t="s">
        <v>6</v>
      </c>
      <c r="R3" s="148" t="s">
        <v>7</v>
      </c>
      <c r="S3" s="148" t="s">
        <v>8</v>
      </c>
      <c r="T3" s="149" t="s">
        <v>9</v>
      </c>
      <c r="U3" s="153" t="s">
        <v>10</v>
      </c>
      <c r="V3" s="148" t="s">
        <v>11</v>
      </c>
    </row>
    <row r="4" spans="2:22" ht="13.5" customHeight="1" x14ac:dyDescent="0.35">
      <c r="B4" s="97" t="s">
        <v>15</v>
      </c>
      <c r="C4" s="124">
        <v>36</v>
      </c>
      <c r="D4" s="124">
        <v>46</v>
      </c>
      <c r="E4" s="124">
        <v>49</v>
      </c>
      <c r="F4" s="124">
        <v>39</v>
      </c>
      <c r="G4" s="124">
        <v>60</v>
      </c>
      <c r="H4" s="124">
        <v>62</v>
      </c>
      <c r="I4" s="124">
        <v>50</v>
      </c>
      <c r="J4" s="124">
        <v>85</v>
      </c>
      <c r="K4" s="124">
        <v>97</v>
      </c>
      <c r="L4" s="124">
        <v>116</v>
      </c>
      <c r="M4" s="124">
        <v>116</v>
      </c>
      <c r="N4" s="76">
        <v>225</v>
      </c>
      <c r="O4" s="76">
        <v>381</v>
      </c>
      <c r="P4" s="76">
        <v>309</v>
      </c>
      <c r="Q4" s="76">
        <v>220</v>
      </c>
      <c r="R4" s="76">
        <v>225</v>
      </c>
      <c r="S4" s="76">
        <v>118</v>
      </c>
      <c r="T4" s="76">
        <v>143</v>
      </c>
      <c r="U4" s="76">
        <v>130</v>
      </c>
      <c r="V4" s="76">
        <v>98</v>
      </c>
    </row>
    <row r="5" spans="2:22" ht="13.5" customHeight="1" x14ac:dyDescent="0.35">
      <c r="B5" s="105" t="s">
        <v>16</v>
      </c>
      <c r="C5" s="151">
        <v>914</v>
      </c>
      <c r="D5" s="151">
        <v>1304</v>
      </c>
      <c r="E5" s="151">
        <v>1555</v>
      </c>
      <c r="F5" s="151">
        <v>1600</v>
      </c>
      <c r="G5" s="151">
        <v>1569</v>
      </c>
      <c r="H5" s="151">
        <v>1721</v>
      </c>
      <c r="I5" s="151">
        <v>1937</v>
      </c>
      <c r="J5" s="151">
        <v>1737</v>
      </c>
      <c r="K5" s="151">
        <v>1872</v>
      </c>
      <c r="L5" s="151">
        <v>1821</v>
      </c>
      <c r="M5" s="151">
        <v>1482</v>
      </c>
      <c r="N5" s="79">
        <v>1546</v>
      </c>
      <c r="O5" s="79">
        <v>1538</v>
      </c>
      <c r="P5" s="79">
        <v>1199</v>
      </c>
      <c r="Q5" s="79">
        <v>857</v>
      </c>
      <c r="R5" s="79">
        <v>864</v>
      </c>
      <c r="S5" s="79">
        <v>733</v>
      </c>
      <c r="T5" s="79">
        <v>828</v>
      </c>
      <c r="U5" s="79">
        <v>890</v>
      </c>
      <c r="V5" s="79">
        <v>889</v>
      </c>
    </row>
    <row r="6" spans="2:22" ht="13.5" customHeight="1" x14ac:dyDescent="0.35">
      <c r="B6" s="97" t="s">
        <v>17</v>
      </c>
      <c r="C6" s="124">
        <v>264</v>
      </c>
      <c r="D6" s="124">
        <v>377</v>
      </c>
      <c r="E6" s="124">
        <v>413</v>
      </c>
      <c r="F6" s="124">
        <v>446</v>
      </c>
      <c r="G6" s="124">
        <v>571</v>
      </c>
      <c r="H6" s="124">
        <v>633</v>
      </c>
      <c r="I6" s="124">
        <v>879</v>
      </c>
      <c r="J6" s="124">
        <v>853</v>
      </c>
      <c r="K6" s="124">
        <v>692</v>
      </c>
      <c r="L6" s="124">
        <v>759</v>
      </c>
      <c r="M6" s="124">
        <v>927</v>
      </c>
      <c r="N6" s="76">
        <v>792</v>
      </c>
      <c r="O6" s="76">
        <v>969</v>
      </c>
      <c r="P6" s="76">
        <v>956</v>
      </c>
      <c r="Q6" s="76">
        <v>980</v>
      </c>
      <c r="R6" s="76">
        <v>782</v>
      </c>
      <c r="S6" s="76">
        <v>1278</v>
      </c>
      <c r="T6" s="76">
        <v>1195</v>
      </c>
      <c r="U6" s="76">
        <v>1052</v>
      </c>
      <c r="V6" s="76">
        <v>758</v>
      </c>
    </row>
    <row r="7" spans="2:22" ht="13.5" customHeight="1" x14ac:dyDescent="0.35">
      <c r="B7" s="105" t="s">
        <v>18</v>
      </c>
      <c r="C7" s="151">
        <v>54</v>
      </c>
      <c r="D7" s="151">
        <v>74</v>
      </c>
      <c r="E7" s="151">
        <v>59</v>
      </c>
      <c r="F7" s="151">
        <v>66</v>
      </c>
      <c r="G7" s="151">
        <v>69</v>
      </c>
      <c r="H7" s="151">
        <v>103</v>
      </c>
      <c r="I7" s="151">
        <v>78</v>
      </c>
      <c r="J7" s="151">
        <v>116</v>
      </c>
      <c r="K7" s="151">
        <v>99</v>
      </c>
      <c r="L7" s="151">
        <v>148</v>
      </c>
      <c r="M7" s="151">
        <v>152</v>
      </c>
      <c r="N7" s="79">
        <v>216</v>
      </c>
      <c r="O7" s="79">
        <v>178</v>
      </c>
      <c r="P7" s="79">
        <v>239</v>
      </c>
      <c r="Q7" s="79">
        <v>232</v>
      </c>
      <c r="R7" s="79">
        <v>222</v>
      </c>
      <c r="S7" s="79">
        <v>311</v>
      </c>
      <c r="T7" s="79">
        <v>235</v>
      </c>
      <c r="U7" s="79">
        <v>303</v>
      </c>
      <c r="V7" s="79">
        <v>196</v>
      </c>
    </row>
    <row r="8" spans="2:22" ht="13.5" customHeight="1" x14ac:dyDescent="0.35">
      <c r="B8" s="97" t="s">
        <v>19</v>
      </c>
      <c r="C8" s="124">
        <v>2028</v>
      </c>
      <c r="D8" s="124">
        <v>2396</v>
      </c>
      <c r="E8" s="124">
        <v>2692</v>
      </c>
      <c r="F8" s="124">
        <v>3822</v>
      </c>
      <c r="G8" s="124">
        <v>4367</v>
      </c>
      <c r="H8" s="124">
        <v>4449</v>
      </c>
      <c r="I8" s="124">
        <v>4165</v>
      </c>
      <c r="J8" s="124">
        <v>4600</v>
      </c>
      <c r="K8" s="124">
        <v>4289</v>
      </c>
      <c r="L8" s="124">
        <v>4652</v>
      </c>
      <c r="M8" s="124">
        <v>4553</v>
      </c>
      <c r="N8" s="76">
        <v>5442</v>
      </c>
      <c r="O8" s="76">
        <v>5416</v>
      </c>
      <c r="P8" s="76">
        <v>4958</v>
      </c>
      <c r="Q8" s="76">
        <v>4586</v>
      </c>
      <c r="R8" s="76">
        <v>5082</v>
      </c>
      <c r="S8" s="76">
        <v>5290</v>
      </c>
      <c r="T8" s="76">
        <v>4825</v>
      </c>
      <c r="U8" s="76">
        <v>4749</v>
      </c>
      <c r="V8" s="76">
        <v>3777</v>
      </c>
    </row>
    <row r="9" spans="2:22" ht="13.5" customHeight="1" x14ac:dyDescent="0.35">
      <c r="B9" s="105" t="s">
        <v>20</v>
      </c>
      <c r="C9" s="151">
        <v>1011</v>
      </c>
      <c r="D9" s="151">
        <v>1060</v>
      </c>
      <c r="E9" s="151">
        <v>1231</v>
      </c>
      <c r="F9" s="151">
        <v>1343</v>
      </c>
      <c r="G9" s="151">
        <v>1515</v>
      </c>
      <c r="H9" s="151">
        <v>2056</v>
      </c>
      <c r="I9" s="151">
        <v>2063</v>
      </c>
      <c r="J9" s="151">
        <v>3132</v>
      </c>
      <c r="K9" s="151">
        <v>3652</v>
      </c>
      <c r="L9" s="151">
        <v>3800</v>
      </c>
      <c r="M9" s="151">
        <v>3397</v>
      </c>
      <c r="N9" s="79">
        <v>2892</v>
      </c>
      <c r="O9" s="79">
        <v>4695</v>
      </c>
      <c r="P9" s="79">
        <v>4220</v>
      </c>
      <c r="Q9" s="79">
        <v>1885</v>
      </c>
      <c r="R9" s="79">
        <v>3434</v>
      </c>
      <c r="S9" s="79">
        <v>2966</v>
      </c>
      <c r="T9" s="79">
        <v>2474</v>
      </c>
      <c r="U9" s="79">
        <v>2513</v>
      </c>
      <c r="V9" s="79">
        <v>2705</v>
      </c>
    </row>
    <row r="10" spans="2:22" ht="13.5" customHeight="1" x14ac:dyDescent="0.35">
      <c r="B10" s="97" t="s">
        <v>21</v>
      </c>
      <c r="C10" s="124">
        <v>512</v>
      </c>
      <c r="D10" s="124">
        <v>502</v>
      </c>
      <c r="E10" s="124">
        <v>591</v>
      </c>
      <c r="F10" s="124">
        <v>617</v>
      </c>
      <c r="G10" s="124">
        <v>745</v>
      </c>
      <c r="H10" s="124">
        <v>630</v>
      </c>
      <c r="I10" s="124">
        <v>710</v>
      </c>
      <c r="J10" s="124">
        <v>786</v>
      </c>
      <c r="K10" s="124">
        <v>656</v>
      </c>
      <c r="L10" s="124">
        <v>706</v>
      </c>
      <c r="M10" s="124">
        <v>535</v>
      </c>
      <c r="N10" s="76">
        <v>541</v>
      </c>
      <c r="O10" s="76">
        <v>405</v>
      </c>
      <c r="P10" s="76">
        <v>340</v>
      </c>
      <c r="Q10" s="76">
        <v>267</v>
      </c>
      <c r="R10" s="76">
        <v>253</v>
      </c>
      <c r="S10" s="76">
        <v>193</v>
      </c>
      <c r="T10" s="76">
        <v>179</v>
      </c>
      <c r="U10" s="76">
        <v>132</v>
      </c>
      <c r="V10" s="76">
        <v>110</v>
      </c>
    </row>
    <row r="11" spans="2:22" ht="13.5" customHeight="1" x14ac:dyDescent="0.35">
      <c r="B11" s="105" t="s">
        <v>22</v>
      </c>
      <c r="C11" s="151">
        <v>1188</v>
      </c>
      <c r="D11" s="151">
        <v>1299</v>
      </c>
      <c r="E11" s="151">
        <v>1372</v>
      </c>
      <c r="F11" s="151">
        <v>1494</v>
      </c>
      <c r="G11" s="151">
        <v>1557</v>
      </c>
      <c r="H11" s="151">
        <v>1359</v>
      </c>
      <c r="I11" s="151">
        <v>1358</v>
      </c>
      <c r="J11" s="151">
        <v>1350</v>
      </c>
      <c r="K11" s="151">
        <v>1289</v>
      </c>
      <c r="L11" s="151">
        <v>1291</v>
      </c>
      <c r="M11" s="151">
        <v>1100</v>
      </c>
      <c r="N11" s="79">
        <v>965</v>
      </c>
      <c r="O11" s="79">
        <v>1234</v>
      </c>
      <c r="P11" s="79">
        <v>885</v>
      </c>
      <c r="Q11" s="79">
        <v>777</v>
      </c>
      <c r="R11" s="79">
        <v>934</v>
      </c>
      <c r="S11" s="79">
        <v>908</v>
      </c>
      <c r="T11" s="79">
        <v>860</v>
      </c>
      <c r="U11" s="79">
        <v>842</v>
      </c>
      <c r="V11" s="79">
        <v>744</v>
      </c>
    </row>
    <row r="12" spans="2:22" ht="13.5" customHeight="1" x14ac:dyDescent="0.35">
      <c r="B12" s="97" t="s">
        <v>23</v>
      </c>
      <c r="C12" s="124">
        <v>891</v>
      </c>
      <c r="D12" s="124">
        <v>923</v>
      </c>
      <c r="E12" s="124">
        <v>945</v>
      </c>
      <c r="F12" s="124">
        <v>1178</v>
      </c>
      <c r="G12" s="124">
        <v>1192</v>
      </c>
      <c r="H12" s="124">
        <v>1270</v>
      </c>
      <c r="I12" s="124">
        <v>1536</v>
      </c>
      <c r="J12" s="124">
        <v>1902</v>
      </c>
      <c r="K12" s="124">
        <v>2096</v>
      </c>
      <c r="L12" s="124">
        <v>1993</v>
      </c>
      <c r="M12" s="124">
        <v>2120</v>
      </c>
      <c r="N12" s="76">
        <v>2133</v>
      </c>
      <c r="O12" s="76">
        <v>2060</v>
      </c>
      <c r="P12" s="76">
        <v>1885</v>
      </c>
      <c r="Q12" s="76">
        <v>1476</v>
      </c>
      <c r="R12" s="76">
        <v>1413</v>
      </c>
      <c r="S12" s="76">
        <v>1017</v>
      </c>
      <c r="T12" s="76">
        <v>946</v>
      </c>
      <c r="U12" s="76">
        <v>840</v>
      </c>
      <c r="V12" s="76">
        <v>634</v>
      </c>
    </row>
    <row r="13" spans="2:22" ht="13.5" customHeight="1" x14ac:dyDescent="0.35">
      <c r="B13" s="105" t="s">
        <v>24</v>
      </c>
      <c r="C13" s="151">
        <v>472</v>
      </c>
      <c r="D13" s="151">
        <v>461</v>
      </c>
      <c r="E13" s="151">
        <v>585</v>
      </c>
      <c r="F13" s="151">
        <v>689</v>
      </c>
      <c r="G13" s="151">
        <v>784</v>
      </c>
      <c r="H13" s="151">
        <v>812</v>
      </c>
      <c r="I13" s="151">
        <v>939</v>
      </c>
      <c r="J13" s="151">
        <v>1142</v>
      </c>
      <c r="K13" s="151">
        <v>1382</v>
      </c>
      <c r="L13" s="151">
        <v>1675</v>
      </c>
      <c r="M13" s="151">
        <v>1722</v>
      </c>
      <c r="N13" s="79">
        <v>1625</v>
      </c>
      <c r="O13" s="79">
        <v>1474</v>
      </c>
      <c r="P13" s="79">
        <v>1257</v>
      </c>
      <c r="Q13" s="79">
        <v>1061</v>
      </c>
      <c r="R13" s="79">
        <v>1426</v>
      </c>
      <c r="S13" s="79">
        <v>1439</v>
      </c>
      <c r="T13" s="79">
        <v>1322</v>
      </c>
      <c r="U13" s="79">
        <v>1437</v>
      </c>
      <c r="V13" s="79">
        <v>1572</v>
      </c>
    </row>
    <row r="14" spans="2:22" ht="13.5" customHeight="1" x14ac:dyDescent="0.35">
      <c r="B14" s="97" t="s">
        <v>25</v>
      </c>
      <c r="C14" s="124">
        <v>3088</v>
      </c>
      <c r="D14" s="124">
        <v>3069</v>
      </c>
      <c r="E14" s="124">
        <v>2971</v>
      </c>
      <c r="F14" s="124">
        <v>2742</v>
      </c>
      <c r="G14" s="124">
        <v>2588</v>
      </c>
      <c r="H14" s="124">
        <v>2455</v>
      </c>
      <c r="I14" s="124">
        <v>2985</v>
      </c>
      <c r="J14" s="124">
        <v>3210</v>
      </c>
      <c r="K14" s="124">
        <v>3455</v>
      </c>
      <c r="L14" s="124">
        <v>3363</v>
      </c>
      <c r="M14" s="124">
        <v>3208</v>
      </c>
      <c r="N14" s="76">
        <v>3310</v>
      </c>
      <c r="O14" s="76">
        <v>3060</v>
      </c>
      <c r="P14" s="76">
        <v>2234</v>
      </c>
      <c r="Q14" s="76">
        <v>1869</v>
      </c>
      <c r="R14" s="76">
        <v>1692</v>
      </c>
      <c r="S14" s="76">
        <v>1588</v>
      </c>
      <c r="T14" s="76">
        <v>1737</v>
      </c>
      <c r="U14" s="76">
        <v>1749</v>
      </c>
      <c r="V14" s="76">
        <v>1682</v>
      </c>
    </row>
    <row r="15" spans="2:22" ht="13.5" customHeight="1" x14ac:dyDescent="0.35">
      <c r="B15" s="105" t="s">
        <v>26</v>
      </c>
      <c r="C15" s="151">
        <v>346</v>
      </c>
      <c r="D15" s="151">
        <v>372</v>
      </c>
      <c r="E15" s="151">
        <v>401</v>
      </c>
      <c r="F15" s="151">
        <v>389</v>
      </c>
      <c r="G15" s="151">
        <v>433</v>
      </c>
      <c r="H15" s="151">
        <v>339</v>
      </c>
      <c r="I15" s="151">
        <v>364</v>
      </c>
      <c r="J15" s="151">
        <v>335</v>
      </c>
      <c r="K15" s="151">
        <v>314</v>
      </c>
      <c r="L15" s="151">
        <v>355</v>
      </c>
      <c r="M15" s="151">
        <v>317</v>
      </c>
      <c r="N15" s="79">
        <v>328</v>
      </c>
      <c r="O15" s="79">
        <v>318</v>
      </c>
      <c r="P15" s="79">
        <v>246</v>
      </c>
      <c r="Q15" s="79">
        <v>231</v>
      </c>
      <c r="R15" s="79">
        <v>215</v>
      </c>
      <c r="S15" s="79">
        <v>269</v>
      </c>
      <c r="T15" s="79">
        <v>249</v>
      </c>
      <c r="U15" s="79">
        <v>227</v>
      </c>
      <c r="V15" s="79">
        <v>217</v>
      </c>
    </row>
    <row r="16" spans="2:22" ht="13.5" customHeight="1" x14ac:dyDescent="0.35">
      <c r="B16" s="97" t="s">
        <v>27</v>
      </c>
      <c r="C16" s="124">
        <v>484</v>
      </c>
      <c r="D16" s="124">
        <v>499</v>
      </c>
      <c r="E16" s="124">
        <v>542</v>
      </c>
      <c r="F16" s="124">
        <v>579</v>
      </c>
      <c r="G16" s="124">
        <v>575</v>
      </c>
      <c r="H16" s="124">
        <v>568</v>
      </c>
      <c r="I16" s="124">
        <v>605</v>
      </c>
      <c r="J16" s="124">
        <v>649</v>
      </c>
      <c r="K16" s="124">
        <v>750</v>
      </c>
      <c r="L16" s="124">
        <v>856</v>
      </c>
      <c r="M16" s="124">
        <v>780</v>
      </c>
      <c r="N16" s="76">
        <v>757</v>
      </c>
      <c r="O16" s="76">
        <v>675</v>
      </c>
      <c r="P16" s="76">
        <v>562</v>
      </c>
      <c r="Q16" s="76">
        <v>506</v>
      </c>
      <c r="R16" s="76">
        <v>594</v>
      </c>
      <c r="S16" s="76">
        <v>556</v>
      </c>
      <c r="T16" s="76">
        <v>676</v>
      </c>
      <c r="U16" s="76">
        <v>765</v>
      </c>
      <c r="V16" s="76">
        <v>693</v>
      </c>
    </row>
    <row r="17" spans="2:22" ht="13.5" customHeight="1" x14ac:dyDescent="0.35">
      <c r="B17" s="105" t="s">
        <v>28</v>
      </c>
      <c r="C17" s="151">
        <v>1199</v>
      </c>
      <c r="D17" s="151">
        <v>1296</v>
      </c>
      <c r="E17" s="151">
        <v>1390</v>
      </c>
      <c r="F17" s="151">
        <v>1935</v>
      </c>
      <c r="G17" s="151">
        <v>2042</v>
      </c>
      <c r="H17" s="151">
        <v>2520</v>
      </c>
      <c r="I17" s="151">
        <v>2082</v>
      </c>
      <c r="J17" s="151">
        <v>2150</v>
      </c>
      <c r="K17" s="151">
        <v>2254</v>
      </c>
      <c r="L17" s="151">
        <v>2327</v>
      </c>
      <c r="M17" s="151">
        <v>2546</v>
      </c>
      <c r="N17" s="79">
        <v>3061</v>
      </c>
      <c r="O17" s="79">
        <v>3378</v>
      </c>
      <c r="P17" s="79">
        <v>3461</v>
      </c>
      <c r="Q17" s="79">
        <v>2356</v>
      </c>
      <c r="R17" s="79">
        <v>1899</v>
      </c>
      <c r="S17" s="79">
        <v>1959</v>
      </c>
      <c r="T17" s="79">
        <v>2039</v>
      </c>
      <c r="U17" s="79">
        <v>1765</v>
      </c>
      <c r="V17" s="79">
        <v>1560</v>
      </c>
    </row>
    <row r="18" spans="2:22" ht="13.5" customHeight="1" x14ac:dyDescent="0.35">
      <c r="B18" s="97" t="s">
        <v>29</v>
      </c>
      <c r="C18" s="124">
        <v>541</v>
      </c>
      <c r="D18" s="124">
        <v>627</v>
      </c>
      <c r="E18" s="124">
        <v>659</v>
      </c>
      <c r="F18" s="124">
        <v>745</v>
      </c>
      <c r="G18" s="124">
        <v>1022</v>
      </c>
      <c r="H18" s="124">
        <v>1215</v>
      </c>
      <c r="I18" s="124">
        <v>1382</v>
      </c>
      <c r="J18" s="124">
        <v>1230</v>
      </c>
      <c r="K18" s="124">
        <v>1251</v>
      </c>
      <c r="L18" s="124">
        <v>1250</v>
      </c>
      <c r="M18" s="124">
        <v>1265</v>
      </c>
      <c r="N18" s="76">
        <v>1064</v>
      </c>
      <c r="O18" s="76">
        <v>1038</v>
      </c>
      <c r="P18" s="76">
        <v>995</v>
      </c>
      <c r="Q18" s="76">
        <v>718</v>
      </c>
      <c r="R18" s="76">
        <v>923</v>
      </c>
      <c r="S18" s="76">
        <v>940</v>
      </c>
      <c r="T18" s="76">
        <v>902</v>
      </c>
      <c r="U18" s="76">
        <v>896</v>
      </c>
      <c r="V18" s="76">
        <v>892</v>
      </c>
    </row>
    <row r="19" spans="2:22" ht="13.5" customHeight="1" x14ac:dyDescent="0.35">
      <c r="B19" s="105" t="s">
        <v>30</v>
      </c>
      <c r="C19" s="151">
        <v>3492</v>
      </c>
      <c r="D19" s="151">
        <v>3594</v>
      </c>
      <c r="E19" s="151">
        <v>3707</v>
      </c>
      <c r="F19" s="151">
        <v>3437</v>
      </c>
      <c r="G19" s="151">
        <v>3106</v>
      </c>
      <c r="H19" s="151">
        <v>2630</v>
      </c>
      <c r="I19" s="151">
        <v>2533</v>
      </c>
      <c r="J19" s="151">
        <v>2467</v>
      </c>
      <c r="K19" s="151">
        <v>2301</v>
      </c>
      <c r="L19" s="151">
        <v>2543</v>
      </c>
      <c r="M19" s="151">
        <v>3073</v>
      </c>
      <c r="N19" s="79">
        <v>3490</v>
      </c>
      <c r="O19" s="79">
        <v>4495</v>
      </c>
      <c r="P19" s="79">
        <v>3378</v>
      </c>
      <c r="Q19" s="79">
        <v>2699</v>
      </c>
      <c r="R19" s="79">
        <v>3063</v>
      </c>
      <c r="S19" s="79">
        <v>2793</v>
      </c>
      <c r="T19" s="79">
        <v>2766</v>
      </c>
      <c r="U19" s="79">
        <v>2997</v>
      </c>
      <c r="V19" s="79">
        <v>2775</v>
      </c>
    </row>
    <row r="20" spans="2:22" ht="13.5" customHeight="1" x14ac:dyDescent="0.35">
      <c r="B20" s="97" t="s">
        <v>31</v>
      </c>
      <c r="C20" s="124">
        <v>156</v>
      </c>
      <c r="D20" s="124">
        <v>201</v>
      </c>
      <c r="E20" s="124">
        <v>196</v>
      </c>
      <c r="F20" s="124">
        <v>169</v>
      </c>
      <c r="G20" s="124">
        <v>192</v>
      </c>
      <c r="H20" s="124">
        <v>220</v>
      </c>
      <c r="I20" s="124">
        <v>264</v>
      </c>
      <c r="J20" s="124">
        <v>321</v>
      </c>
      <c r="K20" s="124">
        <v>373</v>
      </c>
      <c r="L20" s="124">
        <v>456</v>
      </c>
      <c r="M20" s="124">
        <v>406</v>
      </c>
      <c r="N20" s="76">
        <v>448</v>
      </c>
      <c r="O20" s="76">
        <v>385</v>
      </c>
      <c r="P20" s="76">
        <v>385</v>
      </c>
      <c r="Q20" s="76">
        <v>352</v>
      </c>
      <c r="R20" s="76">
        <v>456</v>
      </c>
      <c r="S20" s="76">
        <v>566</v>
      </c>
      <c r="T20" s="76">
        <v>607</v>
      </c>
      <c r="U20" s="76">
        <v>523</v>
      </c>
      <c r="V20" s="76">
        <v>483</v>
      </c>
    </row>
    <row r="21" spans="2:22" ht="13.5" customHeight="1" x14ac:dyDescent="0.35">
      <c r="B21" s="105" t="s">
        <v>32</v>
      </c>
      <c r="C21" s="151">
        <v>2041</v>
      </c>
      <c r="D21" s="151">
        <v>2234</v>
      </c>
      <c r="E21" s="151">
        <v>2297</v>
      </c>
      <c r="F21" s="151">
        <v>2561</v>
      </c>
      <c r="G21" s="151">
        <v>2686</v>
      </c>
      <c r="H21" s="151">
        <v>2648</v>
      </c>
      <c r="I21" s="151">
        <v>2380</v>
      </c>
      <c r="J21" s="151">
        <v>2441</v>
      </c>
      <c r="K21" s="151">
        <v>2042</v>
      </c>
      <c r="L21" s="151">
        <v>2083</v>
      </c>
      <c r="M21" s="151">
        <v>1981</v>
      </c>
      <c r="N21" s="79">
        <v>2131</v>
      </c>
      <c r="O21" s="79">
        <v>1837</v>
      </c>
      <c r="P21" s="79">
        <v>1526</v>
      </c>
      <c r="Q21" s="79">
        <v>1182</v>
      </c>
      <c r="R21" s="79">
        <v>1407</v>
      </c>
      <c r="S21" s="79">
        <v>1377</v>
      </c>
      <c r="T21" s="79">
        <v>1501</v>
      </c>
      <c r="U21" s="79">
        <v>1252</v>
      </c>
      <c r="V21" s="79">
        <v>1095</v>
      </c>
    </row>
    <row r="22" spans="2:22" ht="13.5" customHeight="1" x14ac:dyDescent="0.35">
      <c r="B22" s="97" t="s">
        <v>33</v>
      </c>
      <c r="C22" s="124">
        <v>5987</v>
      </c>
      <c r="D22" s="124">
        <v>5807</v>
      </c>
      <c r="E22" s="124">
        <v>5107</v>
      </c>
      <c r="F22" s="124">
        <v>4346</v>
      </c>
      <c r="G22" s="124">
        <v>4013</v>
      </c>
      <c r="H22" s="124">
        <v>4118</v>
      </c>
      <c r="I22" s="124">
        <v>3414</v>
      </c>
      <c r="J22" s="124">
        <v>3473</v>
      </c>
      <c r="K22" s="124">
        <v>3562</v>
      </c>
      <c r="L22" s="124">
        <v>3656</v>
      </c>
      <c r="M22" s="124">
        <v>3178</v>
      </c>
      <c r="N22" s="76">
        <v>4036</v>
      </c>
      <c r="O22" s="76">
        <v>4419</v>
      </c>
      <c r="P22" s="76">
        <v>4267</v>
      </c>
      <c r="Q22" s="76">
        <v>2311</v>
      </c>
      <c r="R22" s="76">
        <v>2744</v>
      </c>
      <c r="S22" s="76">
        <v>3000</v>
      </c>
      <c r="T22" s="76">
        <v>2438</v>
      </c>
      <c r="U22" s="76">
        <v>2584</v>
      </c>
      <c r="V22" s="76">
        <v>2033</v>
      </c>
    </row>
    <row r="23" spans="2:22" ht="13.5" customHeight="1" x14ac:dyDescent="0.35">
      <c r="B23" s="105" t="s">
        <v>34</v>
      </c>
      <c r="C23" s="151">
        <v>270</v>
      </c>
      <c r="D23" s="151">
        <v>303</v>
      </c>
      <c r="E23" s="151">
        <v>441</v>
      </c>
      <c r="F23" s="151">
        <v>541</v>
      </c>
      <c r="G23" s="151">
        <v>614</v>
      </c>
      <c r="H23" s="151">
        <v>615</v>
      </c>
      <c r="I23" s="151">
        <v>779</v>
      </c>
      <c r="J23" s="151">
        <v>850</v>
      </c>
      <c r="K23" s="151">
        <v>1153</v>
      </c>
      <c r="L23" s="151">
        <v>1316</v>
      </c>
      <c r="M23" s="151">
        <v>1238</v>
      </c>
      <c r="N23" s="79">
        <v>1568</v>
      </c>
      <c r="O23" s="79">
        <v>1924</v>
      </c>
      <c r="P23" s="79">
        <v>1641</v>
      </c>
      <c r="Q23" s="79">
        <v>1177</v>
      </c>
      <c r="R23" s="79">
        <v>1230</v>
      </c>
      <c r="S23" s="79">
        <v>1014</v>
      </c>
      <c r="T23" s="79">
        <v>965</v>
      </c>
      <c r="U23" s="79">
        <v>706</v>
      </c>
      <c r="V23" s="79">
        <v>606</v>
      </c>
    </row>
    <row r="24" spans="2:22" ht="13.5" customHeight="1" x14ac:dyDescent="0.35">
      <c r="B24" s="97" t="s">
        <v>35</v>
      </c>
      <c r="C24" s="124">
        <v>369</v>
      </c>
      <c r="D24" s="124">
        <v>388</v>
      </c>
      <c r="E24" s="124">
        <v>323</v>
      </c>
      <c r="F24" s="124">
        <v>283</v>
      </c>
      <c r="G24" s="124">
        <v>349</v>
      </c>
      <c r="H24" s="124">
        <v>348</v>
      </c>
      <c r="I24" s="124">
        <v>285</v>
      </c>
      <c r="J24" s="124">
        <v>338</v>
      </c>
      <c r="K24" s="124">
        <v>300</v>
      </c>
      <c r="L24" s="124">
        <v>398</v>
      </c>
      <c r="M24" s="124">
        <v>382</v>
      </c>
      <c r="N24" s="76">
        <v>465</v>
      </c>
      <c r="O24" s="76">
        <v>376</v>
      </c>
      <c r="P24" s="76">
        <v>302</v>
      </c>
      <c r="Q24" s="76">
        <v>258</v>
      </c>
      <c r="R24" s="76">
        <v>256</v>
      </c>
      <c r="S24" s="76">
        <v>324</v>
      </c>
      <c r="T24" s="76">
        <v>378</v>
      </c>
      <c r="U24" s="76">
        <v>327</v>
      </c>
      <c r="V24" s="76">
        <v>331</v>
      </c>
    </row>
    <row r="25" spans="2:22" ht="13.5" customHeight="1" x14ac:dyDescent="0.35">
      <c r="B25" s="105" t="s">
        <v>36</v>
      </c>
      <c r="C25" s="151">
        <v>28</v>
      </c>
      <c r="D25" s="151">
        <v>38</v>
      </c>
      <c r="E25" s="151">
        <v>28</v>
      </c>
      <c r="F25" s="151">
        <v>29</v>
      </c>
      <c r="G25" s="151">
        <v>27</v>
      </c>
      <c r="H25" s="151">
        <v>29</v>
      </c>
      <c r="I25" s="151">
        <v>25</v>
      </c>
      <c r="J25" s="151">
        <v>32</v>
      </c>
      <c r="K25" s="151">
        <v>69</v>
      </c>
      <c r="L25" s="151">
        <v>47</v>
      </c>
      <c r="M25" s="151">
        <v>59</v>
      </c>
      <c r="N25" s="79">
        <v>70</v>
      </c>
      <c r="O25" s="79">
        <v>96</v>
      </c>
      <c r="P25" s="79">
        <v>182</v>
      </c>
      <c r="Q25" s="79">
        <v>83</v>
      </c>
      <c r="R25" s="79">
        <v>101</v>
      </c>
      <c r="S25" s="79">
        <v>105</v>
      </c>
      <c r="T25" s="79">
        <v>103</v>
      </c>
      <c r="U25" s="79">
        <v>105</v>
      </c>
      <c r="V25" s="79">
        <v>69</v>
      </c>
    </row>
    <row r="26" spans="2:22" ht="13.5" customHeight="1" x14ac:dyDescent="0.35">
      <c r="B26" s="97" t="s">
        <v>37</v>
      </c>
      <c r="C26" s="124">
        <v>1471</v>
      </c>
      <c r="D26" s="124">
        <v>1419</v>
      </c>
      <c r="E26" s="124">
        <v>1655</v>
      </c>
      <c r="F26" s="124">
        <v>1795</v>
      </c>
      <c r="G26" s="124">
        <v>1641</v>
      </c>
      <c r="H26" s="124">
        <v>1495</v>
      </c>
      <c r="I26" s="124">
        <v>1529</v>
      </c>
      <c r="J26" s="124">
        <v>1737</v>
      </c>
      <c r="K26" s="124">
        <v>1711</v>
      </c>
      <c r="L26" s="124">
        <v>2052</v>
      </c>
      <c r="M26" s="124">
        <v>2281</v>
      </c>
      <c r="N26" s="76">
        <v>2506</v>
      </c>
      <c r="O26" s="76">
        <v>2582</v>
      </c>
      <c r="P26" s="76">
        <v>2069</v>
      </c>
      <c r="Q26" s="76">
        <v>1599</v>
      </c>
      <c r="R26" s="76">
        <v>1537</v>
      </c>
      <c r="S26" s="76">
        <v>1378</v>
      </c>
      <c r="T26" s="76">
        <v>1478</v>
      </c>
      <c r="U26" s="76">
        <v>1407</v>
      </c>
      <c r="V26" s="76">
        <v>1227</v>
      </c>
    </row>
    <row r="27" spans="2:22" ht="13.5" customHeight="1" x14ac:dyDescent="0.35">
      <c r="B27" s="105" t="s">
        <v>38</v>
      </c>
      <c r="C27" s="151">
        <v>386</v>
      </c>
      <c r="D27" s="151">
        <v>381</v>
      </c>
      <c r="E27" s="151">
        <v>378</v>
      </c>
      <c r="F27" s="151">
        <v>499</v>
      </c>
      <c r="G27" s="151">
        <v>505</v>
      </c>
      <c r="H27" s="151">
        <v>477</v>
      </c>
      <c r="I27" s="151">
        <v>481</v>
      </c>
      <c r="J27" s="151">
        <v>495</v>
      </c>
      <c r="K27" s="151">
        <v>439</v>
      </c>
      <c r="L27" s="151">
        <v>496</v>
      </c>
      <c r="M27" s="151">
        <v>563</v>
      </c>
      <c r="N27" s="79">
        <v>608</v>
      </c>
      <c r="O27" s="79">
        <v>669</v>
      </c>
      <c r="P27" s="79">
        <v>449</v>
      </c>
      <c r="Q27" s="79">
        <v>395</v>
      </c>
      <c r="R27" s="79">
        <v>382</v>
      </c>
      <c r="S27" s="79">
        <v>380</v>
      </c>
      <c r="T27" s="79">
        <v>313</v>
      </c>
      <c r="U27" s="79">
        <v>297</v>
      </c>
      <c r="V27" s="79">
        <v>305</v>
      </c>
    </row>
    <row r="28" spans="2:22" ht="13.5" customHeight="1" x14ac:dyDescent="0.35">
      <c r="B28" s="97" t="s">
        <v>39</v>
      </c>
      <c r="C28" s="124">
        <v>325</v>
      </c>
      <c r="D28" s="124">
        <v>414</v>
      </c>
      <c r="E28" s="124">
        <v>346</v>
      </c>
      <c r="F28" s="124">
        <v>373</v>
      </c>
      <c r="G28" s="124">
        <v>448</v>
      </c>
      <c r="H28" s="124">
        <v>461</v>
      </c>
      <c r="I28" s="124">
        <v>526</v>
      </c>
      <c r="J28" s="124">
        <v>653</v>
      </c>
      <c r="K28" s="124">
        <v>723</v>
      </c>
      <c r="L28" s="124">
        <v>896</v>
      </c>
      <c r="M28" s="124">
        <v>1101</v>
      </c>
      <c r="N28" s="76">
        <v>1263</v>
      </c>
      <c r="O28" s="76">
        <v>1097</v>
      </c>
      <c r="P28" s="76">
        <v>961</v>
      </c>
      <c r="Q28" s="76">
        <v>780</v>
      </c>
      <c r="R28" s="76">
        <v>823</v>
      </c>
      <c r="S28" s="76">
        <v>664</v>
      </c>
      <c r="T28" s="76">
        <v>654</v>
      </c>
      <c r="U28" s="76">
        <v>572</v>
      </c>
      <c r="V28" s="76">
        <v>396</v>
      </c>
    </row>
    <row r="29" spans="2:22" ht="13.5" customHeight="1" x14ac:dyDescent="0.35">
      <c r="B29" s="105" t="s">
        <v>40</v>
      </c>
      <c r="C29" s="151">
        <v>5784</v>
      </c>
      <c r="D29" s="151">
        <v>5748</v>
      </c>
      <c r="E29" s="151">
        <v>4129</v>
      </c>
      <c r="F29" s="151">
        <v>3865</v>
      </c>
      <c r="G29" s="151">
        <v>3831</v>
      </c>
      <c r="H29" s="151">
        <v>3434</v>
      </c>
      <c r="I29" s="151">
        <v>3231</v>
      </c>
      <c r="J29" s="151">
        <v>3821</v>
      </c>
      <c r="K29" s="151">
        <v>3408</v>
      </c>
      <c r="L29" s="151">
        <v>3536</v>
      </c>
      <c r="M29" s="151">
        <v>3066</v>
      </c>
      <c r="N29" s="79">
        <v>2690</v>
      </c>
      <c r="O29" s="79">
        <v>2490</v>
      </c>
      <c r="P29" s="79">
        <v>1966</v>
      </c>
      <c r="Q29" s="79">
        <v>1721</v>
      </c>
      <c r="R29" s="79">
        <v>1762</v>
      </c>
      <c r="S29" s="79">
        <v>1622</v>
      </c>
      <c r="T29" s="79">
        <v>1649</v>
      </c>
      <c r="U29" s="79">
        <v>1462</v>
      </c>
      <c r="V29" s="79">
        <v>1440</v>
      </c>
    </row>
    <row r="30" spans="2:22" ht="13.5" customHeight="1" x14ac:dyDescent="0.35">
      <c r="B30" s="97" t="s">
        <v>41</v>
      </c>
      <c r="C30" s="124">
        <v>82</v>
      </c>
      <c r="D30" s="124">
        <v>89</v>
      </c>
      <c r="E30" s="124">
        <v>85</v>
      </c>
      <c r="F30" s="124">
        <v>94</v>
      </c>
      <c r="G30" s="124">
        <v>123</v>
      </c>
      <c r="H30" s="124">
        <v>125</v>
      </c>
      <c r="I30" s="124">
        <v>157</v>
      </c>
      <c r="J30" s="124">
        <v>172</v>
      </c>
      <c r="K30" s="124">
        <v>140</v>
      </c>
      <c r="L30" s="124">
        <v>164</v>
      </c>
      <c r="M30" s="124">
        <v>269</v>
      </c>
      <c r="N30" s="76">
        <v>303</v>
      </c>
      <c r="O30" s="76">
        <v>321</v>
      </c>
      <c r="P30" s="76">
        <v>307</v>
      </c>
      <c r="Q30" s="76">
        <v>247</v>
      </c>
      <c r="R30" s="76">
        <v>275</v>
      </c>
      <c r="S30" s="76">
        <v>251</v>
      </c>
      <c r="T30" s="76">
        <v>248</v>
      </c>
      <c r="U30" s="76">
        <v>267</v>
      </c>
      <c r="V30" s="76">
        <v>136</v>
      </c>
    </row>
  </sheetData>
  <mergeCells count="2">
    <mergeCell ref="B1:V1"/>
    <mergeCell ref="B2:V2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V30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" sqref="B2:V2"/>
    </sheetView>
  </sheetViews>
  <sheetFormatPr defaultColWidth="8.6328125" defaultRowHeight="14.5" x14ac:dyDescent="0.35"/>
  <cols>
    <col min="1" max="1" width="2" customWidth="1"/>
    <col min="2" max="2" width="6" customWidth="1"/>
    <col min="3" max="22" width="11" customWidth="1"/>
  </cols>
  <sheetData>
    <row r="1" spans="2:22" ht="19.5" customHeight="1" x14ac:dyDescent="0.35">
      <c r="B1" s="196" t="s">
        <v>185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</row>
    <row r="2" spans="2:22" ht="12.75" customHeight="1" x14ac:dyDescent="0.35">
      <c r="B2" s="198" t="s">
        <v>186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</row>
    <row r="3" spans="2:22" ht="19.5" customHeight="1" x14ac:dyDescent="0.35">
      <c r="B3" s="145" t="s">
        <v>2</v>
      </c>
      <c r="C3" s="147" t="s">
        <v>106</v>
      </c>
      <c r="D3" s="147" t="s">
        <v>107</v>
      </c>
      <c r="E3" s="147" t="s">
        <v>108</v>
      </c>
      <c r="F3" s="147" t="s">
        <v>109</v>
      </c>
      <c r="G3" s="147" t="s">
        <v>110</v>
      </c>
      <c r="H3" s="147" t="s">
        <v>116</v>
      </c>
      <c r="I3" s="147" t="s">
        <v>117</v>
      </c>
      <c r="J3" s="148" t="s">
        <v>118</v>
      </c>
      <c r="K3" s="148" t="s">
        <v>119</v>
      </c>
      <c r="L3" s="148" t="s">
        <v>120</v>
      </c>
      <c r="M3" s="148" t="s">
        <v>121</v>
      </c>
      <c r="N3" s="148" t="s">
        <v>3</v>
      </c>
      <c r="O3" s="148" t="s">
        <v>4</v>
      </c>
      <c r="P3" s="148" t="s">
        <v>5</v>
      </c>
      <c r="Q3" s="148" t="s">
        <v>6</v>
      </c>
      <c r="R3" s="148" t="s">
        <v>7</v>
      </c>
      <c r="S3" s="148" t="s">
        <v>8</v>
      </c>
      <c r="T3" s="149" t="s">
        <v>9</v>
      </c>
      <c r="U3" s="150" t="s">
        <v>10</v>
      </c>
      <c r="V3" s="148" t="s">
        <v>11</v>
      </c>
    </row>
    <row r="4" spans="2:22" ht="13.5" customHeight="1" x14ac:dyDescent="0.35">
      <c r="B4" s="97" t="s">
        <v>15</v>
      </c>
      <c r="C4" s="124">
        <v>669736</v>
      </c>
      <c r="D4" s="124">
        <v>686652</v>
      </c>
      <c r="E4" s="124">
        <v>655385</v>
      </c>
      <c r="F4" s="124">
        <v>680075</v>
      </c>
      <c r="G4" s="124">
        <v>691132</v>
      </c>
      <c r="H4" s="124">
        <v>733559</v>
      </c>
      <c r="I4" s="124">
        <v>746386</v>
      </c>
      <c r="J4" s="76">
        <v>758786</v>
      </c>
      <c r="K4" s="76">
        <v>776463</v>
      </c>
      <c r="L4" s="76">
        <v>790101</v>
      </c>
      <c r="M4" s="76">
        <v>803513</v>
      </c>
      <c r="N4" s="76">
        <v>816687</v>
      </c>
      <c r="O4" s="76">
        <v>829619</v>
      </c>
      <c r="P4" s="76">
        <v>869265</v>
      </c>
      <c r="Q4" s="76">
        <v>881935</v>
      </c>
      <c r="R4" s="76">
        <v>894470</v>
      </c>
      <c r="S4" s="76">
        <v>906876</v>
      </c>
      <c r="T4" s="76">
        <v>830018</v>
      </c>
      <c r="U4" s="76">
        <v>830018</v>
      </c>
      <c r="V4" s="76">
        <v>880631</v>
      </c>
    </row>
    <row r="5" spans="2:22" ht="13.5" customHeight="1" x14ac:dyDescent="0.35">
      <c r="B5" s="105" t="s">
        <v>16</v>
      </c>
      <c r="C5" s="151">
        <v>3015912</v>
      </c>
      <c r="D5" s="151">
        <v>3050652</v>
      </c>
      <c r="E5" s="151">
        <v>3037231</v>
      </c>
      <c r="F5" s="151">
        <v>3127560</v>
      </c>
      <c r="G5" s="151">
        <v>3156108</v>
      </c>
      <c r="H5" s="151">
        <v>3120494</v>
      </c>
      <c r="I5" s="151">
        <v>3143384</v>
      </c>
      <c r="J5" s="79">
        <v>3165472</v>
      </c>
      <c r="K5" s="79">
        <v>3300935</v>
      </c>
      <c r="L5" s="79">
        <v>3321730</v>
      </c>
      <c r="M5" s="79">
        <v>3340932</v>
      </c>
      <c r="N5" s="79">
        <v>3358963</v>
      </c>
      <c r="O5" s="79">
        <v>3375823</v>
      </c>
      <c r="P5" s="79">
        <v>3322820</v>
      </c>
      <c r="Q5" s="79">
        <v>3337357</v>
      </c>
      <c r="R5" s="79">
        <v>3351543</v>
      </c>
      <c r="S5" s="79">
        <v>3365351</v>
      </c>
      <c r="T5" s="79">
        <v>3127683</v>
      </c>
      <c r="U5" s="79">
        <v>3127683</v>
      </c>
      <c r="V5" s="79">
        <v>3220104</v>
      </c>
    </row>
    <row r="6" spans="2:22" ht="13.5" customHeight="1" x14ac:dyDescent="0.35">
      <c r="B6" s="97" t="s">
        <v>17</v>
      </c>
      <c r="C6" s="124">
        <v>3232330</v>
      </c>
      <c r="D6" s="124">
        <v>3311026</v>
      </c>
      <c r="E6" s="124">
        <v>3221940</v>
      </c>
      <c r="F6" s="124">
        <v>3341094</v>
      </c>
      <c r="G6" s="124">
        <v>3393369</v>
      </c>
      <c r="H6" s="124">
        <v>3483985</v>
      </c>
      <c r="I6" s="124">
        <v>3538387</v>
      </c>
      <c r="J6" s="76">
        <v>3590985</v>
      </c>
      <c r="K6" s="76">
        <v>3807921</v>
      </c>
      <c r="L6" s="76">
        <v>3873743</v>
      </c>
      <c r="M6" s="76">
        <v>3938336</v>
      </c>
      <c r="N6" s="76">
        <v>4001667</v>
      </c>
      <c r="O6" s="76">
        <v>4063614</v>
      </c>
      <c r="P6" s="76">
        <v>4080611</v>
      </c>
      <c r="Q6" s="76">
        <v>4144597</v>
      </c>
      <c r="R6" s="76">
        <v>4207714</v>
      </c>
      <c r="S6" s="76">
        <v>4269995</v>
      </c>
      <c r="T6" s="76">
        <v>3941613</v>
      </c>
      <c r="U6" s="76">
        <v>3941613</v>
      </c>
      <c r="V6" s="76">
        <v>4281209</v>
      </c>
    </row>
    <row r="7" spans="2:22" ht="13.5" customHeight="1" x14ac:dyDescent="0.35">
      <c r="B7" s="105" t="s">
        <v>18</v>
      </c>
      <c r="C7" s="151">
        <v>594587</v>
      </c>
      <c r="D7" s="151">
        <v>615715</v>
      </c>
      <c r="E7" s="151">
        <v>587311</v>
      </c>
      <c r="F7" s="151">
        <v>613166</v>
      </c>
      <c r="G7" s="151">
        <v>626609</v>
      </c>
      <c r="H7" s="151">
        <v>669526</v>
      </c>
      <c r="I7" s="151">
        <v>684309</v>
      </c>
      <c r="J7" s="79">
        <v>698602</v>
      </c>
      <c r="K7" s="79">
        <v>734996</v>
      </c>
      <c r="L7" s="79">
        <v>750912</v>
      </c>
      <c r="M7" s="79">
        <v>766679</v>
      </c>
      <c r="N7" s="79">
        <v>782295</v>
      </c>
      <c r="O7" s="79">
        <v>797722</v>
      </c>
      <c r="P7" s="79">
        <v>829494</v>
      </c>
      <c r="Q7" s="79">
        <v>845731</v>
      </c>
      <c r="R7" s="79">
        <v>861773</v>
      </c>
      <c r="S7" s="79">
        <v>877613</v>
      </c>
      <c r="T7" s="79">
        <v>733759</v>
      </c>
      <c r="U7" s="79">
        <v>733759</v>
      </c>
      <c r="V7" s="79">
        <v>802837</v>
      </c>
    </row>
    <row r="8" spans="2:22" ht="13.5" customHeight="1" x14ac:dyDescent="0.35">
      <c r="B8" s="97" t="s">
        <v>19</v>
      </c>
      <c r="C8" s="124">
        <v>13815334</v>
      </c>
      <c r="D8" s="124">
        <v>13950146</v>
      </c>
      <c r="E8" s="124">
        <v>14080670</v>
      </c>
      <c r="F8" s="124">
        <v>14502563</v>
      </c>
      <c r="G8" s="124">
        <v>14637364</v>
      </c>
      <c r="H8" s="124">
        <v>14016906</v>
      </c>
      <c r="I8" s="124">
        <v>14097534</v>
      </c>
      <c r="J8" s="76">
        <v>14175341</v>
      </c>
      <c r="K8" s="76">
        <v>15044137</v>
      </c>
      <c r="L8" s="76">
        <v>15126371</v>
      </c>
      <c r="M8" s="76">
        <v>15203334</v>
      </c>
      <c r="N8" s="76">
        <v>15276566</v>
      </c>
      <c r="O8" s="76">
        <v>15344447</v>
      </c>
      <c r="P8" s="76">
        <v>14812617</v>
      </c>
      <c r="Q8" s="76">
        <v>14873064</v>
      </c>
      <c r="R8" s="76">
        <v>14930634</v>
      </c>
      <c r="S8" s="76">
        <v>14985284</v>
      </c>
      <c r="T8" s="76">
        <v>14141626</v>
      </c>
      <c r="U8" s="76">
        <v>14141626</v>
      </c>
      <c r="V8" s="76">
        <v>14850513</v>
      </c>
    </row>
    <row r="9" spans="2:22" ht="13.5" customHeight="1" x14ac:dyDescent="0.35">
      <c r="B9" s="105" t="s">
        <v>20</v>
      </c>
      <c r="C9" s="151">
        <v>8097276</v>
      </c>
      <c r="D9" s="151">
        <v>8217085</v>
      </c>
      <c r="E9" s="151">
        <v>8185250</v>
      </c>
      <c r="F9" s="151">
        <v>8450528</v>
      </c>
      <c r="G9" s="151">
        <v>8547809</v>
      </c>
      <c r="H9" s="151">
        <v>8452381</v>
      </c>
      <c r="I9" s="151">
        <v>8530155</v>
      </c>
      <c r="J9" s="79">
        <v>8606005</v>
      </c>
      <c r="K9" s="79">
        <v>8778576</v>
      </c>
      <c r="L9" s="79">
        <v>8842791</v>
      </c>
      <c r="M9" s="79">
        <v>8904459</v>
      </c>
      <c r="N9" s="79">
        <v>8963663</v>
      </c>
      <c r="O9" s="79">
        <v>9020460</v>
      </c>
      <c r="P9" s="79">
        <v>9075649</v>
      </c>
      <c r="Q9" s="79">
        <v>9132078</v>
      </c>
      <c r="R9" s="79">
        <v>9187103</v>
      </c>
      <c r="S9" s="79">
        <v>9240580</v>
      </c>
      <c r="T9" s="79">
        <v>8794957</v>
      </c>
      <c r="U9" s="79">
        <v>8794957</v>
      </c>
      <c r="V9" s="79">
        <v>9233656</v>
      </c>
    </row>
    <row r="10" spans="2:22" ht="13.5" customHeight="1" x14ac:dyDescent="0.35">
      <c r="B10" s="97" t="s">
        <v>21</v>
      </c>
      <c r="C10" s="124">
        <v>2333108</v>
      </c>
      <c r="D10" s="124">
        <v>2383784</v>
      </c>
      <c r="E10" s="124">
        <v>2455903</v>
      </c>
      <c r="F10" s="124">
        <v>2557159</v>
      </c>
      <c r="G10" s="124">
        <v>2606885</v>
      </c>
      <c r="H10" s="124">
        <v>2570160</v>
      </c>
      <c r="I10" s="124">
        <v>2609998</v>
      </c>
      <c r="J10" s="76">
        <v>2648532</v>
      </c>
      <c r="K10" s="76">
        <v>2789761</v>
      </c>
      <c r="L10" s="76">
        <v>2852372</v>
      </c>
      <c r="M10" s="76">
        <v>2914830</v>
      </c>
      <c r="N10" s="76">
        <v>2977216</v>
      </c>
      <c r="O10" s="76">
        <v>3039444</v>
      </c>
      <c r="P10" s="76">
        <v>2974703</v>
      </c>
      <c r="Q10" s="76">
        <v>3015268</v>
      </c>
      <c r="R10" s="76">
        <v>3055149</v>
      </c>
      <c r="S10" s="76">
        <v>3094325</v>
      </c>
      <c r="T10" s="76">
        <v>2817381</v>
      </c>
      <c r="U10" s="76">
        <v>2817381</v>
      </c>
      <c r="V10" s="76">
        <v>2982818</v>
      </c>
    </row>
    <row r="11" spans="2:22" ht="13.5" customHeight="1" x14ac:dyDescent="0.35">
      <c r="B11" s="105" t="s">
        <v>22</v>
      </c>
      <c r="C11" s="151">
        <v>3408365</v>
      </c>
      <c r="D11" s="151">
        <v>3464285</v>
      </c>
      <c r="E11" s="151">
        <v>3351669</v>
      </c>
      <c r="F11" s="151">
        <v>3453646</v>
      </c>
      <c r="G11" s="151">
        <v>3487199</v>
      </c>
      <c r="H11" s="151">
        <v>3514952</v>
      </c>
      <c r="I11" s="151">
        <v>3547055</v>
      </c>
      <c r="J11" s="79">
        <v>3578067</v>
      </c>
      <c r="K11" s="79">
        <v>3839366</v>
      </c>
      <c r="L11" s="79">
        <v>3885049</v>
      </c>
      <c r="M11" s="79">
        <v>3929911</v>
      </c>
      <c r="N11" s="79">
        <v>3973697</v>
      </c>
      <c r="O11" s="79">
        <v>4016356</v>
      </c>
      <c r="P11" s="79">
        <v>3972388</v>
      </c>
      <c r="Q11" s="79">
        <v>4018650</v>
      </c>
      <c r="R11" s="79">
        <v>4064052</v>
      </c>
      <c r="S11" s="79">
        <v>4108508</v>
      </c>
      <c r="T11" s="79">
        <v>3833712</v>
      </c>
      <c r="U11" s="79">
        <v>3833712</v>
      </c>
      <c r="V11" s="79">
        <v>4102129</v>
      </c>
    </row>
    <row r="12" spans="2:22" ht="13.5" customHeight="1" x14ac:dyDescent="0.35">
      <c r="B12" s="97" t="s">
        <v>23</v>
      </c>
      <c r="C12" s="124">
        <v>5619917</v>
      </c>
      <c r="D12" s="124">
        <v>5730753</v>
      </c>
      <c r="E12" s="124">
        <v>5647035</v>
      </c>
      <c r="F12" s="124">
        <v>5844995</v>
      </c>
      <c r="G12" s="124">
        <v>5926300</v>
      </c>
      <c r="H12" s="124">
        <v>6003788</v>
      </c>
      <c r="I12" s="124">
        <v>6080716</v>
      </c>
      <c r="J12" s="76">
        <v>6154996</v>
      </c>
      <c r="K12" s="76">
        <v>6434048</v>
      </c>
      <c r="L12" s="76">
        <v>6523222</v>
      </c>
      <c r="M12" s="76">
        <v>6610681</v>
      </c>
      <c r="N12" s="76">
        <v>6695855</v>
      </c>
      <c r="O12" s="76">
        <v>6778772</v>
      </c>
      <c r="P12" s="76">
        <v>6921161</v>
      </c>
      <c r="Q12" s="76">
        <v>7018354</v>
      </c>
      <c r="R12" s="76">
        <v>7113540</v>
      </c>
      <c r="S12" s="76">
        <v>7206589</v>
      </c>
      <c r="T12" s="76">
        <v>7056495</v>
      </c>
      <c r="U12" s="76">
        <v>7056495</v>
      </c>
      <c r="V12" s="76">
        <v>7350483</v>
      </c>
    </row>
    <row r="13" spans="2:22" ht="13.5" customHeight="1" x14ac:dyDescent="0.35">
      <c r="B13" s="105" t="s">
        <v>24</v>
      </c>
      <c r="C13" s="151">
        <v>6103327</v>
      </c>
      <c r="D13" s="151">
        <v>6184538</v>
      </c>
      <c r="E13" s="151">
        <v>6118995</v>
      </c>
      <c r="F13" s="151">
        <v>6305537</v>
      </c>
      <c r="G13" s="151">
        <v>6367138</v>
      </c>
      <c r="H13" s="151">
        <v>6574789</v>
      </c>
      <c r="I13" s="151">
        <v>6645761</v>
      </c>
      <c r="J13" s="79">
        <v>6714314</v>
      </c>
      <c r="K13" s="79">
        <v>6794301</v>
      </c>
      <c r="L13" s="79">
        <v>6850884</v>
      </c>
      <c r="M13" s="79">
        <v>6904241</v>
      </c>
      <c r="N13" s="79">
        <v>6954036</v>
      </c>
      <c r="O13" s="79">
        <v>7000229</v>
      </c>
      <c r="P13" s="79">
        <v>7035055</v>
      </c>
      <c r="Q13" s="79">
        <v>7075181</v>
      </c>
      <c r="R13" s="79">
        <v>7114598</v>
      </c>
      <c r="S13" s="79">
        <v>7153262</v>
      </c>
      <c r="T13" s="79">
        <v>6776699</v>
      </c>
      <c r="U13" s="79">
        <v>6776699</v>
      </c>
      <c r="V13" s="79">
        <v>7010960</v>
      </c>
    </row>
    <row r="14" spans="2:22" ht="13.5" customHeight="1" x14ac:dyDescent="0.35">
      <c r="B14" s="97" t="s">
        <v>25</v>
      </c>
      <c r="C14" s="124">
        <v>19237450</v>
      </c>
      <c r="D14" s="124">
        <v>19479356</v>
      </c>
      <c r="E14" s="124">
        <v>19273533</v>
      </c>
      <c r="F14" s="124">
        <v>19850060</v>
      </c>
      <c r="G14" s="124">
        <v>20033665</v>
      </c>
      <c r="H14" s="124">
        <v>19597330</v>
      </c>
      <c r="I14" s="124">
        <v>19728701</v>
      </c>
      <c r="J14" s="76">
        <v>19855332</v>
      </c>
      <c r="K14" s="76">
        <v>20593356</v>
      </c>
      <c r="L14" s="76">
        <v>20734097</v>
      </c>
      <c r="M14" s="76">
        <v>20869101</v>
      </c>
      <c r="N14" s="76">
        <v>20997560</v>
      </c>
      <c r="O14" s="76">
        <v>21119536</v>
      </c>
      <c r="P14" s="76">
        <v>21040662</v>
      </c>
      <c r="Q14" s="76">
        <v>21168791</v>
      </c>
      <c r="R14" s="76">
        <v>21292666</v>
      </c>
      <c r="S14" s="76">
        <v>21411923</v>
      </c>
      <c r="T14" s="76">
        <v>20539989</v>
      </c>
      <c r="U14" s="76">
        <v>20539989</v>
      </c>
      <c r="V14" s="76">
        <v>21322691</v>
      </c>
    </row>
    <row r="15" spans="2:22" ht="13.5" customHeight="1" x14ac:dyDescent="0.35">
      <c r="B15" s="105" t="s">
        <v>26</v>
      </c>
      <c r="C15" s="151">
        <v>2264468</v>
      </c>
      <c r="D15" s="151">
        <v>2297981</v>
      </c>
      <c r="E15" s="151">
        <v>2265813</v>
      </c>
      <c r="F15" s="151">
        <v>2336060</v>
      </c>
      <c r="G15" s="151">
        <v>2360498</v>
      </c>
      <c r="H15" s="151">
        <v>2449024</v>
      </c>
      <c r="I15" s="151">
        <v>2477542</v>
      </c>
      <c r="J15" s="79">
        <v>2500365</v>
      </c>
      <c r="K15" s="79">
        <v>2587269</v>
      </c>
      <c r="L15" s="79">
        <v>2619657</v>
      </c>
      <c r="M15" s="79">
        <v>2651235</v>
      </c>
      <c r="N15" s="79">
        <v>2682386</v>
      </c>
      <c r="O15" s="79">
        <v>2713147</v>
      </c>
      <c r="P15" s="79">
        <v>2748023</v>
      </c>
      <c r="Q15" s="79">
        <v>2778986</v>
      </c>
      <c r="R15" s="79">
        <v>2809394</v>
      </c>
      <c r="S15" s="79">
        <v>2839188</v>
      </c>
      <c r="T15" s="79">
        <v>2757013</v>
      </c>
      <c r="U15" s="79">
        <v>2757013</v>
      </c>
      <c r="V15" s="79">
        <v>2901895</v>
      </c>
    </row>
    <row r="16" spans="2:22" ht="13.5" customHeight="1" x14ac:dyDescent="0.35">
      <c r="B16" s="97" t="s">
        <v>27</v>
      </c>
      <c r="C16" s="124">
        <v>2803274</v>
      </c>
      <c r="D16" s="124">
        <v>2856999</v>
      </c>
      <c r="E16" s="124">
        <v>2854642</v>
      </c>
      <c r="F16" s="124">
        <v>2957735</v>
      </c>
      <c r="G16" s="124">
        <v>3001692</v>
      </c>
      <c r="H16" s="124">
        <v>3035122</v>
      </c>
      <c r="I16" s="124">
        <v>3075936</v>
      </c>
      <c r="J16" s="76">
        <v>3115336</v>
      </c>
      <c r="K16" s="76">
        <v>3182113</v>
      </c>
      <c r="L16" s="76">
        <v>3224357</v>
      </c>
      <c r="M16" s="76">
        <v>3265486</v>
      </c>
      <c r="N16" s="76">
        <v>3305531</v>
      </c>
      <c r="O16" s="76">
        <v>3344544</v>
      </c>
      <c r="P16" s="76">
        <v>3441998</v>
      </c>
      <c r="Q16" s="76">
        <v>3484466</v>
      </c>
      <c r="R16" s="76">
        <v>3526220</v>
      </c>
      <c r="S16" s="76">
        <v>3567234</v>
      </c>
      <c r="T16" s="76">
        <v>3658649</v>
      </c>
      <c r="U16" s="76">
        <v>3658649</v>
      </c>
      <c r="V16" s="76">
        <v>3836399</v>
      </c>
    </row>
    <row r="17" spans="2:22" ht="13.5" customHeight="1" x14ac:dyDescent="0.35">
      <c r="B17" s="105" t="s">
        <v>28</v>
      </c>
      <c r="C17" s="151">
        <v>6970586</v>
      </c>
      <c r="D17" s="151">
        <v>7110465</v>
      </c>
      <c r="E17" s="151">
        <v>7065573</v>
      </c>
      <c r="F17" s="151">
        <v>7321490</v>
      </c>
      <c r="G17" s="151">
        <v>7431020</v>
      </c>
      <c r="H17" s="151">
        <v>7581051</v>
      </c>
      <c r="I17" s="151">
        <v>7688593</v>
      </c>
      <c r="J17" s="79">
        <v>7777543</v>
      </c>
      <c r="K17" s="79">
        <v>7969654</v>
      </c>
      <c r="L17" s="79">
        <v>8073924</v>
      </c>
      <c r="M17" s="79">
        <v>8175113</v>
      </c>
      <c r="N17" s="79">
        <v>8272724</v>
      </c>
      <c r="O17" s="79">
        <v>8366628</v>
      </c>
      <c r="P17" s="79">
        <v>8513497</v>
      </c>
      <c r="Q17" s="79">
        <v>8602865</v>
      </c>
      <c r="R17" s="79">
        <v>8690745</v>
      </c>
      <c r="S17" s="79">
        <v>8777124</v>
      </c>
      <c r="T17" s="79">
        <v>8120131</v>
      </c>
      <c r="U17" s="79">
        <v>8120131</v>
      </c>
      <c r="V17" s="79">
        <v>8664306</v>
      </c>
    </row>
    <row r="18" spans="2:22" ht="13.5" customHeight="1" x14ac:dyDescent="0.35">
      <c r="B18" s="97" t="s">
        <v>29</v>
      </c>
      <c r="C18" s="124">
        <v>3595886</v>
      </c>
      <c r="D18" s="124">
        <v>3623215</v>
      </c>
      <c r="E18" s="124">
        <v>3641397</v>
      </c>
      <c r="F18" s="124">
        <v>3742604</v>
      </c>
      <c r="G18" s="124">
        <v>3769977</v>
      </c>
      <c r="H18" s="124">
        <v>3766528</v>
      </c>
      <c r="I18" s="124">
        <v>3791315</v>
      </c>
      <c r="J18" s="76">
        <v>3815171</v>
      </c>
      <c r="K18" s="76">
        <v>3914421</v>
      </c>
      <c r="L18" s="76">
        <v>3943885</v>
      </c>
      <c r="M18" s="76">
        <v>3972202</v>
      </c>
      <c r="N18" s="76">
        <v>3999415</v>
      </c>
      <c r="O18" s="76">
        <v>4025558</v>
      </c>
      <c r="P18" s="76">
        <v>3996496</v>
      </c>
      <c r="Q18" s="76">
        <v>4018127</v>
      </c>
      <c r="R18" s="76">
        <v>4039277</v>
      </c>
      <c r="S18" s="76">
        <v>4059905</v>
      </c>
      <c r="T18" s="76">
        <v>3974687</v>
      </c>
      <c r="U18" s="76">
        <v>3974687</v>
      </c>
      <c r="V18" s="76">
        <v>4145040</v>
      </c>
    </row>
    <row r="19" spans="2:22" ht="13.5" customHeight="1" x14ac:dyDescent="0.35">
      <c r="B19" s="105" t="s">
        <v>30</v>
      </c>
      <c r="C19" s="151">
        <v>8413593</v>
      </c>
      <c r="D19" s="151">
        <v>8502603</v>
      </c>
      <c r="E19" s="151">
        <v>8486638</v>
      </c>
      <c r="F19" s="151">
        <v>8734196</v>
      </c>
      <c r="G19" s="151">
        <v>8810256</v>
      </c>
      <c r="H19" s="151">
        <v>8796448</v>
      </c>
      <c r="I19" s="151">
        <v>8864906</v>
      </c>
      <c r="J19" s="79">
        <v>8931028</v>
      </c>
      <c r="K19" s="79">
        <v>9208550</v>
      </c>
      <c r="L19" s="79">
        <v>9277727</v>
      </c>
      <c r="M19" s="79">
        <v>9345173</v>
      </c>
      <c r="N19" s="79">
        <v>9410336</v>
      </c>
      <c r="O19" s="79">
        <v>9473266</v>
      </c>
      <c r="P19" s="79">
        <v>9496294</v>
      </c>
      <c r="Q19" s="79">
        <v>9557071</v>
      </c>
      <c r="R19" s="79">
        <v>9616621</v>
      </c>
      <c r="S19" s="79">
        <v>9674793</v>
      </c>
      <c r="T19" s="79">
        <v>9058931</v>
      </c>
      <c r="U19" s="79">
        <v>9058931</v>
      </c>
      <c r="V19" s="79">
        <v>9539029</v>
      </c>
    </row>
    <row r="20" spans="2:22" ht="13.5" customHeight="1" x14ac:dyDescent="0.35">
      <c r="B20" s="97" t="s">
        <v>31</v>
      </c>
      <c r="C20" s="124">
        <v>3006885</v>
      </c>
      <c r="D20" s="124">
        <v>3036290</v>
      </c>
      <c r="E20" s="124">
        <v>3032435</v>
      </c>
      <c r="F20" s="124">
        <v>3111881</v>
      </c>
      <c r="G20" s="124">
        <v>3145325</v>
      </c>
      <c r="H20" s="124">
        <v>3118360</v>
      </c>
      <c r="I20" s="124">
        <v>3140328</v>
      </c>
      <c r="J20" s="76">
        <v>3160748</v>
      </c>
      <c r="K20" s="76">
        <v>3184166</v>
      </c>
      <c r="L20" s="76">
        <v>3194718</v>
      </c>
      <c r="M20" s="76">
        <v>3204028</v>
      </c>
      <c r="N20" s="76">
        <v>3212180</v>
      </c>
      <c r="O20" s="76">
        <v>3219257</v>
      </c>
      <c r="P20" s="76">
        <v>3264531</v>
      </c>
      <c r="Q20" s="76">
        <v>3273227</v>
      </c>
      <c r="R20" s="76">
        <v>3281480</v>
      </c>
      <c r="S20" s="76">
        <v>3289290</v>
      </c>
      <c r="T20" s="76">
        <v>3271199</v>
      </c>
      <c r="U20" s="76">
        <v>3271199</v>
      </c>
      <c r="V20" s="76">
        <v>3375646</v>
      </c>
    </row>
    <row r="21" spans="2:22" ht="13.5" customHeight="1" x14ac:dyDescent="0.35">
      <c r="B21" s="105" t="s">
        <v>32</v>
      </c>
      <c r="C21" s="151">
        <v>10261856</v>
      </c>
      <c r="D21" s="151">
        <v>10387378</v>
      </c>
      <c r="E21" s="151">
        <v>10284503</v>
      </c>
      <c r="F21" s="151">
        <v>10590171</v>
      </c>
      <c r="G21" s="151">
        <v>10686247</v>
      </c>
      <c r="H21" s="151">
        <v>10444526</v>
      </c>
      <c r="I21" s="151">
        <v>10512349</v>
      </c>
      <c r="J21" s="79">
        <v>10577755</v>
      </c>
      <c r="K21" s="79">
        <v>10997465</v>
      </c>
      <c r="L21" s="79">
        <v>11081692</v>
      </c>
      <c r="M21" s="79">
        <v>11163018</v>
      </c>
      <c r="N21" s="79">
        <v>11242720</v>
      </c>
      <c r="O21" s="79">
        <v>11320892</v>
      </c>
      <c r="P21" s="79">
        <v>11348937</v>
      </c>
      <c r="Q21" s="79">
        <v>11433957</v>
      </c>
      <c r="R21" s="79">
        <v>11516840</v>
      </c>
      <c r="S21" s="79">
        <v>11597484</v>
      </c>
      <c r="T21" s="79">
        <v>11444380</v>
      </c>
      <c r="U21" s="79">
        <v>11444380</v>
      </c>
      <c r="V21" s="79">
        <v>11824665</v>
      </c>
    </row>
    <row r="22" spans="2:22" ht="13.5" customHeight="1" x14ac:dyDescent="0.35">
      <c r="B22" s="97" t="s">
        <v>33</v>
      </c>
      <c r="C22" s="124">
        <v>15383407</v>
      </c>
      <c r="D22" s="124">
        <v>15561720</v>
      </c>
      <c r="E22" s="124">
        <v>15420450</v>
      </c>
      <c r="F22" s="124">
        <v>15872362</v>
      </c>
      <c r="G22" s="124">
        <v>16010429</v>
      </c>
      <c r="H22" s="124">
        <v>15989929</v>
      </c>
      <c r="I22" s="124">
        <v>16112678</v>
      </c>
      <c r="J22" s="76">
        <v>16231365</v>
      </c>
      <c r="K22" s="76">
        <v>16369179</v>
      </c>
      <c r="L22" s="76">
        <v>16461173</v>
      </c>
      <c r="M22" s="76">
        <v>16550024</v>
      </c>
      <c r="N22" s="76">
        <v>16635996</v>
      </c>
      <c r="O22" s="76">
        <v>16718956</v>
      </c>
      <c r="P22" s="76">
        <v>17159960</v>
      </c>
      <c r="Q22" s="76">
        <v>17264943</v>
      </c>
      <c r="R22" s="76">
        <v>17366189</v>
      </c>
      <c r="S22" s="76">
        <v>17463349</v>
      </c>
      <c r="T22" s="76">
        <v>16055174</v>
      </c>
      <c r="U22" s="76">
        <v>16055174</v>
      </c>
      <c r="V22" s="76">
        <v>17219679</v>
      </c>
    </row>
    <row r="23" spans="2:22" ht="13.5" customHeight="1" x14ac:dyDescent="0.35">
      <c r="B23" s="105" t="s">
        <v>34</v>
      </c>
      <c r="C23" s="151">
        <v>3003087</v>
      </c>
      <c r="D23" s="151">
        <v>3043760</v>
      </c>
      <c r="E23" s="151">
        <v>3013740</v>
      </c>
      <c r="F23" s="151">
        <v>3106436</v>
      </c>
      <c r="G23" s="151">
        <v>3137541</v>
      </c>
      <c r="H23" s="151">
        <v>3168027</v>
      </c>
      <c r="I23" s="151">
        <v>3198657</v>
      </c>
      <c r="J23" s="79">
        <v>3228198</v>
      </c>
      <c r="K23" s="79">
        <v>3373959</v>
      </c>
      <c r="L23" s="79">
        <v>3408510</v>
      </c>
      <c r="M23" s="79">
        <v>3442175</v>
      </c>
      <c r="N23" s="79">
        <v>3474998</v>
      </c>
      <c r="O23" s="79">
        <v>3507003</v>
      </c>
      <c r="P23" s="79">
        <v>3479010</v>
      </c>
      <c r="Q23" s="79">
        <v>3506853</v>
      </c>
      <c r="R23" s="79">
        <v>3534165</v>
      </c>
      <c r="S23" s="79">
        <v>3560903</v>
      </c>
      <c r="T23" s="79">
        <v>3302729</v>
      </c>
      <c r="U23" s="79">
        <v>3302729</v>
      </c>
      <c r="V23" s="79">
        <v>3446071</v>
      </c>
    </row>
    <row r="24" spans="2:22" ht="13.5" customHeight="1" x14ac:dyDescent="0.35">
      <c r="B24" s="97" t="s">
        <v>35</v>
      </c>
      <c r="C24" s="124">
        <v>1534594</v>
      </c>
      <c r="D24" s="124">
        <v>1562417</v>
      </c>
      <c r="E24" s="124">
        <v>1453756</v>
      </c>
      <c r="F24" s="124">
        <v>1493565</v>
      </c>
      <c r="G24" s="124">
        <v>1503928</v>
      </c>
      <c r="H24" s="124">
        <v>1562409</v>
      </c>
      <c r="I24" s="124">
        <v>1576455</v>
      </c>
      <c r="J24" s="76">
        <v>1590011</v>
      </c>
      <c r="K24" s="76">
        <v>1728214</v>
      </c>
      <c r="L24" s="76">
        <v>1748531</v>
      </c>
      <c r="M24" s="76">
        <v>1768204</v>
      </c>
      <c r="N24" s="76">
        <v>1787279</v>
      </c>
      <c r="O24" s="76">
        <v>1805788</v>
      </c>
      <c r="P24" s="76">
        <v>1757589</v>
      </c>
      <c r="Q24" s="76">
        <v>1777225</v>
      </c>
      <c r="R24" s="76">
        <v>1796460</v>
      </c>
      <c r="S24" s="76">
        <v>1815278</v>
      </c>
      <c r="T24" s="76">
        <v>1581196</v>
      </c>
      <c r="U24" s="76">
        <v>1581196</v>
      </c>
      <c r="V24" s="76">
        <v>1746227</v>
      </c>
    </row>
    <row r="25" spans="2:22" ht="13.5" customHeight="1" x14ac:dyDescent="0.35">
      <c r="B25" s="105" t="s">
        <v>36</v>
      </c>
      <c r="C25" s="151">
        <v>391317</v>
      </c>
      <c r="D25" s="151">
        <v>403344</v>
      </c>
      <c r="E25" s="151">
        <v>395725</v>
      </c>
      <c r="F25" s="151">
        <v>412783</v>
      </c>
      <c r="G25" s="151">
        <v>421499</v>
      </c>
      <c r="H25" s="151">
        <v>450479</v>
      </c>
      <c r="I25" s="151">
        <v>460165</v>
      </c>
      <c r="J25" s="79">
        <v>469524</v>
      </c>
      <c r="K25" s="79">
        <v>488072</v>
      </c>
      <c r="L25" s="79">
        <v>496936</v>
      </c>
      <c r="M25" s="79">
        <v>505665</v>
      </c>
      <c r="N25" s="79">
        <v>514229</v>
      </c>
      <c r="O25" s="79">
        <v>522636</v>
      </c>
      <c r="P25" s="79">
        <v>576568</v>
      </c>
      <c r="Q25" s="79">
        <v>605761</v>
      </c>
      <c r="R25" s="79">
        <v>631181</v>
      </c>
      <c r="S25" s="79">
        <v>652713</v>
      </c>
      <c r="T25" s="79">
        <v>636707</v>
      </c>
      <c r="U25" s="79">
        <v>636707</v>
      </c>
      <c r="V25" s="79">
        <v>716793</v>
      </c>
    </row>
    <row r="26" spans="2:22" ht="13.5" customHeight="1" x14ac:dyDescent="0.35">
      <c r="B26" s="97" t="s">
        <v>37</v>
      </c>
      <c r="C26" s="124">
        <v>10845087</v>
      </c>
      <c r="D26" s="124">
        <v>10963219</v>
      </c>
      <c r="E26" s="124">
        <v>10582887</v>
      </c>
      <c r="F26" s="124">
        <v>10855228</v>
      </c>
      <c r="G26" s="124">
        <v>10914128</v>
      </c>
      <c r="H26" s="124">
        <v>10693929</v>
      </c>
      <c r="I26" s="124">
        <v>10733030</v>
      </c>
      <c r="J26" s="76">
        <v>10768025</v>
      </c>
      <c r="K26" s="76">
        <v>11164043</v>
      </c>
      <c r="L26" s="76">
        <v>11207274</v>
      </c>
      <c r="M26" s="76">
        <v>11247972</v>
      </c>
      <c r="N26" s="76">
        <v>11286500</v>
      </c>
      <c r="O26" s="76">
        <v>11322895</v>
      </c>
      <c r="P26" s="76">
        <v>11329605</v>
      </c>
      <c r="Q26" s="76">
        <v>11377239</v>
      </c>
      <c r="R26" s="76">
        <v>11422973</v>
      </c>
      <c r="S26" s="76">
        <v>11466630</v>
      </c>
      <c r="T26" s="76">
        <v>10882965</v>
      </c>
      <c r="U26" s="76">
        <v>10882965</v>
      </c>
      <c r="V26" s="76">
        <v>11229915</v>
      </c>
    </row>
    <row r="27" spans="2:22" ht="13.5" customHeight="1" x14ac:dyDescent="0.35">
      <c r="B27" s="105" t="s">
        <v>38</v>
      </c>
      <c r="C27" s="151">
        <v>5866568</v>
      </c>
      <c r="D27" s="151">
        <v>5958266</v>
      </c>
      <c r="E27" s="151">
        <v>5866487</v>
      </c>
      <c r="F27" s="151">
        <v>6052587</v>
      </c>
      <c r="G27" s="151">
        <v>6118743</v>
      </c>
      <c r="H27" s="151">
        <v>6248436</v>
      </c>
      <c r="I27" s="151">
        <v>6317054</v>
      </c>
      <c r="J27" s="79">
        <v>6362734</v>
      </c>
      <c r="K27" s="79">
        <v>6634254</v>
      </c>
      <c r="L27" s="79">
        <v>6727148</v>
      </c>
      <c r="M27" s="79">
        <v>6819190</v>
      </c>
      <c r="N27" s="79">
        <v>6910553</v>
      </c>
      <c r="O27" s="79">
        <v>7001161</v>
      </c>
      <c r="P27" s="79">
        <v>7075494</v>
      </c>
      <c r="Q27" s="79">
        <v>7164788</v>
      </c>
      <c r="R27" s="79">
        <v>7252502</v>
      </c>
      <c r="S27" s="79">
        <v>7338473</v>
      </c>
      <c r="T27" s="79">
        <v>7610361</v>
      </c>
      <c r="U27" s="79">
        <v>7610361</v>
      </c>
      <c r="V27" s="79">
        <v>8058441</v>
      </c>
    </row>
    <row r="28" spans="2:22" ht="13.5" customHeight="1" x14ac:dyDescent="0.35">
      <c r="B28" s="97" t="s">
        <v>39</v>
      </c>
      <c r="C28" s="124">
        <v>1967791</v>
      </c>
      <c r="D28" s="124">
        <v>2000738</v>
      </c>
      <c r="E28" s="124">
        <v>1939426</v>
      </c>
      <c r="F28" s="124">
        <v>1999374</v>
      </c>
      <c r="G28" s="124">
        <v>2019679</v>
      </c>
      <c r="H28" s="124">
        <v>2068017</v>
      </c>
      <c r="I28" s="124">
        <v>2089819</v>
      </c>
      <c r="J28" s="76">
        <v>2110867</v>
      </c>
      <c r="K28" s="76">
        <v>2195662</v>
      </c>
      <c r="L28" s="76">
        <v>2219574</v>
      </c>
      <c r="M28" s="76">
        <v>2242937</v>
      </c>
      <c r="N28" s="76">
        <v>2265779</v>
      </c>
      <c r="O28" s="76">
        <v>2288116</v>
      </c>
      <c r="P28" s="76">
        <v>2278308</v>
      </c>
      <c r="Q28" s="76">
        <v>2298696</v>
      </c>
      <c r="R28" s="76">
        <v>2318822</v>
      </c>
      <c r="S28" s="76">
        <v>2338474</v>
      </c>
      <c r="T28" s="76">
        <v>2210004</v>
      </c>
      <c r="U28" s="76">
        <v>2210004</v>
      </c>
      <c r="V28" s="76">
        <v>2291077</v>
      </c>
    </row>
    <row r="29" spans="2:22" ht="13.5" customHeight="1" x14ac:dyDescent="0.35">
      <c r="B29" s="105" t="s">
        <v>40</v>
      </c>
      <c r="C29" s="151">
        <v>40442795</v>
      </c>
      <c r="D29" s="151">
        <v>41055734</v>
      </c>
      <c r="E29" s="151">
        <v>39827690</v>
      </c>
      <c r="F29" s="151">
        <v>41011638</v>
      </c>
      <c r="G29" s="151">
        <v>41384039</v>
      </c>
      <c r="H29" s="151">
        <v>41262199</v>
      </c>
      <c r="I29" s="151">
        <v>41587182</v>
      </c>
      <c r="J29" s="79">
        <v>41901219</v>
      </c>
      <c r="K29" s="79">
        <v>43663669</v>
      </c>
      <c r="L29" s="79">
        <v>44035304</v>
      </c>
      <c r="M29" s="79">
        <v>44396484</v>
      </c>
      <c r="N29" s="79">
        <v>44749699</v>
      </c>
      <c r="O29" s="79">
        <v>45094866</v>
      </c>
      <c r="P29" s="79">
        <v>45538936</v>
      </c>
      <c r="Q29" s="79">
        <v>45919049</v>
      </c>
      <c r="R29" s="79">
        <v>46289333</v>
      </c>
      <c r="S29" s="79">
        <v>46649132</v>
      </c>
      <c r="T29" s="79">
        <v>44411238</v>
      </c>
      <c r="U29" s="79">
        <v>44411238</v>
      </c>
      <c r="V29" s="79">
        <v>45973194</v>
      </c>
    </row>
    <row r="30" spans="2:22" ht="13.5" customHeight="1" x14ac:dyDescent="0.35">
      <c r="B30" s="97" t="s">
        <v>41</v>
      </c>
      <c r="C30" s="124">
        <v>1305728</v>
      </c>
      <c r="D30" s="124">
        <v>1332441</v>
      </c>
      <c r="E30" s="124">
        <v>1243627</v>
      </c>
      <c r="F30" s="124">
        <v>1280513</v>
      </c>
      <c r="G30" s="124">
        <v>1292051</v>
      </c>
      <c r="H30" s="124">
        <v>1383445</v>
      </c>
      <c r="I30" s="124">
        <v>1400892</v>
      </c>
      <c r="J30" s="76">
        <v>1417694</v>
      </c>
      <c r="K30" s="76">
        <v>1478164</v>
      </c>
      <c r="L30" s="76">
        <v>1496880</v>
      </c>
      <c r="M30" s="76">
        <v>1515126</v>
      </c>
      <c r="N30" s="76">
        <v>1532902</v>
      </c>
      <c r="O30" s="76">
        <v>1550194</v>
      </c>
      <c r="P30" s="76">
        <v>1555229</v>
      </c>
      <c r="Q30" s="76">
        <v>1572866</v>
      </c>
      <c r="R30" s="76">
        <v>1590248</v>
      </c>
      <c r="S30" s="76">
        <v>1607363</v>
      </c>
      <c r="T30" s="76">
        <v>1511460</v>
      </c>
      <c r="U30" s="76">
        <v>1511460</v>
      </c>
      <c r="V30" s="76">
        <v>1577342</v>
      </c>
    </row>
  </sheetData>
  <mergeCells count="2">
    <mergeCell ref="B1:V1"/>
    <mergeCell ref="B2:V2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V30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2" customWidth="1"/>
    <col min="2" max="2" width="6" customWidth="1"/>
    <col min="3" max="22" width="8" customWidth="1"/>
  </cols>
  <sheetData>
    <row r="1" spans="2:22" ht="19.5" customHeight="1" x14ac:dyDescent="0.35">
      <c r="B1" s="200" t="s">
        <v>187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</row>
    <row r="2" spans="2:22" ht="12.75" customHeight="1" x14ac:dyDescent="0.35">
      <c r="B2" s="198" t="s">
        <v>188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</row>
    <row r="3" spans="2:22" ht="19.5" customHeight="1" x14ac:dyDescent="0.35">
      <c r="B3" s="64" t="s">
        <v>2</v>
      </c>
      <c r="C3" s="147" t="s">
        <v>106</v>
      </c>
      <c r="D3" s="147" t="s">
        <v>107</v>
      </c>
      <c r="E3" s="147" t="s">
        <v>108</v>
      </c>
      <c r="F3" s="147" t="s">
        <v>109</v>
      </c>
      <c r="G3" s="147" t="s">
        <v>110</v>
      </c>
      <c r="H3" s="154" t="s">
        <v>189</v>
      </c>
      <c r="I3" s="147" t="s">
        <v>117</v>
      </c>
      <c r="J3" s="147" t="s">
        <v>118</v>
      </c>
      <c r="K3" s="147" t="s">
        <v>119</v>
      </c>
      <c r="L3" s="147" t="s">
        <v>120</v>
      </c>
      <c r="M3" s="148" t="s">
        <v>121</v>
      </c>
      <c r="N3" s="148" t="s">
        <v>3</v>
      </c>
      <c r="O3" s="148" t="s">
        <v>4</v>
      </c>
      <c r="P3" s="148" t="s">
        <v>5</v>
      </c>
      <c r="Q3" s="148" t="s">
        <v>6</v>
      </c>
      <c r="R3" s="148" t="s">
        <v>7</v>
      </c>
      <c r="S3" s="148" t="s">
        <v>8</v>
      </c>
      <c r="T3" s="149" t="s">
        <v>9</v>
      </c>
      <c r="U3" s="153" t="s">
        <v>10</v>
      </c>
      <c r="V3" s="148" t="s">
        <v>11</v>
      </c>
    </row>
    <row r="4" spans="2:22" ht="13.5" customHeight="1" x14ac:dyDescent="0.35">
      <c r="B4" s="97" t="s">
        <v>15</v>
      </c>
      <c r="C4" s="155">
        <v>11.33</v>
      </c>
      <c r="D4" s="155">
        <v>8.58</v>
      </c>
      <c r="E4" s="155">
        <v>5.79</v>
      </c>
      <c r="F4" s="155">
        <v>7.74</v>
      </c>
      <c r="G4" s="155">
        <v>7.56</v>
      </c>
      <c r="H4" s="143">
        <v>6.46</v>
      </c>
      <c r="I4" s="155">
        <v>5.36</v>
      </c>
      <c r="J4" s="155">
        <v>8</v>
      </c>
      <c r="K4" s="155">
        <v>9.56</v>
      </c>
      <c r="L4" s="155">
        <v>9.81</v>
      </c>
      <c r="M4" s="85">
        <v>8.6</v>
      </c>
      <c r="N4" s="85">
        <v>10.9</v>
      </c>
      <c r="O4" s="85">
        <v>14.2</v>
      </c>
      <c r="P4" s="85">
        <v>13.7</v>
      </c>
      <c r="Q4" s="85">
        <v>14.7</v>
      </c>
      <c r="R4" s="85">
        <v>15.2</v>
      </c>
      <c r="S4" s="85">
        <v>15.3</v>
      </c>
      <c r="T4" s="85">
        <v>11.6</v>
      </c>
      <c r="U4" s="85">
        <v>7.9</v>
      </c>
      <c r="V4" s="85">
        <v>7.9</v>
      </c>
    </row>
    <row r="5" spans="2:22" ht="13.5" customHeight="1" x14ac:dyDescent="0.35">
      <c r="B5" s="105" t="s">
        <v>16</v>
      </c>
      <c r="C5" s="156">
        <v>9.7799999999999994</v>
      </c>
      <c r="D5" s="156">
        <v>10.64</v>
      </c>
      <c r="E5" s="156">
        <v>8.36</v>
      </c>
      <c r="F5" s="156">
        <v>8.01</v>
      </c>
      <c r="G5" s="156">
        <v>12.13</v>
      </c>
      <c r="H5" s="143">
        <v>11.27</v>
      </c>
      <c r="I5" s="156">
        <v>10.41</v>
      </c>
      <c r="J5" s="156">
        <v>12.24</v>
      </c>
      <c r="K5" s="156">
        <v>13.19</v>
      </c>
      <c r="L5" s="156">
        <v>13.13</v>
      </c>
      <c r="M5" s="89">
        <v>11.3</v>
      </c>
      <c r="N5" s="89">
        <v>14.2</v>
      </c>
      <c r="O5" s="89">
        <v>16.899999999999999</v>
      </c>
      <c r="P5" s="89">
        <v>17.3</v>
      </c>
      <c r="Q5" s="89">
        <v>15.1</v>
      </c>
      <c r="R5" s="89">
        <v>19.100000000000001</v>
      </c>
      <c r="S5" s="89">
        <v>17.8</v>
      </c>
      <c r="T5" s="89">
        <v>11.2</v>
      </c>
      <c r="U5" s="89">
        <v>9.6</v>
      </c>
      <c r="V5" s="89">
        <v>8.6</v>
      </c>
    </row>
    <row r="6" spans="2:22" ht="13.5" customHeight="1" x14ac:dyDescent="0.35">
      <c r="B6" s="97" t="s">
        <v>17</v>
      </c>
      <c r="C6" s="155">
        <v>12.83</v>
      </c>
      <c r="D6" s="155">
        <v>9.43</v>
      </c>
      <c r="E6" s="155">
        <v>12.24</v>
      </c>
      <c r="F6" s="155">
        <v>10.01</v>
      </c>
      <c r="G6" s="155">
        <v>12.44</v>
      </c>
      <c r="H6" s="143">
        <v>10.86</v>
      </c>
      <c r="I6" s="155">
        <v>9.2799999999999994</v>
      </c>
      <c r="J6" s="155">
        <v>9</v>
      </c>
      <c r="K6" s="155">
        <v>10.19</v>
      </c>
      <c r="L6" s="155">
        <v>10.84</v>
      </c>
      <c r="M6" s="85">
        <v>9.6999999999999993</v>
      </c>
      <c r="N6" s="85">
        <v>13.8</v>
      </c>
      <c r="O6" s="85">
        <v>15.9</v>
      </c>
      <c r="P6" s="85">
        <v>14</v>
      </c>
      <c r="Q6" s="85">
        <v>14.2</v>
      </c>
      <c r="R6" s="85">
        <v>16</v>
      </c>
      <c r="S6" s="85">
        <v>15</v>
      </c>
      <c r="T6" s="85">
        <v>10.8</v>
      </c>
      <c r="U6" s="85">
        <v>9.6999999999999993</v>
      </c>
      <c r="V6" s="85">
        <v>8.8000000000000007</v>
      </c>
    </row>
    <row r="7" spans="2:22" ht="13.5" customHeight="1" x14ac:dyDescent="0.35">
      <c r="B7" s="105" t="s">
        <v>18</v>
      </c>
      <c r="C7" s="156">
        <v>11.96</v>
      </c>
      <c r="D7" s="156">
        <v>6.67</v>
      </c>
      <c r="E7" s="156">
        <v>16.329999999999998</v>
      </c>
      <c r="F7" s="156">
        <v>15.19</v>
      </c>
      <c r="G7" s="156">
        <v>13.76</v>
      </c>
      <c r="H7" s="143">
        <v>13.98</v>
      </c>
      <c r="I7" s="156">
        <v>14.21</v>
      </c>
      <c r="J7" s="156">
        <v>10.91</v>
      </c>
      <c r="K7" s="156">
        <v>13.1</v>
      </c>
      <c r="L7" s="156">
        <v>10.33</v>
      </c>
      <c r="M7" s="89">
        <v>11.2</v>
      </c>
      <c r="N7" s="89">
        <v>15.8</v>
      </c>
      <c r="O7" s="89">
        <v>18.100000000000001</v>
      </c>
      <c r="P7" s="89">
        <v>20.399999999999999</v>
      </c>
      <c r="Q7" s="89">
        <v>17.600000000000001</v>
      </c>
      <c r="R7" s="89">
        <v>15</v>
      </c>
      <c r="S7" s="89">
        <v>16.600000000000001</v>
      </c>
      <c r="T7" s="89">
        <v>12.5</v>
      </c>
      <c r="U7" s="89">
        <v>12.8</v>
      </c>
      <c r="V7" s="89">
        <v>9.3000000000000007</v>
      </c>
    </row>
    <row r="8" spans="2:22" ht="13.5" customHeight="1" x14ac:dyDescent="0.35">
      <c r="B8" s="97" t="s">
        <v>19</v>
      </c>
      <c r="C8" s="155">
        <v>11.07</v>
      </c>
      <c r="D8" s="155">
        <v>10.25</v>
      </c>
      <c r="E8" s="155">
        <v>10.34</v>
      </c>
      <c r="F8" s="155">
        <v>10.53</v>
      </c>
      <c r="G8" s="155">
        <v>10.67</v>
      </c>
      <c r="H8" s="143">
        <v>10.59</v>
      </c>
      <c r="I8" s="155">
        <v>10.51</v>
      </c>
      <c r="J8" s="155">
        <v>10.18</v>
      </c>
      <c r="K8" s="155">
        <v>9.8699999999999992</v>
      </c>
      <c r="L8" s="155">
        <v>9.98</v>
      </c>
      <c r="M8" s="85">
        <v>12.4</v>
      </c>
      <c r="N8" s="85">
        <v>16</v>
      </c>
      <c r="O8" s="85">
        <v>17.100000000000001</v>
      </c>
      <c r="P8" s="85">
        <v>17.2</v>
      </c>
      <c r="Q8" s="85">
        <v>17.399999999999999</v>
      </c>
      <c r="R8" s="85">
        <v>20.2</v>
      </c>
      <c r="S8" s="85">
        <v>19.5</v>
      </c>
      <c r="T8" s="85">
        <v>15.3</v>
      </c>
      <c r="U8" s="85">
        <v>13.4</v>
      </c>
      <c r="V8" s="85">
        <v>11.2</v>
      </c>
    </row>
    <row r="9" spans="2:22" ht="13.5" customHeight="1" x14ac:dyDescent="0.35">
      <c r="B9" s="105" t="s">
        <v>20</v>
      </c>
      <c r="C9" s="156">
        <v>9.1199999999999992</v>
      </c>
      <c r="D9" s="156">
        <v>8.36</v>
      </c>
      <c r="E9" s="156">
        <v>7.88</v>
      </c>
      <c r="F9" s="156">
        <v>7</v>
      </c>
      <c r="G9" s="156">
        <v>7.91</v>
      </c>
      <c r="H9" s="143">
        <v>7.02</v>
      </c>
      <c r="I9" s="156">
        <v>6.12</v>
      </c>
      <c r="J9" s="156">
        <v>6.58</v>
      </c>
      <c r="K9" s="156">
        <v>7.42</v>
      </c>
      <c r="L9" s="156">
        <v>8.23</v>
      </c>
      <c r="M9" s="89">
        <v>8.9</v>
      </c>
      <c r="N9" s="89">
        <v>12.1</v>
      </c>
      <c r="O9" s="89">
        <v>12.7</v>
      </c>
      <c r="P9" s="89">
        <v>11.4</v>
      </c>
      <c r="Q9" s="89">
        <v>11.1</v>
      </c>
      <c r="R9" s="89">
        <v>13.3</v>
      </c>
      <c r="S9" s="89">
        <v>13.4</v>
      </c>
      <c r="T9" s="89">
        <v>9.5</v>
      </c>
      <c r="U9" s="89">
        <v>9.1</v>
      </c>
      <c r="V9" s="89">
        <v>7.3</v>
      </c>
    </row>
    <row r="10" spans="2:22" ht="13.5" customHeight="1" x14ac:dyDescent="0.35">
      <c r="B10" s="97" t="s">
        <v>21</v>
      </c>
      <c r="C10" s="155">
        <v>13.51</v>
      </c>
      <c r="D10" s="155">
        <v>11.63</v>
      </c>
      <c r="E10" s="155">
        <v>11.95</v>
      </c>
      <c r="F10" s="155">
        <v>11.24</v>
      </c>
      <c r="G10" s="155">
        <v>11.46</v>
      </c>
      <c r="H10" s="143">
        <v>9.67</v>
      </c>
      <c r="I10" s="155">
        <v>7.88</v>
      </c>
      <c r="J10" s="155">
        <v>8.39</v>
      </c>
      <c r="K10" s="155">
        <v>9.32</v>
      </c>
      <c r="L10" s="155">
        <v>9.48</v>
      </c>
      <c r="M10" s="85">
        <v>10.199999999999999</v>
      </c>
      <c r="N10" s="85">
        <v>12.1</v>
      </c>
      <c r="O10" s="85">
        <v>13.3</v>
      </c>
      <c r="P10" s="85">
        <v>12.8</v>
      </c>
      <c r="Q10" s="85">
        <v>13.4</v>
      </c>
      <c r="R10" s="85">
        <v>14.8</v>
      </c>
      <c r="S10" s="85">
        <v>14</v>
      </c>
      <c r="T10" s="85">
        <v>11.4</v>
      </c>
      <c r="U10" s="85">
        <v>9.8000000000000007</v>
      </c>
      <c r="V10" s="85">
        <v>9.1999999999999993</v>
      </c>
    </row>
    <row r="11" spans="2:22" ht="13.5" customHeight="1" x14ac:dyDescent="0.35">
      <c r="B11" s="105" t="s">
        <v>22</v>
      </c>
      <c r="C11" s="156">
        <v>10.33</v>
      </c>
      <c r="D11" s="156">
        <v>7.5</v>
      </c>
      <c r="E11" s="156">
        <v>10.81</v>
      </c>
      <c r="F11" s="156">
        <v>6.24</v>
      </c>
      <c r="G11" s="156">
        <v>8.48</v>
      </c>
      <c r="H11" s="143">
        <v>8.2200000000000006</v>
      </c>
      <c r="I11" s="156">
        <v>7.97</v>
      </c>
      <c r="J11" s="156">
        <v>5.78</v>
      </c>
      <c r="K11" s="156">
        <v>6.19</v>
      </c>
      <c r="L11" s="156">
        <v>7.14</v>
      </c>
      <c r="M11" s="89">
        <v>7.8</v>
      </c>
      <c r="N11" s="89">
        <v>12.4</v>
      </c>
      <c r="O11" s="89">
        <v>13.3</v>
      </c>
      <c r="P11" s="89">
        <v>11.7</v>
      </c>
      <c r="Q11" s="89">
        <v>11.2</v>
      </c>
      <c r="R11" s="89">
        <v>12.9</v>
      </c>
      <c r="S11" s="89">
        <v>11.2</v>
      </c>
      <c r="T11" s="89">
        <v>8</v>
      </c>
      <c r="U11" s="89">
        <v>6.1</v>
      </c>
      <c r="V11" s="89">
        <v>4.7</v>
      </c>
    </row>
    <row r="12" spans="2:22" ht="13.5" customHeight="1" x14ac:dyDescent="0.35">
      <c r="B12" s="97" t="s">
        <v>23</v>
      </c>
      <c r="C12" s="155">
        <v>9.81</v>
      </c>
      <c r="D12" s="155">
        <v>7.65</v>
      </c>
      <c r="E12" s="155">
        <v>8.2200000000000006</v>
      </c>
      <c r="F12" s="155">
        <v>7.22</v>
      </c>
      <c r="G12" s="155">
        <v>8.51</v>
      </c>
      <c r="H12" s="143">
        <v>6.72</v>
      </c>
      <c r="I12" s="155">
        <v>4.9400000000000004</v>
      </c>
      <c r="J12" s="155">
        <v>4.92</v>
      </c>
      <c r="K12" s="155">
        <v>5.74</v>
      </c>
      <c r="L12" s="155">
        <v>5.17</v>
      </c>
      <c r="M12" s="85">
        <v>7.4</v>
      </c>
      <c r="N12" s="85">
        <v>10.7</v>
      </c>
      <c r="O12" s="85">
        <v>10.7</v>
      </c>
      <c r="P12" s="85">
        <v>9.3000000000000007</v>
      </c>
      <c r="Q12" s="85">
        <v>10.8</v>
      </c>
      <c r="R12" s="85">
        <v>12.8</v>
      </c>
      <c r="S12" s="85">
        <v>11.3</v>
      </c>
      <c r="T12" s="85">
        <v>7.2</v>
      </c>
      <c r="U12" s="85">
        <v>6.2</v>
      </c>
      <c r="V12" s="85">
        <v>5.4</v>
      </c>
    </row>
    <row r="13" spans="2:22" ht="13.5" customHeight="1" x14ac:dyDescent="0.35">
      <c r="B13" s="105" t="s">
        <v>24</v>
      </c>
      <c r="C13" s="156">
        <v>7.53</v>
      </c>
      <c r="D13" s="156">
        <v>8.4499999999999993</v>
      </c>
      <c r="E13" s="156">
        <v>8.2899999999999991</v>
      </c>
      <c r="F13" s="156">
        <v>6.69</v>
      </c>
      <c r="G13" s="156">
        <v>8.36</v>
      </c>
      <c r="H13" s="143">
        <v>8.24</v>
      </c>
      <c r="I13" s="156">
        <v>8.1199999999999992</v>
      </c>
      <c r="J13" s="156">
        <v>6.83</v>
      </c>
      <c r="K13" s="156">
        <v>9.02</v>
      </c>
      <c r="L13" s="156">
        <v>8.1</v>
      </c>
      <c r="M13" s="89">
        <v>8.8000000000000007</v>
      </c>
      <c r="N13" s="89">
        <v>12.1</v>
      </c>
      <c r="O13" s="89">
        <v>14.5</v>
      </c>
      <c r="P13" s="89">
        <v>14.7</v>
      </c>
      <c r="Q13" s="89">
        <v>14.7</v>
      </c>
      <c r="R13" s="89">
        <v>16.399999999999999</v>
      </c>
      <c r="S13" s="89">
        <v>16.100000000000001</v>
      </c>
      <c r="T13" s="89">
        <v>10.5</v>
      </c>
      <c r="U13" s="89">
        <v>8.1999999999999993</v>
      </c>
      <c r="V13" s="89">
        <v>7.7</v>
      </c>
    </row>
    <row r="14" spans="2:22" ht="13.5" customHeight="1" x14ac:dyDescent="0.35">
      <c r="B14" s="97" t="s">
        <v>25</v>
      </c>
      <c r="C14" s="155">
        <v>9.39</v>
      </c>
      <c r="D14" s="155">
        <v>8.74</v>
      </c>
      <c r="E14" s="155">
        <v>8.2200000000000006</v>
      </c>
      <c r="F14" s="155">
        <v>6.72</v>
      </c>
      <c r="G14" s="155">
        <v>8.1</v>
      </c>
      <c r="H14" s="143">
        <v>7.26</v>
      </c>
      <c r="I14" s="155">
        <v>6.43</v>
      </c>
      <c r="J14" s="155">
        <v>6.21</v>
      </c>
      <c r="K14" s="155">
        <v>6.63</v>
      </c>
      <c r="L14" s="155">
        <v>7.06</v>
      </c>
      <c r="M14" s="85">
        <v>8.6</v>
      </c>
      <c r="N14" s="85">
        <v>11.2</v>
      </c>
      <c r="O14" s="85">
        <v>12.2</v>
      </c>
      <c r="P14" s="85">
        <v>10.8</v>
      </c>
      <c r="Q14" s="85">
        <v>10.1</v>
      </c>
      <c r="R14" s="85">
        <v>12.8</v>
      </c>
      <c r="S14" s="85">
        <v>11.7</v>
      </c>
      <c r="T14" s="85">
        <v>7.2</v>
      </c>
      <c r="U14" s="85">
        <v>6.1</v>
      </c>
      <c r="V14" s="85">
        <v>5.2</v>
      </c>
    </row>
    <row r="15" spans="2:22" ht="13.5" customHeight="1" x14ac:dyDescent="0.35">
      <c r="B15" s="105" t="s">
        <v>26</v>
      </c>
      <c r="C15" s="156">
        <v>9.1999999999999993</v>
      </c>
      <c r="D15" s="156">
        <v>8.4700000000000006</v>
      </c>
      <c r="E15" s="156">
        <v>6.48</v>
      </c>
      <c r="F15" s="156">
        <v>7.87</v>
      </c>
      <c r="G15" s="156">
        <v>7.21</v>
      </c>
      <c r="H15" s="143">
        <v>6.04</v>
      </c>
      <c r="I15" s="156">
        <v>4.8600000000000003</v>
      </c>
      <c r="J15" s="156">
        <v>3.73</v>
      </c>
      <c r="K15" s="156">
        <v>3.87</v>
      </c>
      <c r="L15" s="156">
        <v>4.49</v>
      </c>
      <c r="M15" s="89">
        <v>6.2</v>
      </c>
      <c r="N15" s="89">
        <v>7.7</v>
      </c>
      <c r="O15" s="89">
        <v>8.6</v>
      </c>
      <c r="P15" s="89">
        <v>7.6</v>
      </c>
      <c r="Q15" s="89">
        <v>8.1</v>
      </c>
      <c r="R15" s="89">
        <v>10.199999999999999</v>
      </c>
      <c r="S15" s="89">
        <v>8.6999999999999993</v>
      </c>
      <c r="T15" s="89">
        <v>5</v>
      </c>
      <c r="U15" s="89">
        <v>4.2</v>
      </c>
      <c r="V15" s="89">
        <v>4</v>
      </c>
    </row>
    <row r="16" spans="2:22" ht="13.5" customHeight="1" x14ac:dyDescent="0.35">
      <c r="B16" s="97" t="s">
        <v>27</v>
      </c>
      <c r="C16" s="155">
        <v>8.69</v>
      </c>
      <c r="D16" s="155">
        <v>9.1</v>
      </c>
      <c r="E16" s="155">
        <v>8.42</v>
      </c>
      <c r="F16" s="155">
        <v>6.22</v>
      </c>
      <c r="G16" s="155">
        <v>6.87</v>
      </c>
      <c r="H16" s="143">
        <v>7.25</v>
      </c>
      <c r="I16" s="155">
        <v>7.63</v>
      </c>
      <c r="J16" s="155">
        <v>5.26</v>
      </c>
      <c r="K16" s="155">
        <v>4.9000000000000004</v>
      </c>
      <c r="L16" s="155">
        <v>4.8099999999999996</v>
      </c>
      <c r="M16" s="85">
        <v>6.2</v>
      </c>
      <c r="N16" s="85">
        <v>9.5</v>
      </c>
      <c r="O16" s="85">
        <v>9.1</v>
      </c>
      <c r="P16" s="85">
        <v>8</v>
      </c>
      <c r="Q16" s="85">
        <v>8</v>
      </c>
      <c r="R16" s="85">
        <v>9.9</v>
      </c>
      <c r="S16" s="85">
        <v>8</v>
      </c>
      <c r="T16" s="85">
        <v>4.3</v>
      </c>
      <c r="U16" s="85">
        <v>3.5</v>
      </c>
      <c r="V16" s="85">
        <v>2.9</v>
      </c>
    </row>
    <row r="17" spans="2:22" ht="13.5" customHeight="1" x14ac:dyDescent="0.35">
      <c r="B17" s="105" t="s">
        <v>28</v>
      </c>
      <c r="C17" s="156">
        <v>9.6999999999999993</v>
      </c>
      <c r="D17" s="156">
        <v>9.26</v>
      </c>
      <c r="E17" s="156">
        <v>8.7200000000000006</v>
      </c>
      <c r="F17" s="156">
        <v>6.78</v>
      </c>
      <c r="G17" s="156">
        <v>10.24</v>
      </c>
      <c r="H17" s="143">
        <v>9.93</v>
      </c>
      <c r="I17" s="156">
        <v>9.6199999999999992</v>
      </c>
      <c r="J17" s="156">
        <v>7.8</v>
      </c>
      <c r="K17" s="156">
        <v>9.59</v>
      </c>
      <c r="L17" s="156">
        <v>9.7100000000000009</v>
      </c>
      <c r="M17" s="89">
        <v>8.9</v>
      </c>
      <c r="N17" s="89">
        <v>11.2</v>
      </c>
      <c r="O17" s="89">
        <v>11.8</v>
      </c>
      <c r="P17" s="89">
        <v>11.2</v>
      </c>
      <c r="Q17" s="89">
        <v>10.8</v>
      </c>
      <c r="R17" s="89">
        <v>10.5</v>
      </c>
      <c r="S17" s="89">
        <v>12.5</v>
      </c>
      <c r="T17" s="89">
        <v>9.6</v>
      </c>
      <c r="U17" s="89">
        <v>8.5</v>
      </c>
      <c r="V17" s="89">
        <v>7.5</v>
      </c>
    </row>
    <row r="18" spans="2:22" ht="13.5" customHeight="1" x14ac:dyDescent="0.35">
      <c r="B18" s="97" t="s">
        <v>29</v>
      </c>
      <c r="C18" s="155">
        <v>8.69</v>
      </c>
      <c r="D18" s="155">
        <v>8.69</v>
      </c>
      <c r="E18" s="155">
        <v>8.5</v>
      </c>
      <c r="F18" s="155">
        <v>7.86</v>
      </c>
      <c r="G18" s="155">
        <v>9.84</v>
      </c>
      <c r="H18" s="143">
        <v>10.11</v>
      </c>
      <c r="I18" s="155">
        <v>10.37</v>
      </c>
      <c r="J18" s="155">
        <v>8.98</v>
      </c>
      <c r="K18" s="155">
        <v>9.83</v>
      </c>
      <c r="L18" s="155">
        <v>8.5</v>
      </c>
      <c r="M18" s="85">
        <v>9.6999999999999993</v>
      </c>
      <c r="N18" s="85">
        <v>11.6</v>
      </c>
      <c r="O18" s="85">
        <v>11.5</v>
      </c>
      <c r="P18" s="85">
        <v>11.3</v>
      </c>
      <c r="Q18" s="85">
        <v>11.8</v>
      </c>
      <c r="R18" s="85">
        <v>15</v>
      </c>
      <c r="S18" s="85">
        <v>14.8</v>
      </c>
      <c r="T18" s="85">
        <v>12</v>
      </c>
      <c r="U18" s="85">
        <v>10.1</v>
      </c>
      <c r="V18" s="85">
        <v>8.6999999999999993</v>
      </c>
    </row>
    <row r="19" spans="2:22" ht="13.5" customHeight="1" x14ac:dyDescent="0.35">
      <c r="B19" s="105" t="s">
        <v>30</v>
      </c>
      <c r="C19" s="156">
        <v>12.69</v>
      </c>
      <c r="D19" s="156">
        <v>11.3</v>
      </c>
      <c r="E19" s="156">
        <v>12.98</v>
      </c>
      <c r="F19" s="156">
        <v>10.74</v>
      </c>
      <c r="G19" s="156">
        <v>13.09</v>
      </c>
      <c r="H19" s="143">
        <v>11.31</v>
      </c>
      <c r="I19" s="156">
        <v>9.5399999999999991</v>
      </c>
      <c r="J19" s="156">
        <v>10.29</v>
      </c>
      <c r="K19" s="156">
        <v>9.09</v>
      </c>
      <c r="L19" s="156">
        <v>9.4700000000000006</v>
      </c>
      <c r="M19" s="89">
        <v>9.9</v>
      </c>
      <c r="N19" s="89">
        <v>14.8</v>
      </c>
      <c r="O19" s="89">
        <v>17.899999999999999</v>
      </c>
      <c r="P19" s="89">
        <v>16.899999999999999</v>
      </c>
      <c r="Q19" s="89">
        <v>15.7</v>
      </c>
      <c r="R19" s="89">
        <v>17.2</v>
      </c>
      <c r="S19" s="89">
        <v>19.899999999999999</v>
      </c>
      <c r="T19" s="89">
        <v>14.2</v>
      </c>
      <c r="U19" s="89">
        <v>13.4</v>
      </c>
      <c r="V19" s="89">
        <v>11.1</v>
      </c>
    </row>
    <row r="20" spans="2:22" ht="13.5" customHeight="1" x14ac:dyDescent="0.35">
      <c r="B20" s="97" t="s">
        <v>31</v>
      </c>
      <c r="C20" s="155">
        <v>6.83</v>
      </c>
      <c r="D20" s="155">
        <v>5.25</v>
      </c>
      <c r="E20" s="155">
        <v>4.6100000000000003</v>
      </c>
      <c r="F20" s="155">
        <v>5.01</v>
      </c>
      <c r="G20" s="155">
        <v>5.21</v>
      </c>
      <c r="H20" s="143">
        <v>6.12</v>
      </c>
      <c r="I20" s="155">
        <v>7.04</v>
      </c>
      <c r="J20" s="155">
        <v>5.62</v>
      </c>
      <c r="K20" s="155">
        <v>6.99</v>
      </c>
      <c r="L20" s="155">
        <v>6.01</v>
      </c>
      <c r="M20" s="85">
        <v>7.7</v>
      </c>
      <c r="N20" s="85">
        <v>9.6</v>
      </c>
      <c r="O20" s="85">
        <v>13</v>
      </c>
      <c r="P20" s="85">
        <v>12.9</v>
      </c>
      <c r="Q20" s="85">
        <v>13</v>
      </c>
      <c r="R20" s="85">
        <v>13.3</v>
      </c>
      <c r="S20" s="85">
        <v>13.6</v>
      </c>
      <c r="T20" s="85">
        <v>10.199999999999999</v>
      </c>
      <c r="U20" s="85">
        <v>10.3</v>
      </c>
      <c r="V20" s="85">
        <v>8.5</v>
      </c>
    </row>
    <row r="21" spans="2:22" ht="13.5" customHeight="1" x14ac:dyDescent="0.35">
      <c r="B21" s="105" t="s">
        <v>32</v>
      </c>
      <c r="C21" s="156">
        <v>7.5</v>
      </c>
      <c r="D21" s="156">
        <v>7.36</v>
      </c>
      <c r="E21" s="156">
        <v>6.22</v>
      </c>
      <c r="F21" s="156">
        <v>5</v>
      </c>
      <c r="G21" s="156">
        <v>6.8</v>
      </c>
      <c r="H21" s="143">
        <v>5.89</v>
      </c>
      <c r="I21" s="156">
        <v>4.99</v>
      </c>
      <c r="J21" s="156">
        <v>4.88</v>
      </c>
      <c r="K21" s="156">
        <v>4.51</v>
      </c>
      <c r="L21" s="156">
        <v>4.62</v>
      </c>
      <c r="M21" s="89">
        <v>5.9</v>
      </c>
      <c r="N21" s="89">
        <v>8.3000000000000007</v>
      </c>
      <c r="O21" s="89">
        <v>9</v>
      </c>
      <c r="P21" s="89">
        <v>8.8000000000000007</v>
      </c>
      <c r="Q21" s="89">
        <v>8.6999999999999993</v>
      </c>
      <c r="R21" s="89">
        <v>9.6</v>
      </c>
      <c r="S21" s="89">
        <v>8.4</v>
      </c>
      <c r="T21" s="89">
        <v>5.8</v>
      </c>
      <c r="U21" s="89">
        <v>4.9000000000000004</v>
      </c>
      <c r="V21" s="89">
        <v>4</v>
      </c>
    </row>
    <row r="22" spans="2:22" ht="13.5" customHeight="1" x14ac:dyDescent="0.35">
      <c r="B22" s="97" t="s">
        <v>33</v>
      </c>
      <c r="C22" s="155">
        <v>12.86</v>
      </c>
      <c r="D22" s="155">
        <v>11.93</v>
      </c>
      <c r="E22" s="155">
        <v>10.3</v>
      </c>
      <c r="F22" s="155">
        <v>9.66</v>
      </c>
      <c r="G22" s="155">
        <v>9.25</v>
      </c>
      <c r="H22" s="143">
        <v>8.75</v>
      </c>
      <c r="I22" s="155">
        <v>8.26</v>
      </c>
      <c r="J22" s="155">
        <v>6.83</v>
      </c>
      <c r="K22" s="155">
        <v>7.63</v>
      </c>
      <c r="L22" s="155">
        <v>8.09</v>
      </c>
      <c r="M22" s="85">
        <v>7.7</v>
      </c>
      <c r="N22" s="85">
        <v>11.9</v>
      </c>
      <c r="O22" s="85">
        <v>15.1</v>
      </c>
      <c r="P22" s="85">
        <v>15.1</v>
      </c>
      <c r="Q22" s="85">
        <v>14.8</v>
      </c>
      <c r="R22" s="85">
        <v>17.600000000000001</v>
      </c>
      <c r="S22" s="85">
        <v>16.899999999999999</v>
      </c>
      <c r="T22" s="85">
        <v>12.8</v>
      </c>
      <c r="U22" s="85">
        <v>11</v>
      </c>
      <c r="V22" s="85">
        <v>9</v>
      </c>
    </row>
    <row r="23" spans="2:22" ht="13.5" customHeight="1" x14ac:dyDescent="0.35">
      <c r="B23" s="105" t="s">
        <v>34</v>
      </c>
      <c r="C23" s="156">
        <v>11.98</v>
      </c>
      <c r="D23" s="156">
        <v>9.73</v>
      </c>
      <c r="E23" s="156">
        <v>10.050000000000001</v>
      </c>
      <c r="F23" s="156">
        <v>8.6300000000000008</v>
      </c>
      <c r="G23" s="156">
        <v>11.69</v>
      </c>
      <c r="H23" s="143">
        <v>11.11</v>
      </c>
      <c r="I23" s="156">
        <v>10.53</v>
      </c>
      <c r="J23" s="156">
        <v>8.1199999999999992</v>
      </c>
      <c r="K23" s="156">
        <v>11.82</v>
      </c>
      <c r="L23" s="156">
        <v>12.14</v>
      </c>
      <c r="M23" s="89">
        <v>12.1</v>
      </c>
      <c r="N23" s="89">
        <v>14.3</v>
      </c>
      <c r="O23" s="89">
        <v>14.7</v>
      </c>
      <c r="P23" s="89">
        <v>13.7</v>
      </c>
      <c r="Q23" s="89">
        <v>13.3</v>
      </c>
      <c r="R23" s="89">
        <v>16.100000000000001</v>
      </c>
      <c r="S23" s="89">
        <v>14.9</v>
      </c>
      <c r="T23" s="89">
        <v>11.7</v>
      </c>
      <c r="U23" s="89">
        <v>10.3</v>
      </c>
      <c r="V23" s="89">
        <v>9.1</v>
      </c>
    </row>
    <row r="24" spans="2:22" ht="13.5" customHeight="1" x14ac:dyDescent="0.35">
      <c r="B24" s="97" t="s">
        <v>35</v>
      </c>
      <c r="C24" s="155">
        <v>7.68</v>
      </c>
      <c r="D24" s="155">
        <v>7.72</v>
      </c>
      <c r="E24" s="155">
        <v>8.3699999999999992</v>
      </c>
      <c r="F24" s="155">
        <v>8.0500000000000007</v>
      </c>
      <c r="G24" s="155">
        <v>9.1199999999999992</v>
      </c>
      <c r="H24" s="143">
        <v>6.66</v>
      </c>
      <c r="I24" s="155">
        <v>4.21</v>
      </c>
      <c r="J24" s="155">
        <v>6.39</v>
      </c>
      <c r="K24" s="155">
        <v>6.1</v>
      </c>
      <c r="L24" s="155">
        <v>5.41</v>
      </c>
      <c r="M24" s="85">
        <v>5.7</v>
      </c>
      <c r="N24" s="85">
        <v>8</v>
      </c>
      <c r="O24" s="85">
        <v>8.1999999999999993</v>
      </c>
      <c r="P24" s="85">
        <v>9.1999999999999993</v>
      </c>
      <c r="Q24" s="85">
        <v>8.1</v>
      </c>
      <c r="R24" s="85">
        <v>10.6</v>
      </c>
      <c r="S24" s="85">
        <v>8.9</v>
      </c>
      <c r="T24" s="85">
        <v>4.9000000000000004</v>
      </c>
      <c r="U24" s="85">
        <v>2.9</v>
      </c>
      <c r="V24" s="85">
        <v>2.9</v>
      </c>
    </row>
    <row r="25" spans="2:22" ht="13.5" customHeight="1" x14ac:dyDescent="0.35">
      <c r="B25" s="105" t="s">
        <v>36</v>
      </c>
      <c r="C25" s="156">
        <v>16.89</v>
      </c>
      <c r="D25" s="156">
        <v>9.91</v>
      </c>
      <c r="E25" s="156">
        <v>12.07</v>
      </c>
      <c r="F25" s="156">
        <v>7.35</v>
      </c>
      <c r="G25" s="156">
        <v>11.32</v>
      </c>
      <c r="H25" s="143">
        <v>10.54</v>
      </c>
      <c r="I25" s="156">
        <v>9.77</v>
      </c>
      <c r="J25" s="156">
        <v>10.18</v>
      </c>
      <c r="K25" s="156">
        <v>7.96</v>
      </c>
      <c r="L25" s="156">
        <v>8.24</v>
      </c>
      <c r="M25" s="89">
        <v>8.6999999999999993</v>
      </c>
      <c r="N25" s="89">
        <v>8.9</v>
      </c>
      <c r="O25" s="89">
        <v>10</v>
      </c>
      <c r="P25" s="89">
        <v>12.4</v>
      </c>
      <c r="Q25" s="89">
        <v>15.1</v>
      </c>
      <c r="R25" s="89">
        <v>16.8</v>
      </c>
      <c r="S25" s="89">
        <v>12.1</v>
      </c>
      <c r="T25" s="89">
        <v>6.1</v>
      </c>
      <c r="U25" s="89">
        <v>6.7</v>
      </c>
      <c r="V25" s="89">
        <v>6.8</v>
      </c>
    </row>
    <row r="26" spans="2:22" ht="13.5" customHeight="1" x14ac:dyDescent="0.35">
      <c r="B26" s="97" t="s">
        <v>37</v>
      </c>
      <c r="C26" s="155">
        <v>7.21</v>
      </c>
      <c r="D26" s="155">
        <v>6.92</v>
      </c>
      <c r="E26" s="155">
        <v>7.33</v>
      </c>
      <c r="F26" s="155">
        <v>6.08</v>
      </c>
      <c r="G26" s="155">
        <v>6.69</v>
      </c>
      <c r="H26" s="143">
        <v>5.85</v>
      </c>
      <c r="I26" s="155">
        <v>5.01</v>
      </c>
      <c r="J26" s="155">
        <v>4.96</v>
      </c>
      <c r="K26" s="155">
        <v>4.82</v>
      </c>
      <c r="L26" s="155">
        <v>5</v>
      </c>
      <c r="M26" s="85">
        <v>6.4</v>
      </c>
      <c r="N26" s="85">
        <v>8.3000000000000007</v>
      </c>
      <c r="O26" s="85">
        <v>8.5</v>
      </c>
      <c r="P26" s="85">
        <v>8.1999999999999993</v>
      </c>
      <c r="Q26" s="85">
        <v>8.1999999999999993</v>
      </c>
      <c r="R26" s="85">
        <v>9.3000000000000007</v>
      </c>
      <c r="S26" s="85">
        <v>8.6999999999999993</v>
      </c>
      <c r="T26" s="85">
        <v>6.1</v>
      </c>
      <c r="U26" s="85">
        <v>5.3</v>
      </c>
      <c r="V26" s="85">
        <v>5.0999999999999996</v>
      </c>
    </row>
    <row r="27" spans="2:22" ht="13.5" customHeight="1" x14ac:dyDescent="0.35">
      <c r="B27" s="105" t="s">
        <v>38</v>
      </c>
      <c r="C27" s="156">
        <v>4.91</v>
      </c>
      <c r="D27" s="156">
        <v>5.16</v>
      </c>
      <c r="E27" s="156">
        <v>5.2</v>
      </c>
      <c r="F27" s="156">
        <v>4.75</v>
      </c>
      <c r="G27" s="156">
        <v>5.65</v>
      </c>
      <c r="H27" s="143">
        <v>4.63</v>
      </c>
      <c r="I27" s="156">
        <v>3.61</v>
      </c>
      <c r="J27" s="156">
        <v>3.14</v>
      </c>
      <c r="K27" s="156">
        <v>3.36</v>
      </c>
      <c r="L27" s="156">
        <v>3.13</v>
      </c>
      <c r="M27" s="89">
        <v>4.2</v>
      </c>
      <c r="N27" s="89">
        <v>6.4</v>
      </c>
      <c r="O27" s="89">
        <v>7.2</v>
      </c>
      <c r="P27" s="89">
        <v>6.5</v>
      </c>
      <c r="Q27" s="89">
        <v>6.2</v>
      </c>
      <c r="R27" s="89">
        <v>6.3</v>
      </c>
      <c r="S27" s="89">
        <v>5.5</v>
      </c>
      <c r="T27" s="89">
        <v>3.9</v>
      </c>
      <c r="U27" s="89">
        <v>3.5</v>
      </c>
      <c r="V27" s="89">
        <v>3.1</v>
      </c>
    </row>
    <row r="28" spans="2:22" ht="13.5" customHeight="1" x14ac:dyDescent="0.35">
      <c r="B28" s="97" t="s">
        <v>39</v>
      </c>
      <c r="C28" s="155">
        <v>13.98</v>
      </c>
      <c r="D28" s="155">
        <v>10.29</v>
      </c>
      <c r="E28" s="155">
        <v>9.77</v>
      </c>
      <c r="F28" s="155">
        <v>8.43</v>
      </c>
      <c r="G28" s="155">
        <v>12.01</v>
      </c>
      <c r="H28" s="143">
        <v>10.48</v>
      </c>
      <c r="I28" s="155">
        <v>8.9600000000000009</v>
      </c>
      <c r="J28" s="155">
        <v>8.5</v>
      </c>
      <c r="K28" s="155">
        <v>9.32</v>
      </c>
      <c r="L28" s="155">
        <v>8.65</v>
      </c>
      <c r="M28" s="85">
        <v>9.1999999999999993</v>
      </c>
      <c r="N28" s="85">
        <v>13.6</v>
      </c>
      <c r="O28" s="85">
        <v>14.6</v>
      </c>
      <c r="P28" s="85">
        <v>16.8</v>
      </c>
      <c r="Q28" s="85">
        <v>15.2</v>
      </c>
      <c r="R28" s="85">
        <v>18.899999999999999</v>
      </c>
      <c r="S28" s="85">
        <v>18</v>
      </c>
      <c r="T28" s="85">
        <v>13.1</v>
      </c>
      <c r="U28" s="85">
        <v>10.9</v>
      </c>
      <c r="V28" s="85">
        <v>8.9</v>
      </c>
    </row>
    <row r="29" spans="2:22" ht="13.5" customHeight="1" x14ac:dyDescent="0.35">
      <c r="B29" s="105" t="s">
        <v>40</v>
      </c>
      <c r="C29" s="156">
        <v>11.76</v>
      </c>
      <c r="D29" s="156">
        <v>10.23</v>
      </c>
      <c r="E29" s="156">
        <v>9.52</v>
      </c>
      <c r="F29" s="156">
        <v>8.19</v>
      </c>
      <c r="G29" s="156">
        <v>9.8000000000000007</v>
      </c>
      <c r="H29" s="143">
        <v>8.48</v>
      </c>
      <c r="I29" s="156">
        <v>7.15</v>
      </c>
      <c r="J29" s="156">
        <v>6.37</v>
      </c>
      <c r="K29" s="156">
        <v>6.67</v>
      </c>
      <c r="L29" s="156">
        <v>7.9</v>
      </c>
      <c r="M29" s="89">
        <v>9.4</v>
      </c>
      <c r="N29" s="89">
        <v>12.5</v>
      </c>
      <c r="O29" s="89">
        <v>13.5</v>
      </c>
      <c r="P29" s="89">
        <v>13.4</v>
      </c>
      <c r="Q29" s="89">
        <v>12.6</v>
      </c>
      <c r="R29" s="89">
        <v>14.1</v>
      </c>
      <c r="S29" s="89">
        <v>13.5</v>
      </c>
      <c r="T29" s="89">
        <v>9.1</v>
      </c>
      <c r="U29" s="89">
        <v>7.6</v>
      </c>
      <c r="V29" s="89">
        <v>6.5</v>
      </c>
    </row>
    <row r="30" spans="2:22" ht="13.5" customHeight="1" x14ac:dyDescent="0.35">
      <c r="B30" s="97" t="s">
        <v>41</v>
      </c>
      <c r="C30" s="155">
        <v>7.1</v>
      </c>
      <c r="D30" s="155">
        <v>6.91</v>
      </c>
      <c r="E30" s="155">
        <v>6.83</v>
      </c>
      <c r="F30" s="155">
        <v>6.49</v>
      </c>
      <c r="G30" s="155">
        <v>7.88</v>
      </c>
      <c r="H30" s="143">
        <v>7.61</v>
      </c>
      <c r="I30" s="155">
        <v>7.33</v>
      </c>
      <c r="J30" s="155">
        <v>6.47</v>
      </c>
      <c r="K30" s="155">
        <v>7.06</v>
      </c>
      <c r="L30" s="155">
        <v>6.44</v>
      </c>
      <c r="M30" s="85">
        <v>8.6999999999999993</v>
      </c>
      <c r="N30" s="85">
        <v>11.5</v>
      </c>
      <c r="O30" s="85">
        <v>11.7</v>
      </c>
      <c r="P30" s="85">
        <v>10.7</v>
      </c>
      <c r="Q30" s="85">
        <v>11</v>
      </c>
      <c r="R30" s="85">
        <v>12.1</v>
      </c>
      <c r="S30" s="85">
        <v>13.4</v>
      </c>
      <c r="T30" s="85">
        <v>6.4</v>
      </c>
      <c r="U30" s="85">
        <v>6.1</v>
      </c>
      <c r="V30" s="85">
        <v>5.4</v>
      </c>
    </row>
  </sheetData>
  <mergeCells count="2">
    <mergeCell ref="B1:V1"/>
    <mergeCell ref="B2:V2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544"/>
  <sheetViews>
    <sheetView showGridLines="0" zoomScaleNormal="100" workbookViewId="0">
      <pane xSplit="3" ySplit="3" topLeftCell="D31" activePane="bottomRight" state="frozen"/>
      <selection pane="topRight" activeCell="D1" sqref="D1"/>
      <selection pane="bottomLeft" activeCell="A4" sqref="A4"/>
      <selection pane="bottomRight" sqref="A1:O1"/>
    </sheetView>
  </sheetViews>
  <sheetFormatPr defaultColWidth="8.6328125" defaultRowHeight="14.5" x14ac:dyDescent="0.35"/>
  <cols>
    <col min="1" max="1" width="2" customWidth="1"/>
    <col min="2" max="3" width="6" customWidth="1"/>
    <col min="4" max="5" width="10" customWidth="1"/>
    <col min="6" max="6" width="12" customWidth="1"/>
    <col min="7" max="8" width="10" customWidth="1"/>
    <col min="9" max="9" width="13" customWidth="1"/>
    <col min="10" max="10" width="10" customWidth="1"/>
    <col min="11" max="11" width="9" customWidth="1"/>
    <col min="12" max="13" width="7" customWidth="1"/>
    <col min="14" max="14" width="10" customWidth="1"/>
    <col min="15" max="15" width="13" customWidth="1"/>
  </cols>
  <sheetData>
    <row r="1" spans="1:15" ht="19.5" customHeight="1" x14ac:dyDescent="0.35">
      <c r="A1" s="196" t="s">
        <v>190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</row>
    <row r="2" spans="1:15" ht="12.75" customHeight="1" x14ac:dyDescent="0.35">
      <c r="A2" s="198" t="s">
        <v>191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</row>
    <row r="3" spans="1:15" ht="36" customHeight="1" x14ac:dyDescent="0.35">
      <c r="B3" s="92" t="s">
        <v>149</v>
      </c>
      <c r="C3" s="92" t="s">
        <v>150</v>
      </c>
      <c r="D3" s="3" t="s">
        <v>151</v>
      </c>
      <c r="E3" s="93" t="s">
        <v>152</v>
      </c>
      <c r="F3" s="55" t="s">
        <v>192</v>
      </c>
      <c r="G3" s="3" t="s">
        <v>153</v>
      </c>
      <c r="H3" s="93" t="s">
        <v>154</v>
      </c>
      <c r="I3" s="94" t="s">
        <v>155</v>
      </c>
      <c r="J3" s="94" t="s">
        <v>156</v>
      </c>
      <c r="K3" s="95" t="s">
        <v>157</v>
      </c>
      <c r="L3" s="96" t="s">
        <v>158</v>
      </c>
      <c r="M3" s="95" t="s">
        <v>159</v>
      </c>
      <c r="N3" s="55" t="s">
        <v>160</v>
      </c>
      <c r="O3" s="94" t="s">
        <v>161</v>
      </c>
    </row>
    <row r="4" spans="1:15" ht="12.75" customHeight="1" x14ac:dyDescent="0.35">
      <c r="B4" s="157" t="s">
        <v>15</v>
      </c>
      <c r="C4" s="158">
        <v>2005</v>
      </c>
      <c r="D4" s="159">
        <v>5.38</v>
      </c>
      <c r="E4" s="159">
        <v>0</v>
      </c>
      <c r="F4" s="160">
        <v>0</v>
      </c>
      <c r="G4" s="161">
        <v>3.5834999999999999</v>
      </c>
      <c r="H4" s="161"/>
      <c r="I4" s="160">
        <v>6694</v>
      </c>
      <c r="J4" s="161">
        <v>8.8089999999999993</v>
      </c>
      <c r="K4" s="162">
        <v>11.33</v>
      </c>
      <c r="L4" s="163">
        <v>0</v>
      </c>
      <c r="M4" s="163">
        <v>0</v>
      </c>
      <c r="N4" s="161">
        <v>72.89</v>
      </c>
      <c r="O4" s="160">
        <v>669736</v>
      </c>
    </row>
    <row r="5" spans="1:15" ht="12.75" customHeight="1" x14ac:dyDescent="0.35">
      <c r="B5" s="164" t="s">
        <v>15</v>
      </c>
      <c r="C5" s="165">
        <v>2006</v>
      </c>
      <c r="D5" s="166">
        <v>6.7</v>
      </c>
      <c r="E5" s="166">
        <v>0.15</v>
      </c>
      <c r="F5" s="167">
        <v>1</v>
      </c>
      <c r="G5" s="168">
        <v>3.8285999999999998</v>
      </c>
      <c r="H5" s="168">
        <v>0</v>
      </c>
      <c r="I5" s="167">
        <v>7041</v>
      </c>
      <c r="J5" s="168">
        <v>8.8595000000000006</v>
      </c>
      <c r="K5" s="169">
        <v>8.58</v>
      </c>
      <c r="L5" s="170">
        <v>0</v>
      </c>
      <c r="M5" s="170">
        <v>0</v>
      </c>
      <c r="N5" s="168">
        <v>72.89</v>
      </c>
      <c r="O5" s="167">
        <v>686652</v>
      </c>
    </row>
    <row r="6" spans="1:15" ht="12.75" customHeight="1" x14ac:dyDescent="0.35">
      <c r="B6" s="157" t="s">
        <v>15</v>
      </c>
      <c r="C6" s="158">
        <v>2007</v>
      </c>
      <c r="D6" s="159">
        <v>7.48</v>
      </c>
      <c r="E6" s="159">
        <v>0</v>
      </c>
      <c r="F6" s="160">
        <v>1</v>
      </c>
      <c r="G6" s="161">
        <v>3.8917999999999999</v>
      </c>
      <c r="H6" s="161"/>
      <c r="I6" s="160">
        <v>8790</v>
      </c>
      <c r="J6" s="161">
        <v>9.0814000000000004</v>
      </c>
      <c r="K6" s="162">
        <v>5.79</v>
      </c>
      <c r="L6" s="163">
        <v>0</v>
      </c>
      <c r="M6" s="163">
        <v>0</v>
      </c>
      <c r="N6" s="161">
        <v>72.89</v>
      </c>
      <c r="O6" s="160">
        <v>655385</v>
      </c>
    </row>
    <row r="7" spans="1:15" ht="12.75" customHeight="1" x14ac:dyDescent="0.35">
      <c r="B7" s="164" t="s">
        <v>15</v>
      </c>
      <c r="C7" s="165">
        <v>2008</v>
      </c>
      <c r="D7" s="166">
        <v>5.73</v>
      </c>
      <c r="E7" s="166">
        <v>0</v>
      </c>
      <c r="F7" s="167">
        <v>1</v>
      </c>
      <c r="G7" s="168">
        <v>3.6636000000000002</v>
      </c>
      <c r="H7" s="168"/>
      <c r="I7" s="167">
        <v>9896</v>
      </c>
      <c r="J7" s="168">
        <v>9.1998999999999995</v>
      </c>
      <c r="K7" s="169">
        <v>7.74</v>
      </c>
      <c r="L7" s="170">
        <v>0</v>
      </c>
      <c r="M7" s="170">
        <v>0</v>
      </c>
      <c r="N7" s="168">
        <v>72.89</v>
      </c>
      <c r="O7" s="167">
        <v>680075</v>
      </c>
    </row>
    <row r="8" spans="1:15" ht="12.75" customHeight="1" x14ac:dyDescent="0.35">
      <c r="B8" s="157" t="s">
        <v>15</v>
      </c>
      <c r="C8" s="158">
        <v>2009</v>
      </c>
      <c r="D8" s="159">
        <v>8.68</v>
      </c>
      <c r="E8" s="159">
        <v>0</v>
      </c>
      <c r="F8" s="160">
        <v>1</v>
      </c>
      <c r="G8" s="161">
        <v>4.0942999999999996</v>
      </c>
      <c r="H8" s="161"/>
      <c r="I8" s="160">
        <v>10687</v>
      </c>
      <c r="J8" s="161">
        <v>9.2767999999999997</v>
      </c>
      <c r="K8" s="162">
        <v>7.56</v>
      </c>
      <c r="L8" s="163">
        <v>0</v>
      </c>
      <c r="M8" s="163">
        <v>0</v>
      </c>
      <c r="N8" s="161">
        <v>72.89</v>
      </c>
      <c r="O8" s="160">
        <v>691132</v>
      </c>
    </row>
    <row r="9" spans="1:15" ht="12.75" customHeight="1" x14ac:dyDescent="0.35">
      <c r="B9" s="164" t="s">
        <v>15</v>
      </c>
      <c r="C9" s="165">
        <v>2010</v>
      </c>
      <c r="D9" s="166">
        <v>8.4499999999999993</v>
      </c>
      <c r="E9" s="166">
        <v>0</v>
      </c>
      <c r="F9" s="167">
        <v>1</v>
      </c>
      <c r="G9" s="168">
        <v>4.1271000000000004</v>
      </c>
      <c r="H9" s="168"/>
      <c r="I9" s="167">
        <v>11372</v>
      </c>
      <c r="J9" s="168">
        <v>9.3389000000000006</v>
      </c>
      <c r="K9" s="169">
        <v>6.46</v>
      </c>
      <c r="L9" s="170">
        <v>0</v>
      </c>
      <c r="M9" s="170">
        <v>0</v>
      </c>
      <c r="N9" s="168">
        <v>72.89</v>
      </c>
      <c r="O9" s="167">
        <v>733559</v>
      </c>
    </row>
    <row r="10" spans="1:15" ht="12.75" customHeight="1" x14ac:dyDescent="0.35">
      <c r="B10" s="157" t="s">
        <v>15</v>
      </c>
      <c r="C10" s="158">
        <v>2011</v>
      </c>
      <c r="D10" s="159">
        <v>6.7</v>
      </c>
      <c r="E10" s="159">
        <v>0</v>
      </c>
      <c r="F10" s="160">
        <v>1</v>
      </c>
      <c r="G10" s="161">
        <v>3.9119999999999999</v>
      </c>
      <c r="H10" s="161"/>
      <c r="I10" s="160">
        <v>11990</v>
      </c>
      <c r="J10" s="161">
        <v>9.3917999999999999</v>
      </c>
      <c r="K10" s="162">
        <v>5.36</v>
      </c>
      <c r="L10" s="163">
        <v>0</v>
      </c>
      <c r="M10" s="163">
        <v>0</v>
      </c>
      <c r="N10" s="161">
        <v>72.89</v>
      </c>
      <c r="O10" s="160">
        <v>746386</v>
      </c>
    </row>
    <row r="11" spans="1:15" ht="12.75" customHeight="1" x14ac:dyDescent="0.35">
      <c r="B11" s="164" t="s">
        <v>15</v>
      </c>
      <c r="C11" s="165">
        <v>2012</v>
      </c>
      <c r="D11" s="166">
        <v>11.2</v>
      </c>
      <c r="E11" s="166">
        <v>0</v>
      </c>
      <c r="F11" s="167">
        <v>1</v>
      </c>
      <c r="G11" s="168">
        <v>4.4427000000000003</v>
      </c>
      <c r="H11" s="168"/>
      <c r="I11" s="167">
        <v>13361</v>
      </c>
      <c r="J11" s="168">
        <v>9.5000999999999998</v>
      </c>
      <c r="K11" s="169">
        <v>8</v>
      </c>
      <c r="L11" s="170">
        <v>0</v>
      </c>
      <c r="M11" s="170">
        <v>0</v>
      </c>
      <c r="N11" s="168">
        <v>72.89</v>
      </c>
      <c r="O11" s="167">
        <v>758786</v>
      </c>
    </row>
    <row r="12" spans="1:15" ht="12.75" customHeight="1" x14ac:dyDescent="0.35">
      <c r="B12" s="157" t="s">
        <v>15</v>
      </c>
      <c r="C12" s="158">
        <v>2013</v>
      </c>
      <c r="D12" s="159">
        <v>12.49</v>
      </c>
      <c r="E12" s="159">
        <v>0.26</v>
      </c>
      <c r="F12" s="160">
        <v>3</v>
      </c>
      <c r="G12" s="161">
        <v>4.5747</v>
      </c>
      <c r="H12" s="161">
        <v>0.69310000000000005</v>
      </c>
      <c r="I12" s="160">
        <v>14777</v>
      </c>
      <c r="J12" s="161">
        <v>9.6007999999999996</v>
      </c>
      <c r="K12" s="162">
        <v>9.56</v>
      </c>
      <c r="L12" s="163">
        <v>0</v>
      </c>
      <c r="M12" s="163">
        <v>0</v>
      </c>
      <c r="N12" s="161">
        <v>72.89</v>
      </c>
      <c r="O12" s="160">
        <v>776463</v>
      </c>
    </row>
    <row r="13" spans="1:15" ht="12.75" customHeight="1" x14ac:dyDescent="0.35">
      <c r="B13" s="164" t="s">
        <v>15</v>
      </c>
      <c r="C13" s="165">
        <v>2014</v>
      </c>
      <c r="D13" s="166">
        <v>14.68</v>
      </c>
      <c r="E13" s="166">
        <v>0</v>
      </c>
      <c r="F13" s="167">
        <v>3</v>
      </c>
      <c r="G13" s="168">
        <v>4.7535999999999996</v>
      </c>
      <c r="H13" s="168"/>
      <c r="I13" s="167">
        <v>17034</v>
      </c>
      <c r="J13" s="168">
        <v>9.7430000000000003</v>
      </c>
      <c r="K13" s="169">
        <v>9.81</v>
      </c>
      <c r="L13" s="170">
        <v>0</v>
      </c>
      <c r="M13" s="170">
        <v>0</v>
      </c>
      <c r="N13" s="168">
        <v>72.89</v>
      </c>
      <c r="O13" s="167">
        <v>790101</v>
      </c>
    </row>
    <row r="14" spans="1:15" ht="12.75" customHeight="1" x14ac:dyDescent="0.35">
      <c r="B14" s="157" t="s">
        <v>15</v>
      </c>
      <c r="C14" s="158">
        <v>2015</v>
      </c>
      <c r="D14" s="159">
        <v>14.44</v>
      </c>
      <c r="E14" s="159">
        <v>0</v>
      </c>
      <c r="F14" s="160">
        <v>3</v>
      </c>
      <c r="G14" s="161">
        <v>4.7535999999999996</v>
      </c>
      <c r="H14" s="161"/>
      <c r="I14" s="160">
        <v>16954</v>
      </c>
      <c r="J14" s="161">
        <v>9.7383000000000006</v>
      </c>
      <c r="K14" s="162">
        <v>8.6</v>
      </c>
      <c r="L14" s="163">
        <v>0</v>
      </c>
      <c r="M14" s="163">
        <v>0</v>
      </c>
      <c r="N14" s="161">
        <v>72.89</v>
      </c>
      <c r="O14" s="160">
        <v>803513</v>
      </c>
    </row>
    <row r="15" spans="1:15" ht="12.75" customHeight="1" x14ac:dyDescent="0.35">
      <c r="B15" s="171" t="s">
        <v>15</v>
      </c>
      <c r="C15" s="172">
        <v>2016</v>
      </c>
      <c r="D15" s="173">
        <v>27.55</v>
      </c>
      <c r="E15" s="173">
        <v>1.22</v>
      </c>
      <c r="F15" s="174">
        <v>13</v>
      </c>
      <c r="G15" s="175">
        <v>5.4161000000000001</v>
      </c>
      <c r="H15" s="175">
        <v>2.3026</v>
      </c>
      <c r="I15" s="174">
        <v>16842</v>
      </c>
      <c r="J15" s="175">
        <v>9.7316000000000003</v>
      </c>
      <c r="K15" s="176">
        <v>10.9</v>
      </c>
      <c r="L15" s="177">
        <v>0</v>
      </c>
      <c r="M15" s="177">
        <v>0</v>
      </c>
      <c r="N15" s="175">
        <v>72.89</v>
      </c>
      <c r="O15" s="174">
        <v>816687</v>
      </c>
    </row>
    <row r="16" spans="1:15" ht="12.75" customHeight="1" x14ac:dyDescent="0.35">
      <c r="B16" s="178" t="s">
        <v>15</v>
      </c>
      <c r="C16" s="179">
        <v>2017</v>
      </c>
      <c r="D16" s="180">
        <v>45.92</v>
      </c>
      <c r="E16" s="180">
        <v>2.77</v>
      </c>
      <c r="F16" s="181">
        <v>36</v>
      </c>
      <c r="G16" s="182">
        <v>5.9428000000000001</v>
      </c>
      <c r="H16" s="182">
        <v>3.1355</v>
      </c>
      <c r="I16" s="181">
        <v>17204</v>
      </c>
      <c r="J16" s="182">
        <v>9.7529000000000003</v>
      </c>
      <c r="K16" s="183">
        <v>14.2</v>
      </c>
      <c r="L16" s="184">
        <v>0</v>
      </c>
      <c r="M16" s="184">
        <v>0</v>
      </c>
      <c r="N16" s="182">
        <v>72.89</v>
      </c>
      <c r="O16" s="181">
        <v>829619</v>
      </c>
    </row>
    <row r="17" spans="2:15" ht="12.75" customHeight="1" x14ac:dyDescent="0.35">
      <c r="B17" s="171" t="s">
        <v>15</v>
      </c>
      <c r="C17" s="172">
        <v>2018</v>
      </c>
      <c r="D17" s="173">
        <v>35.549999999999997</v>
      </c>
      <c r="E17" s="173">
        <v>7.59</v>
      </c>
      <c r="F17" s="174">
        <v>102</v>
      </c>
      <c r="G17" s="175">
        <v>5.7332999999999998</v>
      </c>
      <c r="H17" s="175">
        <v>4.1897000000000002</v>
      </c>
      <c r="I17" s="174">
        <v>17637</v>
      </c>
      <c r="J17" s="175">
        <v>9.7777999999999992</v>
      </c>
      <c r="K17" s="176">
        <v>13.7</v>
      </c>
      <c r="L17" s="177">
        <v>0</v>
      </c>
      <c r="M17" s="177">
        <v>0</v>
      </c>
      <c r="N17" s="175">
        <v>72.89</v>
      </c>
      <c r="O17" s="174">
        <v>869265</v>
      </c>
    </row>
    <row r="18" spans="2:15" ht="12.75" customHeight="1" x14ac:dyDescent="0.35">
      <c r="B18" s="178" t="s">
        <v>15</v>
      </c>
      <c r="C18" s="179">
        <v>2019</v>
      </c>
      <c r="D18" s="180">
        <v>24.95</v>
      </c>
      <c r="E18" s="180">
        <v>18.03</v>
      </c>
      <c r="F18" s="181">
        <v>261</v>
      </c>
      <c r="G18" s="182">
        <v>5.3936000000000002</v>
      </c>
      <c r="H18" s="182">
        <v>5.0689000000000002</v>
      </c>
      <c r="I18" s="181">
        <v>17722</v>
      </c>
      <c r="J18" s="182">
        <v>9.7826000000000004</v>
      </c>
      <c r="K18" s="183">
        <v>14.7</v>
      </c>
      <c r="L18" s="184">
        <v>0</v>
      </c>
      <c r="M18" s="184">
        <v>0</v>
      </c>
      <c r="N18" s="182">
        <v>72.89</v>
      </c>
      <c r="O18" s="181">
        <v>881935</v>
      </c>
    </row>
    <row r="19" spans="2:15" ht="12.75" customHeight="1" x14ac:dyDescent="0.35">
      <c r="B19" s="171" t="s">
        <v>15</v>
      </c>
      <c r="C19" s="172">
        <v>2020</v>
      </c>
      <c r="D19" s="173">
        <v>25.15</v>
      </c>
      <c r="E19" s="173">
        <v>37.68</v>
      </c>
      <c r="F19" s="174">
        <v>598</v>
      </c>
      <c r="G19" s="175">
        <v>5.4161000000000001</v>
      </c>
      <c r="H19" s="175">
        <v>5.8201000000000001</v>
      </c>
      <c r="I19" s="174">
        <v>18420</v>
      </c>
      <c r="J19" s="175">
        <v>9.8211999999999993</v>
      </c>
      <c r="K19" s="176">
        <v>15.2</v>
      </c>
      <c r="L19" s="177">
        <v>0</v>
      </c>
      <c r="M19" s="177">
        <v>1</v>
      </c>
      <c r="N19" s="175">
        <v>72.89</v>
      </c>
      <c r="O19" s="174">
        <v>894470</v>
      </c>
    </row>
    <row r="20" spans="2:15" ht="12.75" customHeight="1" x14ac:dyDescent="0.35">
      <c r="B20" s="178" t="s">
        <v>15</v>
      </c>
      <c r="C20" s="179">
        <v>2021</v>
      </c>
      <c r="D20" s="180">
        <v>13.01</v>
      </c>
      <c r="E20" s="180">
        <v>59.99</v>
      </c>
      <c r="F20" s="181">
        <v>1142</v>
      </c>
      <c r="G20" s="182">
        <v>4.7706999999999997</v>
      </c>
      <c r="H20" s="182">
        <v>6.2988999999999997</v>
      </c>
      <c r="I20" s="181">
        <v>23569</v>
      </c>
      <c r="J20" s="182">
        <v>10.0677</v>
      </c>
      <c r="K20" s="183">
        <v>15.3</v>
      </c>
      <c r="L20" s="184">
        <v>0</v>
      </c>
      <c r="M20" s="184">
        <v>1</v>
      </c>
      <c r="N20" s="182">
        <v>72.89</v>
      </c>
      <c r="O20" s="181">
        <v>906876</v>
      </c>
    </row>
    <row r="21" spans="2:15" ht="12.75" customHeight="1" x14ac:dyDescent="0.35">
      <c r="B21" s="171" t="s">
        <v>15</v>
      </c>
      <c r="C21" s="172">
        <v>2022</v>
      </c>
      <c r="D21" s="173">
        <v>17.23</v>
      </c>
      <c r="E21" s="173">
        <v>72.89</v>
      </c>
      <c r="F21" s="174">
        <v>1747</v>
      </c>
      <c r="G21" s="175">
        <v>4.9627999999999997</v>
      </c>
      <c r="H21" s="175">
        <v>6.4051999999999998</v>
      </c>
      <c r="I21" s="174">
        <v>28525</v>
      </c>
      <c r="J21" s="175">
        <v>10.2585</v>
      </c>
      <c r="K21" s="176">
        <v>11.6</v>
      </c>
      <c r="L21" s="177">
        <v>0</v>
      </c>
      <c r="M21" s="177">
        <v>0</v>
      </c>
      <c r="N21" s="175">
        <v>72.89</v>
      </c>
      <c r="O21" s="174">
        <v>830018</v>
      </c>
    </row>
    <row r="22" spans="2:15" ht="12.75" customHeight="1" x14ac:dyDescent="0.35">
      <c r="B22" s="178" t="s">
        <v>15</v>
      </c>
      <c r="C22" s="179">
        <v>2023</v>
      </c>
      <c r="D22" s="180">
        <v>15.66</v>
      </c>
      <c r="E22" s="180">
        <v>0.12</v>
      </c>
      <c r="F22" s="181">
        <v>1748</v>
      </c>
      <c r="G22" s="182">
        <v>4.8674999999999997</v>
      </c>
      <c r="H22" s="182">
        <v>0</v>
      </c>
      <c r="I22" s="181">
        <v>31676</v>
      </c>
      <c r="J22" s="182">
        <v>10.363300000000001</v>
      </c>
      <c r="K22" s="183">
        <v>7.9</v>
      </c>
      <c r="L22" s="184">
        <v>1</v>
      </c>
      <c r="M22" s="184">
        <v>0</v>
      </c>
      <c r="N22" s="182">
        <v>72.89</v>
      </c>
      <c r="O22" s="181">
        <v>830018</v>
      </c>
    </row>
    <row r="23" spans="2:15" ht="12.75" customHeight="1" x14ac:dyDescent="0.35">
      <c r="B23" s="171" t="s">
        <v>15</v>
      </c>
      <c r="C23" s="172">
        <v>2024</v>
      </c>
      <c r="D23" s="173">
        <v>11.13</v>
      </c>
      <c r="E23" s="173">
        <v>4.43</v>
      </c>
      <c r="F23" s="174">
        <v>1787</v>
      </c>
      <c r="G23" s="175">
        <v>4.585</v>
      </c>
      <c r="H23" s="175">
        <v>3.6636000000000002</v>
      </c>
      <c r="I23" s="174">
        <v>32220</v>
      </c>
      <c r="J23" s="175">
        <v>10.3803</v>
      </c>
      <c r="K23" s="176">
        <v>7.9</v>
      </c>
      <c r="L23" s="177">
        <v>1</v>
      </c>
      <c r="M23" s="177">
        <v>0</v>
      </c>
      <c r="N23" s="175">
        <v>72.89</v>
      </c>
      <c r="O23" s="174">
        <v>880631</v>
      </c>
    </row>
    <row r="24" spans="2:15" ht="12.75" customHeight="1" x14ac:dyDescent="0.35">
      <c r="B24" s="157" t="s">
        <v>16</v>
      </c>
      <c r="C24" s="158">
        <v>2005</v>
      </c>
      <c r="D24" s="159">
        <v>30.31</v>
      </c>
      <c r="E24" s="159">
        <v>7.0000000000000007E-2</v>
      </c>
      <c r="F24" s="160">
        <v>2</v>
      </c>
      <c r="G24" s="161">
        <v>6.8178000000000001</v>
      </c>
      <c r="H24" s="161">
        <v>0.69310000000000005</v>
      </c>
      <c r="I24" s="160">
        <v>4688</v>
      </c>
      <c r="J24" s="161">
        <v>8.4527999999999999</v>
      </c>
      <c r="K24" s="162">
        <v>9.7799999999999994</v>
      </c>
      <c r="L24" s="163">
        <v>0</v>
      </c>
      <c r="M24" s="163">
        <v>0</v>
      </c>
      <c r="N24" s="161">
        <v>111.52030000000001</v>
      </c>
      <c r="O24" s="160">
        <v>3015912</v>
      </c>
    </row>
    <row r="25" spans="2:15" ht="12.75" customHeight="1" x14ac:dyDescent="0.35">
      <c r="B25" s="164" t="s">
        <v>16</v>
      </c>
      <c r="C25" s="165">
        <v>2006</v>
      </c>
      <c r="D25" s="166">
        <v>42.74</v>
      </c>
      <c r="E25" s="166">
        <v>0</v>
      </c>
      <c r="F25" s="167">
        <v>2</v>
      </c>
      <c r="G25" s="168">
        <v>7.1731999999999996</v>
      </c>
      <c r="H25" s="168"/>
      <c r="I25" s="167">
        <v>5162</v>
      </c>
      <c r="J25" s="168">
        <v>8.5490999999999993</v>
      </c>
      <c r="K25" s="169">
        <v>10.64</v>
      </c>
      <c r="L25" s="170">
        <v>0</v>
      </c>
      <c r="M25" s="170">
        <v>0</v>
      </c>
      <c r="N25" s="168">
        <v>111.52030000000001</v>
      </c>
      <c r="O25" s="167">
        <v>3050652</v>
      </c>
    </row>
    <row r="26" spans="2:15" ht="12.75" customHeight="1" x14ac:dyDescent="0.35">
      <c r="B26" s="157" t="s">
        <v>16</v>
      </c>
      <c r="C26" s="158">
        <v>2007</v>
      </c>
      <c r="D26" s="159">
        <v>51.2</v>
      </c>
      <c r="E26" s="159">
        <v>0</v>
      </c>
      <c r="F26" s="160">
        <v>2</v>
      </c>
      <c r="G26" s="161">
        <v>7.3491999999999997</v>
      </c>
      <c r="H26" s="161"/>
      <c r="I26" s="160">
        <v>5858</v>
      </c>
      <c r="J26" s="161">
        <v>8.6755999999999993</v>
      </c>
      <c r="K26" s="162">
        <v>8.36</v>
      </c>
      <c r="L26" s="163">
        <v>0</v>
      </c>
      <c r="M26" s="163">
        <v>0</v>
      </c>
      <c r="N26" s="161">
        <v>111.52030000000001</v>
      </c>
      <c r="O26" s="160">
        <v>3037231</v>
      </c>
    </row>
    <row r="27" spans="2:15" ht="12.75" customHeight="1" x14ac:dyDescent="0.35">
      <c r="B27" s="164" t="s">
        <v>16</v>
      </c>
      <c r="C27" s="165">
        <v>2008</v>
      </c>
      <c r="D27" s="166">
        <v>51.16</v>
      </c>
      <c r="E27" s="166">
        <v>0.06</v>
      </c>
      <c r="F27" s="167">
        <v>4</v>
      </c>
      <c r="G27" s="168">
        <v>7.3777999999999997</v>
      </c>
      <c r="H27" s="168">
        <v>0.69310000000000005</v>
      </c>
      <c r="I27" s="167">
        <v>6228</v>
      </c>
      <c r="J27" s="168">
        <v>8.7368000000000006</v>
      </c>
      <c r="K27" s="169">
        <v>8.01</v>
      </c>
      <c r="L27" s="170">
        <v>0</v>
      </c>
      <c r="M27" s="170">
        <v>0</v>
      </c>
      <c r="N27" s="168">
        <v>111.52030000000001</v>
      </c>
      <c r="O27" s="167">
        <v>3127560</v>
      </c>
    </row>
    <row r="28" spans="2:15" ht="12.75" customHeight="1" x14ac:dyDescent="0.35">
      <c r="B28" s="157" t="s">
        <v>16</v>
      </c>
      <c r="C28" s="158">
        <v>2009</v>
      </c>
      <c r="D28" s="159">
        <v>49.71</v>
      </c>
      <c r="E28" s="159">
        <v>0.1</v>
      </c>
      <c r="F28" s="160">
        <v>7</v>
      </c>
      <c r="G28" s="161">
        <v>7.3582000000000001</v>
      </c>
      <c r="H28" s="161">
        <v>1.0986</v>
      </c>
      <c r="I28" s="160">
        <v>6728</v>
      </c>
      <c r="J28" s="161">
        <v>8.8140000000000001</v>
      </c>
      <c r="K28" s="162">
        <v>12.13</v>
      </c>
      <c r="L28" s="163">
        <v>0</v>
      </c>
      <c r="M28" s="163">
        <v>0</v>
      </c>
      <c r="N28" s="161">
        <v>111.52030000000001</v>
      </c>
      <c r="O28" s="160">
        <v>3156108</v>
      </c>
    </row>
    <row r="29" spans="2:15" ht="12.75" customHeight="1" x14ac:dyDescent="0.35">
      <c r="B29" s="164" t="s">
        <v>16</v>
      </c>
      <c r="C29" s="165">
        <v>2010</v>
      </c>
      <c r="D29" s="166">
        <v>55.15</v>
      </c>
      <c r="E29" s="166">
        <v>0.26</v>
      </c>
      <c r="F29" s="167">
        <v>15</v>
      </c>
      <c r="G29" s="168">
        <v>7.4507000000000003</v>
      </c>
      <c r="H29" s="168">
        <v>2.0794000000000001</v>
      </c>
      <c r="I29" s="167">
        <v>8695</v>
      </c>
      <c r="J29" s="168">
        <v>9.0704999999999991</v>
      </c>
      <c r="K29" s="169">
        <v>11.27</v>
      </c>
      <c r="L29" s="170">
        <v>0</v>
      </c>
      <c r="M29" s="170">
        <v>0</v>
      </c>
      <c r="N29" s="168">
        <v>111.52030000000001</v>
      </c>
      <c r="O29" s="167">
        <v>3120494</v>
      </c>
    </row>
    <row r="30" spans="2:15" ht="12.75" customHeight="1" x14ac:dyDescent="0.35">
      <c r="B30" s="157" t="s">
        <v>16</v>
      </c>
      <c r="C30" s="158">
        <v>2011</v>
      </c>
      <c r="D30" s="159">
        <v>61.62</v>
      </c>
      <c r="E30" s="159">
        <v>0.35</v>
      </c>
      <c r="F30" s="160">
        <v>26</v>
      </c>
      <c r="G30" s="161">
        <v>7.5689000000000002</v>
      </c>
      <c r="H30" s="161">
        <v>2.3978999999999999</v>
      </c>
      <c r="I30" s="160">
        <v>10071</v>
      </c>
      <c r="J30" s="161">
        <v>9.2173999999999996</v>
      </c>
      <c r="K30" s="162">
        <v>10.41</v>
      </c>
      <c r="L30" s="163">
        <v>0</v>
      </c>
      <c r="M30" s="163">
        <v>0</v>
      </c>
      <c r="N30" s="161">
        <v>111.52030000000001</v>
      </c>
      <c r="O30" s="160">
        <v>3143384</v>
      </c>
    </row>
    <row r="31" spans="2:15" ht="12.75" customHeight="1" x14ac:dyDescent="0.35">
      <c r="B31" s="164" t="s">
        <v>16</v>
      </c>
      <c r="C31" s="165">
        <v>2012</v>
      </c>
      <c r="D31" s="166">
        <v>54.87</v>
      </c>
      <c r="E31" s="166">
        <v>0.47</v>
      </c>
      <c r="F31" s="167">
        <v>41</v>
      </c>
      <c r="G31" s="168">
        <v>7.4599000000000002</v>
      </c>
      <c r="H31" s="168">
        <v>2.7081</v>
      </c>
      <c r="I31" s="167">
        <v>10946</v>
      </c>
      <c r="J31" s="168">
        <v>9.3007000000000009</v>
      </c>
      <c r="K31" s="169">
        <v>12.24</v>
      </c>
      <c r="L31" s="170">
        <v>0</v>
      </c>
      <c r="M31" s="170">
        <v>0</v>
      </c>
      <c r="N31" s="168">
        <v>111.52030000000001</v>
      </c>
      <c r="O31" s="167">
        <v>3165472</v>
      </c>
    </row>
    <row r="32" spans="2:15" ht="12.75" customHeight="1" x14ac:dyDescent="0.35">
      <c r="B32" s="157" t="s">
        <v>16</v>
      </c>
      <c r="C32" s="158">
        <v>2013</v>
      </c>
      <c r="D32" s="159">
        <v>56.71</v>
      </c>
      <c r="E32" s="159">
        <v>0.27</v>
      </c>
      <c r="F32" s="160">
        <v>50</v>
      </c>
      <c r="G32" s="161">
        <v>7.5347999999999997</v>
      </c>
      <c r="H32" s="161">
        <v>2.1972</v>
      </c>
      <c r="I32" s="160">
        <v>11295</v>
      </c>
      <c r="J32" s="161">
        <v>9.3321000000000005</v>
      </c>
      <c r="K32" s="162">
        <v>13.19</v>
      </c>
      <c r="L32" s="163">
        <v>0</v>
      </c>
      <c r="M32" s="163">
        <v>0</v>
      </c>
      <c r="N32" s="161">
        <v>111.52030000000001</v>
      </c>
      <c r="O32" s="160">
        <v>3300935</v>
      </c>
    </row>
    <row r="33" spans="2:15" ht="12.75" customHeight="1" x14ac:dyDescent="0.35">
      <c r="B33" s="164" t="s">
        <v>16</v>
      </c>
      <c r="C33" s="165">
        <v>2014</v>
      </c>
      <c r="D33" s="166">
        <v>54.82</v>
      </c>
      <c r="E33" s="166">
        <v>0.18</v>
      </c>
      <c r="F33" s="167">
        <v>56</v>
      </c>
      <c r="G33" s="168">
        <v>7.5071000000000003</v>
      </c>
      <c r="H33" s="168">
        <v>1.7918000000000001</v>
      </c>
      <c r="I33" s="167">
        <v>12335</v>
      </c>
      <c r="J33" s="168">
        <v>9.4201999999999995</v>
      </c>
      <c r="K33" s="169">
        <v>13.13</v>
      </c>
      <c r="L33" s="170">
        <v>0</v>
      </c>
      <c r="M33" s="170">
        <v>0</v>
      </c>
      <c r="N33" s="168">
        <v>111.52030000000001</v>
      </c>
      <c r="O33" s="167">
        <v>3321730</v>
      </c>
    </row>
    <row r="34" spans="2:15" ht="12.75" customHeight="1" x14ac:dyDescent="0.35">
      <c r="B34" s="157" t="s">
        <v>16</v>
      </c>
      <c r="C34" s="158">
        <v>2015</v>
      </c>
      <c r="D34" s="159">
        <v>44.36</v>
      </c>
      <c r="E34" s="159">
        <v>0.03</v>
      </c>
      <c r="F34" s="160">
        <v>57</v>
      </c>
      <c r="G34" s="161">
        <v>7.3010999999999999</v>
      </c>
      <c r="H34" s="161">
        <v>0</v>
      </c>
      <c r="I34" s="160">
        <v>13879</v>
      </c>
      <c r="J34" s="161">
        <v>9.5381</v>
      </c>
      <c r="K34" s="162">
        <v>11.3</v>
      </c>
      <c r="L34" s="163">
        <v>0</v>
      </c>
      <c r="M34" s="163">
        <v>0</v>
      </c>
      <c r="N34" s="161">
        <v>111.52030000000001</v>
      </c>
      <c r="O34" s="160">
        <v>3340932</v>
      </c>
    </row>
    <row r="35" spans="2:15" ht="12.75" customHeight="1" x14ac:dyDescent="0.35">
      <c r="B35" s="171" t="s">
        <v>16</v>
      </c>
      <c r="C35" s="172">
        <v>2016</v>
      </c>
      <c r="D35" s="173">
        <v>46.03</v>
      </c>
      <c r="E35" s="173">
        <v>0.8</v>
      </c>
      <c r="F35" s="174">
        <v>84</v>
      </c>
      <c r="G35" s="175">
        <v>7.3433999999999999</v>
      </c>
      <c r="H35" s="175">
        <v>3.2957999999999998</v>
      </c>
      <c r="I35" s="174">
        <v>14727</v>
      </c>
      <c r="J35" s="175">
        <v>9.5974000000000004</v>
      </c>
      <c r="K35" s="176">
        <v>14.2</v>
      </c>
      <c r="L35" s="177">
        <v>0</v>
      </c>
      <c r="M35" s="177">
        <v>0</v>
      </c>
      <c r="N35" s="175">
        <v>111.52030000000001</v>
      </c>
      <c r="O35" s="174">
        <v>3358963</v>
      </c>
    </row>
    <row r="36" spans="2:15" ht="12.75" customHeight="1" x14ac:dyDescent="0.35">
      <c r="B36" s="178" t="s">
        <v>16</v>
      </c>
      <c r="C36" s="179">
        <v>2017</v>
      </c>
      <c r="D36" s="180">
        <v>45.56</v>
      </c>
      <c r="E36" s="180">
        <v>2.2799999999999998</v>
      </c>
      <c r="F36" s="181">
        <v>161</v>
      </c>
      <c r="G36" s="182">
        <v>7.3381999999999996</v>
      </c>
      <c r="H36" s="182">
        <v>4.3437999999999999</v>
      </c>
      <c r="I36" s="181">
        <v>15656</v>
      </c>
      <c r="J36" s="182">
        <v>9.6585999999999999</v>
      </c>
      <c r="K36" s="183">
        <v>16.899999999999999</v>
      </c>
      <c r="L36" s="184">
        <v>0</v>
      </c>
      <c r="M36" s="184">
        <v>0</v>
      </c>
      <c r="N36" s="182">
        <v>111.52030000000001</v>
      </c>
      <c r="O36" s="181">
        <v>3375823</v>
      </c>
    </row>
    <row r="37" spans="2:15" ht="12.75" customHeight="1" x14ac:dyDescent="0.35">
      <c r="B37" s="171" t="s">
        <v>16</v>
      </c>
      <c r="C37" s="172">
        <v>2018</v>
      </c>
      <c r="D37" s="173">
        <v>36.08</v>
      </c>
      <c r="E37" s="173">
        <v>3.64</v>
      </c>
      <c r="F37" s="174">
        <v>282</v>
      </c>
      <c r="G37" s="175">
        <v>7.0891999999999999</v>
      </c>
      <c r="H37" s="175">
        <v>4.7957999999999998</v>
      </c>
      <c r="I37" s="174">
        <v>16376</v>
      </c>
      <c r="J37" s="175">
        <v>9.7035999999999998</v>
      </c>
      <c r="K37" s="176">
        <v>17.3</v>
      </c>
      <c r="L37" s="177">
        <v>0</v>
      </c>
      <c r="M37" s="177">
        <v>0</v>
      </c>
      <c r="N37" s="175">
        <v>111.52030000000001</v>
      </c>
      <c r="O37" s="174">
        <v>3322820</v>
      </c>
    </row>
    <row r="38" spans="2:15" ht="12.75" customHeight="1" x14ac:dyDescent="0.35">
      <c r="B38" s="178" t="s">
        <v>16</v>
      </c>
      <c r="C38" s="179">
        <v>2019</v>
      </c>
      <c r="D38" s="180">
        <v>25.68</v>
      </c>
      <c r="E38" s="180">
        <v>21.63</v>
      </c>
      <c r="F38" s="181">
        <v>1004</v>
      </c>
      <c r="G38" s="182">
        <v>6.7534000000000001</v>
      </c>
      <c r="H38" s="182">
        <v>6.5819999999999999</v>
      </c>
      <c r="I38" s="181">
        <v>17668</v>
      </c>
      <c r="J38" s="182">
        <v>9.7795000000000005</v>
      </c>
      <c r="K38" s="183">
        <v>15.1</v>
      </c>
      <c r="L38" s="184">
        <v>0</v>
      </c>
      <c r="M38" s="184">
        <v>0</v>
      </c>
      <c r="N38" s="182">
        <v>111.52030000000001</v>
      </c>
      <c r="O38" s="181">
        <v>3337357</v>
      </c>
    </row>
    <row r="39" spans="2:15" ht="12.75" customHeight="1" x14ac:dyDescent="0.35">
      <c r="B39" s="171" t="s">
        <v>16</v>
      </c>
      <c r="C39" s="172">
        <v>2020</v>
      </c>
      <c r="D39" s="173">
        <v>25.78</v>
      </c>
      <c r="E39" s="173">
        <v>37.619999999999997</v>
      </c>
      <c r="F39" s="174">
        <v>2265</v>
      </c>
      <c r="G39" s="175">
        <v>6.7615999999999996</v>
      </c>
      <c r="H39" s="175">
        <v>7.1397000000000004</v>
      </c>
      <c r="I39" s="174">
        <v>18858</v>
      </c>
      <c r="J39" s="175">
        <v>9.8446999999999996</v>
      </c>
      <c r="K39" s="176">
        <v>19.100000000000001</v>
      </c>
      <c r="L39" s="177">
        <v>0</v>
      </c>
      <c r="M39" s="177">
        <v>1</v>
      </c>
      <c r="N39" s="175">
        <v>111.52030000000001</v>
      </c>
      <c r="O39" s="174">
        <v>3351543</v>
      </c>
    </row>
    <row r="40" spans="2:15" ht="12.75" customHeight="1" x14ac:dyDescent="0.35">
      <c r="B40" s="178" t="s">
        <v>16</v>
      </c>
      <c r="C40" s="179">
        <v>2021</v>
      </c>
      <c r="D40" s="180">
        <v>21.78</v>
      </c>
      <c r="E40" s="180">
        <v>76.87</v>
      </c>
      <c r="F40" s="181">
        <v>4852</v>
      </c>
      <c r="G40" s="182">
        <v>6.5971000000000002</v>
      </c>
      <c r="H40" s="182">
        <v>7.8582999999999998</v>
      </c>
      <c r="I40" s="181">
        <v>22662</v>
      </c>
      <c r="J40" s="182">
        <v>10.0284</v>
      </c>
      <c r="K40" s="183">
        <v>17.8</v>
      </c>
      <c r="L40" s="184">
        <v>0</v>
      </c>
      <c r="M40" s="184">
        <v>1</v>
      </c>
      <c r="N40" s="182">
        <v>111.52030000000001</v>
      </c>
      <c r="O40" s="181">
        <v>3365351</v>
      </c>
    </row>
    <row r="41" spans="2:15" ht="12.75" customHeight="1" x14ac:dyDescent="0.35">
      <c r="B41" s="171" t="s">
        <v>16</v>
      </c>
      <c r="C41" s="172">
        <v>2022</v>
      </c>
      <c r="D41" s="173">
        <v>26.47</v>
      </c>
      <c r="E41" s="173">
        <v>111.52</v>
      </c>
      <c r="F41" s="174">
        <v>8340</v>
      </c>
      <c r="G41" s="175">
        <v>6.7190000000000003</v>
      </c>
      <c r="H41" s="175">
        <v>8.1570999999999998</v>
      </c>
      <c r="I41" s="174">
        <v>24320</v>
      </c>
      <c r="J41" s="175">
        <v>10.0991</v>
      </c>
      <c r="K41" s="176">
        <v>11.2</v>
      </c>
      <c r="L41" s="177">
        <v>0</v>
      </c>
      <c r="M41" s="177">
        <v>0</v>
      </c>
      <c r="N41" s="175">
        <v>111.52030000000001</v>
      </c>
      <c r="O41" s="174">
        <v>3127683</v>
      </c>
    </row>
    <row r="42" spans="2:15" ht="12.75" customHeight="1" x14ac:dyDescent="0.35">
      <c r="B42" s="178" t="s">
        <v>16</v>
      </c>
      <c r="C42" s="179">
        <v>2023</v>
      </c>
      <c r="D42" s="180">
        <v>28.46</v>
      </c>
      <c r="E42" s="180">
        <v>0.13</v>
      </c>
      <c r="F42" s="181">
        <v>8344</v>
      </c>
      <c r="G42" s="182">
        <v>6.7911999999999999</v>
      </c>
      <c r="H42" s="182">
        <v>1.3863000000000001</v>
      </c>
      <c r="I42" s="181">
        <v>28676</v>
      </c>
      <c r="J42" s="182">
        <v>10.2638</v>
      </c>
      <c r="K42" s="183">
        <v>9.6</v>
      </c>
      <c r="L42" s="184">
        <v>1</v>
      </c>
      <c r="M42" s="184">
        <v>0</v>
      </c>
      <c r="N42" s="182">
        <v>111.52030000000001</v>
      </c>
      <c r="O42" s="181">
        <v>3127683</v>
      </c>
    </row>
    <row r="43" spans="2:15" ht="12.75" customHeight="1" x14ac:dyDescent="0.35">
      <c r="B43" s="171" t="s">
        <v>16</v>
      </c>
      <c r="C43" s="172">
        <v>2024</v>
      </c>
      <c r="D43" s="173">
        <v>27.61</v>
      </c>
      <c r="E43" s="173">
        <v>16.52</v>
      </c>
      <c r="F43" s="174">
        <v>8876</v>
      </c>
      <c r="G43" s="175">
        <v>6.7900999999999998</v>
      </c>
      <c r="H43" s="175">
        <v>6.2766000000000002</v>
      </c>
      <c r="I43" s="174">
        <v>30268</v>
      </c>
      <c r="J43" s="175">
        <v>10.3178</v>
      </c>
      <c r="K43" s="176">
        <v>8.6</v>
      </c>
      <c r="L43" s="177">
        <v>1</v>
      </c>
      <c r="M43" s="177">
        <v>0</v>
      </c>
      <c r="N43" s="175">
        <v>111.52030000000001</v>
      </c>
      <c r="O43" s="174">
        <v>3220104</v>
      </c>
    </row>
    <row r="44" spans="2:15" ht="12.75" customHeight="1" x14ac:dyDescent="0.35">
      <c r="B44" s="157" t="s">
        <v>17</v>
      </c>
      <c r="C44" s="158">
        <v>2005</v>
      </c>
      <c r="D44" s="159">
        <v>8.17</v>
      </c>
      <c r="E44" s="159">
        <v>0.34</v>
      </c>
      <c r="F44" s="160">
        <v>11</v>
      </c>
      <c r="G44" s="161">
        <v>5.5758999999999999</v>
      </c>
      <c r="H44" s="161">
        <v>2.3978999999999999</v>
      </c>
      <c r="I44" s="160">
        <v>10318</v>
      </c>
      <c r="J44" s="161">
        <v>9.2416</v>
      </c>
      <c r="K44" s="162">
        <v>12.83</v>
      </c>
      <c r="L44" s="163">
        <v>0</v>
      </c>
      <c r="M44" s="163">
        <v>0</v>
      </c>
      <c r="N44" s="161">
        <v>101.60809999999999</v>
      </c>
      <c r="O44" s="160">
        <v>3232330</v>
      </c>
    </row>
    <row r="45" spans="2:15" ht="12.75" customHeight="1" x14ac:dyDescent="0.35">
      <c r="B45" s="164" t="s">
        <v>17</v>
      </c>
      <c r="C45" s="165">
        <v>2006</v>
      </c>
      <c r="D45" s="166">
        <v>11.39</v>
      </c>
      <c r="E45" s="166">
        <v>0.18</v>
      </c>
      <c r="F45" s="167">
        <v>17</v>
      </c>
      <c r="G45" s="168">
        <v>5.9321999999999999</v>
      </c>
      <c r="H45" s="168">
        <v>1.7918000000000001</v>
      </c>
      <c r="I45" s="167">
        <v>11826</v>
      </c>
      <c r="J45" s="168">
        <v>9.3780999999999999</v>
      </c>
      <c r="K45" s="169">
        <v>9.43</v>
      </c>
      <c r="L45" s="170">
        <v>0</v>
      </c>
      <c r="M45" s="170">
        <v>0</v>
      </c>
      <c r="N45" s="168">
        <v>101.60809999999999</v>
      </c>
      <c r="O45" s="167">
        <v>3311026</v>
      </c>
    </row>
    <row r="46" spans="2:15" ht="12.75" customHeight="1" x14ac:dyDescent="0.35">
      <c r="B46" s="157" t="s">
        <v>17</v>
      </c>
      <c r="C46" s="158">
        <v>2007</v>
      </c>
      <c r="D46" s="159">
        <v>12.82</v>
      </c>
      <c r="E46" s="159">
        <v>0.43</v>
      </c>
      <c r="F46" s="160">
        <v>31</v>
      </c>
      <c r="G46" s="161">
        <v>6.0233999999999996</v>
      </c>
      <c r="H46" s="161">
        <v>2.6391</v>
      </c>
      <c r="I46" s="160">
        <v>13043</v>
      </c>
      <c r="J46" s="161">
        <v>9.4760000000000009</v>
      </c>
      <c r="K46" s="162">
        <v>12.24</v>
      </c>
      <c r="L46" s="163">
        <v>0</v>
      </c>
      <c r="M46" s="163">
        <v>0</v>
      </c>
      <c r="N46" s="161">
        <v>101.60809999999999</v>
      </c>
      <c r="O46" s="160">
        <v>3221940</v>
      </c>
    </row>
    <row r="47" spans="2:15" ht="12.75" customHeight="1" x14ac:dyDescent="0.35">
      <c r="B47" s="164" t="s">
        <v>17</v>
      </c>
      <c r="C47" s="165">
        <v>2008</v>
      </c>
      <c r="D47" s="166">
        <v>13.35</v>
      </c>
      <c r="E47" s="166">
        <v>0.27</v>
      </c>
      <c r="F47" s="167">
        <v>40</v>
      </c>
      <c r="G47" s="168">
        <v>6.1002999999999998</v>
      </c>
      <c r="H47" s="168">
        <v>2.1972</v>
      </c>
      <c r="I47" s="167">
        <v>14014</v>
      </c>
      <c r="J47" s="168">
        <v>9.5478000000000005</v>
      </c>
      <c r="K47" s="169">
        <v>10.01</v>
      </c>
      <c r="L47" s="170">
        <v>0</v>
      </c>
      <c r="M47" s="170">
        <v>0</v>
      </c>
      <c r="N47" s="168">
        <v>101.60809999999999</v>
      </c>
      <c r="O47" s="167">
        <v>3341094</v>
      </c>
    </row>
    <row r="48" spans="2:15" ht="12.75" customHeight="1" x14ac:dyDescent="0.35">
      <c r="B48" s="157" t="s">
        <v>17</v>
      </c>
      <c r="C48" s="158">
        <v>2009</v>
      </c>
      <c r="D48" s="159">
        <v>16.829999999999998</v>
      </c>
      <c r="E48" s="159">
        <v>0.74</v>
      </c>
      <c r="F48" s="160">
        <v>65</v>
      </c>
      <c r="G48" s="161">
        <v>6.3474000000000004</v>
      </c>
      <c r="H48" s="161">
        <v>3.2189000000000001</v>
      </c>
      <c r="I48" s="160">
        <v>14621</v>
      </c>
      <c r="J48" s="161">
        <v>9.5901999999999994</v>
      </c>
      <c r="K48" s="162">
        <v>12.44</v>
      </c>
      <c r="L48" s="163">
        <v>0</v>
      </c>
      <c r="M48" s="163">
        <v>0</v>
      </c>
      <c r="N48" s="161">
        <v>101.60809999999999</v>
      </c>
      <c r="O48" s="160">
        <v>3393369</v>
      </c>
    </row>
    <row r="49" spans="2:15" ht="12.75" customHeight="1" x14ac:dyDescent="0.35">
      <c r="B49" s="164" t="s">
        <v>17</v>
      </c>
      <c r="C49" s="165">
        <v>2010</v>
      </c>
      <c r="D49" s="166">
        <v>18.170000000000002</v>
      </c>
      <c r="E49" s="166">
        <v>0.46</v>
      </c>
      <c r="F49" s="167">
        <v>81</v>
      </c>
      <c r="G49" s="168">
        <v>6.4504999999999999</v>
      </c>
      <c r="H49" s="168">
        <v>2.7726000000000002</v>
      </c>
      <c r="I49" s="167">
        <v>17473</v>
      </c>
      <c r="J49" s="168">
        <v>9.7683999999999997</v>
      </c>
      <c r="K49" s="169">
        <v>10.86</v>
      </c>
      <c r="L49" s="170">
        <v>0</v>
      </c>
      <c r="M49" s="170">
        <v>0</v>
      </c>
      <c r="N49" s="168">
        <v>101.60809999999999</v>
      </c>
      <c r="O49" s="167">
        <v>3483985</v>
      </c>
    </row>
    <row r="50" spans="2:15" ht="12.75" customHeight="1" x14ac:dyDescent="0.35">
      <c r="B50" s="157" t="s">
        <v>17</v>
      </c>
      <c r="C50" s="158">
        <v>2011</v>
      </c>
      <c r="D50" s="159">
        <v>24.84</v>
      </c>
      <c r="E50" s="159">
        <v>0.54</v>
      </c>
      <c r="F50" s="160">
        <v>100</v>
      </c>
      <c r="G50" s="161">
        <v>6.7788000000000004</v>
      </c>
      <c r="H50" s="161">
        <v>2.9443999999999999</v>
      </c>
      <c r="I50" s="160">
        <v>19991</v>
      </c>
      <c r="J50" s="161">
        <v>9.9030000000000005</v>
      </c>
      <c r="K50" s="162">
        <v>9.2799999999999994</v>
      </c>
      <c r="L50" s="163">
        <v>0</v>
      </c>
      <c r="M50" s="163">
        <v>0</v>
      </c>
      <c r="N50" s="161">
        <v>101.60809999999999</v>
      </c>
      <c r="O50" s="160">
        <v>3538387</v>
      </c>
    </row>
    <row r="51" spans="2:15" ht="12.75" customHeight="1" x14ac:dyDescent="0.35">
      <c r="B51" s="164" t="s">
        <v>17</v>
      </c>
      <c r="C51" s="165">
        <v>2012</v>
      </c>
      <c r="D51" s="166">
        <v>23.75</v>
      </c>
      <c r="E51" s="166">
        <v>0.86</v>
      </c>
      <c r="F51" s="167">
        <v>131</v>
      </c>
      <c r="G51" s="168">
        <v>6.7488000000000001</v>
      </c>
      <c r="H51" s="168">
        <v>3.4340000000000002</v>
      </c>
      <c r="I51" s="167">
        <v>20118</v>
      </c>
      <c r="J51" s="168">
        <v>9.9093999999999998</v>
      </c>
      <c r="K51" s="169">
        <v>9</v>
      </c>
      <c r="L51" s="170">
        <v>0</v>
      </c>
      <c r="M51" s="170">
        <v>0</v>
      </c>
      <c r="N51" s="168">
        <v>101.60809999999999</v>
      </c>
      <c r="O51" s="167">
        <v>3590985</v>
      </c>
    </row>
    <row r="52" spans="2:15" ht="12.75" customHeight="1" x14ac:dyDescent="0.35">
      <c r="B52" s="157" t="s">
        <v>17</v>
      </c>
      <c r="C52" s="158">
        <v>2013</v>
      </c>
      <c r="D52" s="159">
        <v>18.170000000000002</v>
      </c>
      <c r="E52" s="159">
        <v>0.42</v>
      </c>
      <c r="F52" s="160">
        <v>147</v>
      </c>
      <c r="G52" s="161">
        <v>6.5396000000000001</v>
      </c>
      <c r="H52" s="161">
        <v>2.7726000000000002</v>
      </c>
      <c r="I52" s="160">
        <v>21810</v>
      </c>
      <c r="J52" s="161">
        <v>9.9901</v>
      </c>
      <c r="K52" s="162">
        <v>10.19</v>
      </c>
      <c r="L52" s="163">
        <v>0</v>
      </c>
      <c r="M52" s="163">
        <v>0</v>
      </c>
      <c r="N52" s="161">
        <v>101.60809999999999</v>
      </c>
      <c r="O52" s="160">
        <v>3807921</v>
      </c>
    </row>
    <row r="53" spans="2:15" ht="12.75" customHeight="1" x14ac:dyDescent="0.35">
      <c r="B53" s="164" t="s">
        <v>17</v>
      </c>
      <c r="C53" s="165">
        <v>2014</v>
      </c>
      <c r="D53" s="166">
        <v>19.59</v>
      </c>
      <c r="E53" s="166">
        <v>0.13</v>
      </c>
      <c r="F53" s="167">
        <v>152</v>
      </c>
      <c r="G53" s="168">
        <v>6.6319999999999997</v>
      </c>
      <c r="H53" s="168">
        <v>1.6093999999999999</v>
      </c>
      <c r="I53" s="167">
        <v>22373</v>
      </c>
      <c r="J53" s="168">
        <v>10.015599999999999</v>
      </c>
      <c r="K53" s="169">
        <v>10.84</v>
      </c>
      <c r="L53" s="170">
        <v>0</v>
      </c>
      <c r="M53" s="170">
        <v>0</v>
      </c>
      <c r="N53" s="168">
        <v>101.60809999999999</v>
      </c>
      <c r="O53" s="167">
        <v>3873743</v>
      </c>
    </row>
    <row r="54" spans="2:15" ht="12.75" customHeight="1" x14ac:dyDescent="0.35">
      <c r="B54" s="157" t="s">
        <v>17</v>
      </c>
      <c r="C54" s="158">
        <v>2015</v>
      </c>
      <c r="D54" s="159">
        <v>23.54</v>
      </c>
      <c r="E54" s="159">
        <v>0.41</v>
      </c>
      <c r="F54" s="160">
        <v>168</v>
      </c>
      <c r="G54" s="161">
        <v>6.8319999999999999</v>
      </c>
      <c r="H54" s="161">
        <v>2.7726000000000002</v>
      </c>
      <c r="I54" s="160">
        <v>21981</v>
      </c>
      <c r="J54" s="161">
        <v>9.9978999999999996</v>
      </c>
      <c r="K54" s="162">
        <v>9.6999999999999993</v>
      </c>
      <c r="L54" s="163">
        <v>0</v>
      </c>
      <c r="M54" s="163">
        <v>0</v>
      </c>
      <c r="N54" s="161">
        <v>101.60809999999999</v>
      </c>
      <c r="O54" s="160">
        <v>3938336</v>
      </c>
    </row>
    <row r="55" spans="2:15" ht="12.75" customHeight="1" x14ac:dyDescent="0.35">
      <c r="B55" s="171" t="s">
        <v>17</v>
      </c>
      <c r="C55" s="172">
        <v>2016</v>
      </c>
      <c r="D55" s="173">
        <v>19.79</v>
      </c>
      <c r="E55" s="173">
        <v>0.5</v>
      </c>
      <c r="F55" s="174">
        <v>188</v>
      </c>
      <c r="G55" s="175">
        <v>6.6745999999999999</v>
      </c>
      <c r="H55" s="175">
        <v>2.9956999999999998</v>
      </c>
      <c r="I55" s="174">
        <v>22251</v>
      </c>
      <c r="J55" s="175">
        <v>10.0101</v>
      </c>
      <c r="K55" s="176">
        <v>13.8</v>
      </c>
      <c r="L55" s="177">
        <v>0</v>
      </c>
      <c r="M55" s="177">
        <v>0</v>
      </c>
      <c r="N55" s="175">
        <v>101.60809999999999</v>
      </c>
      <c r="O55" s="174">
        <v>4001667</v>
      </c>
    </row>
    <row r="56" spans="2:15" ht="12.75" customHeight="1" x14ac:dyDescent="0.35">
      <c r="B56" s="178" t="s">
        <v>17</v>
      </c>
      <c r="C56" s="179">
        <v>2017</v>
      </c>
      <c r="D56" s="180">
        <v>23.85</v>
      </c>
      <c r="E56" s="180">
        <v>2.17</v>
      </c>
      <c r="F56" s="181">
        <v>276</v>
      </c>
      <c r="G56" s="182">
        <v>6.8762999999999996</v>
      </c>
      <c r="H56" s="182">
        <v>4.4772999999999996</v>
      </c>
      <c r="I56" s="181">
        <v>22945</v>
      </c>
      <c r="J56" s="182">
        <v>10.040900000000001</v>
      </c>
      <c r="K56" s="183">
        <v>15.9</v>
      </c>
      <c r="L56" s="184">
        <v>0</v>
      </c>
      <c r="M56" s="184">
        <v>0</v>
      </c>
      <c r="N56" s="182">
        <v>101.60809999999999</v>
      </c>
      <c r="O56" s="181">
        <v>4063614</v>
      </c>
    </row>
    <row r="57" spans="2:15" ht="12.75" customHeight="1" x14ac:dyDescent="0.35">
      <c r="B57" s="171" t="s">
        <v>17</v>
      </c>
      <c r="C57" s="172">
        <v>2018</v>
      </c>
      <c r="D57" s="173">
        <v>23.43</v>
      </c>
      <c r="E57" s="173">
        <v>4.71</v>
      </c>
      <c r="F57" s="174">
        <v>468</v>
      </c>
      <c r="G57" s="175">
        <v>6.8628</v>
      </c>
      <c r="H57" s="175">
        <v>5.2575000000000003</v>
      </c>
      <c r="I57" s="174">
        <v>24533</v>
      </c>
      <c r="J57" s="175">
        <v>10.107799999999999</v>
      </c>
      <c r="K57" s="176">
        <v>14</v>
      </c>
      <c r="L57" s="177">
        <v>0</v>
      </c>
      <c r="M57" s="177">
        <v>0</v>
      </c>
      <c r="N57" s="175">
        <v>101.60809999999999</v>
      </c>
      <c r="O57" s="174">
        <v>4080611</v>
      </c>
    </row>
    <row r="58" spans="2:15" ht="12.75" customHeight="1" x14ac:dyDescent="0.35">
      <c r="B58" s="178" t="s">
        <v>17</v>
      </c>
      <c r="C58" s="179">
        <v>2019</v>
      </c>
      <c r="D58" s="180">
        <v>23.65</v>
      </c>
      <c r="E58" s="180">
        <v>9.58</v>
      </c>
      <c r="F58" s="181">
        <v>865</v>
      </c>
      <c r="G58" s="182">
        <v>6.8875999999999999</v>
      </c>
      <c r="H58" s="182">
        <v>5.9839000000000002</v>
      </c>
      <c r="I58" s="181">
        <v>26102</v>
      </c>
      <c r="J58" s="182">
        <v>10.1698</v>
      </c>
      <c r="K58" s="183">
        <v>14.2</v>
      </c>
      <c r="L58" s="184">
        <v>0</v>
      </c>
      <c r="M58" s="184">
        <v>0</v>
      </c>
      <c r="N58" s="182">
        <v>101.60809999999999</v>
      </c>
      <c r="O58" s="181">
        <v>4144597</v>
      </c>
    </row>
    <row r="59" spans="2:15" ht="12.75" customHeight="1" x14ac:dyDescent="0.35">
      <c r="B59" s="171" t="s">
        <v>17</v>
      </c>
      <c r="C59" s="172">
        <v>2020</v>
      </c>
      <c r="D59" s="173">
        <v>18.579999999999998</v>
      </c>
      <c r="E59" s="173">
        <v>25.36</v>
      </c>
      <c r="F59" s="174">
        <v>1932</v>
      </c>
      <c r="G59" s="175">
        <v>6.6619000000000002</v>
      </c>
      <c r="H59" s="175">
        <v>6.9725999999999999</v>
      </c>
      <c r="I59" s="174">
        <v>27573</v>
      </c>
      <c r="J59" s="175">
        <v>10.224600000000001</v>
      </c>
      <c r="K59" s="176">
        <v>16</v>
      </c>
      <c r="L59" s="177">
        <v>0</v>
      </c>
      <c r="M59" s="177">
        <v>1</v>
      </c>
      <c r="N59" s="175">
        <v>101.60809999999999</v>
      </c>
      <c r="O59" s="174">
        <v>4207714</v>
      </c>
    </row>
    <row r="60" spans="2:15" ht="12.75" customHeight="1" x14ac:dyDescent="0.35">
      <c r="B60" s="178" t="s">
        <v>17</v>
      </c>
      <c r="C60" s="179">
        <v>2021</v>
      </c>
      <c r="D60" s="180">
        <v>29.93</v>
      </c>
      <c r="E60" s="180">
        <v>50.16</v>
      </c>
      <c r="F60" s="181">
        <v>4074</v>
      </c>
      <c r="G60" s="182">
        <v>7.1531000000000002</v>
      </c>
      <c r="H60" s="182">
        <v>7.6695000000000002</v>
      </c>
      <c r="I60" s="181">
        <v>30804</v>
      </c>
      <c r="J60" s="182">
        <v>10.3354</v>
      </c>
      <c r="K60" s="183">
        <v>15</v>
      </c>
      <c r="L60" s="184">
        <v>0</v>
      </c>
      <c r="M60" s="184">
        <v>1</v>
      </c>
      <c r="N60" s="182">
        <v>101.60809999999999</v>
      </c>
      <c r="O60" s="181">
        <v>4269995</v>
      </c>
    </row>
    <row r="61" spans="2:15" ht="12.75" customHeight="1" x14ac:dyDescent="0.35">
      <c r="B61" s="171" t="s">
        <v>17</v>
      </c>
      <c r="C61" s="172">
        <v>2022</v>
      </c>
      <c r="D61" s="173">
        <v>30.32</v>
      </c>
      <c r="E61" s="173">
        <v>101.61</v>
      </c>
      <c r="F61" s="174">
        <v>8079</v>
      </c>
      <c r="G61" s="175">
        <v>7.0858999999999996</v>
      </c>
      <c r="H61" s="175">
        <v>8.2952999999999992</v>
      </c>
      <c r="I61" s="174">
        <v>36823</v>
      </c>
      <c r="J61" s="175">
        <v>10.5139</v>
      </c>
      <c r="K61" s="176">
        <v>10.8</v>
      </c>
      <c r="L61" s="177">
        <v>0</v>
      </c>
      <c r="M61" s="177">
        <v>0</v>
      </c>
      <c r="N61" s="175">
        <v>101.60809999999999</v>
      </c>
      <c r="O61" s="174">
        <v>3941613</v>
      </c>
    </row>
    <row r="62" spans="2:15" ht="12.75" customHeight="1" x14ac:dyDescent="0.35">
      <c r="B62" s="178" t="s">
        <v>17</v>
      </c>
      <c r="C62" s="179">
        <v>2023</v>
      </c>
      <c r="D62" s="180">
        <v>26.69</v>
      </c>
      <c r="E62" s="180">
        <v>0.41</v>
      </c>
      <c r="F62" s="181">
        <v>8095</v>
      </c>
      <c r="G62" s="182">
        <v>6.9584000000000001</v>
      </c>
      <c r="H62" s="182">
        <v>2.7726000000000002</v>
      </c>
      <c r="I62" s="181">
        <v>41048</v>
      </c>
      <c r="J62" s="182">
        <v>10.6225</v>
      </c>
      <c r="K62" s="183">
        <v>9.6999999999999993</v>
      </c>
      <c r="L62" s="184">
        <v>1</v>
      </c>
      <c r="M62" s="184">
        <v>0</v>
      </c>
      <c r="N62" s="182">
        <v>101.60809999999999</v>
      </c>
      <c r="O62" s="181">
        <v>3941613</v>
      </c>
    </row>
    <row r="63" spans="2:15" ht="12.75" customHeight="1" x14ac:dyDescent="0.35">
      <c r="B63" s="171" t="s">
        <v>17</v>
      </c>
      <c r="C63" s="172">
        <v>2024</v>
      </c>
      <c r="D63" s="173">
        <v>17.71</v>
      </c>
      <c r="E63" s="173">
        <v>2.85</v>
      </c>
      <c r="F63" s="174">
        <v>8217</v>
      </c>
      <c r="G63" s="175">
        <v>6.6307</v>
      </c>
      <c r="H63" s="175">
        <v>4.8040000000000003</v>
      </c>
      <c r="I63" s="174">
        <v>41557</v>
      </c>
      <c r="J63" s="175">
        <v>10.6348</v>
      </c>
      <c r="K63" s="176">
        <v>8.8000000000000007</v>
      </c>
      <c r="L63" s="177">
        <v>1</v>
      </c>
      <c r="M63" s="177">
        <v>0</v>
      </c>
      <c r="N63" s="175">
        <v>101.60809999999999</v>
      </c>
      <c r="O63" s="174">
        <v>4281209</v>
      </c>
    </row>
    <row r="64" spans="2:15" ht="12.75" customHeight="1" x14ac:dyDescent="0.35">
      <c r="B64" s="157" t="s">
        <v>18</v>
      </c>
      <c r="C64" s="158">
        <v>2005</v>
      </c>
      <c r="D64" s="159">
        <v>9.08</v>
      </c>
      <c r="E64" s="159">
        <v>0</v>
      </c>
      <c r="F64" s="160">
        <v>0</v>
      </c>
      <c r="G64" s="161">
        <v>3.9889999999999999</v>
      </c>
      <c r="H64" s="161"/>
      <c r="I64" s="160">
        <v>7335</v>
      </c>
      <c r="J64" s="161">
        <v>8.9003999999999994</v>
      </c>
      <c r="K64" s="162">
        <v>11.96</v>
      </c>
      <c r="L64" s="163">
        <v>0</v>
      </c>
      <c r="M64" s="163">
        <v>0</v>
      </c>
      <c r="N64" s="161">
        <v>75.092799999999997</v>
      </c>
      <c r="O64" s="160">
        <v>594587</v>
      </c>
    </row>
    <row r="65" spans="2:15" ht="12.75" customHeight="1" x14ac:dyDescent="0.35">
      <c r="B65" s="164" t="s">
        <v>18</v>
      </c>
      <c r="C65" s="165">
        <v>2006</v>
      </c>
      <c r="D65" s="166">
        <v>12.02</v>
      </c>
      <c r="E65" s="166">
        <v>0</v>
      </c>
      <c r="F65" s="167">
        <v>0</v>
      </c>
      <c r="G65" s="168">
        <v>4.3041</v>
      </c>
      <c r="H65" s="168"/>
      <c r="I65" s="167">
        <v>8543</v>
      </c>
      <c r="J65" s="168">
        <v>9.0528999999999993</v>
      </c>
      <c r="K65" s="169">
        <v>6.67</v>
      </c>
      <c r="L65" s="170">
        <v>0</v>
      </c>
      <c r="M65" s="170">
        <v>0</v>
      </c>
      <c r="N65" s="168">
        <v>75.092799999999997</v>
      </c>
      <c r="O65" s="167">
        <v>615715</v>
      </c>
    </row>
    <row r="66" spans="2:15" ht="12.75" customHeight="1" x14ac:dyDescent="0.35">
      <c r="B66" s="157" t="s">
        <v>18</v>
      </c>
      <c r="C66" s="158">
        <v>2007</v>
      </c>
      <c r="D66" s="159">
        <v>10.050000000000001</v>
      </c>
      <c r="E66" s="159">
        <v>0</v>
      </c>
      <c r="F66" s="160">
        <v>0</v>
      </c>
      <c r="G66" s="161">
        <v>4.0774999999999997</v>
      </c>
      <c r="H66" s="161"/>
      <c r="I66" s="160">
        <v>10254</v>
      </c>
      <c r="J66" s="161">
        <v>9.2354000000000003</v>
      </c>
      <c r="K66" s="162">
        <v>16.329999999999998</v>
      </c>
      <c r="L66" s="163">
        <v>0</v>
      </c>
      <c r="M66" s="163">
        <v>0</v>
      </c>
      <c r="N66" s="161">
        <v>75.092799999999997</v>
      </c>
      <c r="O66" s="160">
        <v>587311</v>
      </c>
    </row>
    <row r="67" spans="2:15" ht="12.75" customHeight="1" x14ac:dyDescent="0.35">
      <c r="B67" s="164" t="s">
        <v>18</v>
      </c>
      <c r="C67" s="165">
        <v>2008</v>
      </c>
      <c r="D67" s="166">
        <v>10.76</v>
      </c>
      <c r="E67" s="166">
        <v>0</v>
      </c>
      <c r="F67" s="167">
        <v>0</v>
      </c>
      <c r="G67" s="168">
        <v>4.1897000000000002</v>
      </c>
      <c r="H67" s="168"/>
      <c r="I67" s="167">
        <v>11033</v>
      </c>
      <c r="J67" s="168">
        <v>9.3086000000000002</v>
      </c>
      <c r="K67" s="169">
        <v>15.19</v>
      </c>
      <c r="L67" s="170">
        <v>0</v>
      </c>
      <c r="M67" s="170">
        <v>0</v>
      </c>
      <c r="N67" s="168">
        <v>75.092799999999997</v>
      </c>
      <c r="O67" s="167">
        <v>613166</v>
      </c>
    </row>
    <row r="68" spans="2:15" ht="12.75" customHeight="1" x14ac:dyDescent="0.35">
      <c r="B68" s="157" t="s">
        <v>18</v>
      </c>
      <c r="C68" s="158">
        <v>2009</v>
      </c>
      <c r="D68" s="159">
        <v>11.01</v>
      </c>
      <c r="E68" s="159">
        <v>0</v>
      </c>
      <c r="F68" s="160">
        <v>0</v>
      </c>
      <c r="G68" s="161">
        <v>4.2340999999999998</v>
      </c>
      <c r="H68" s="161"/>
      <c r="I68" s="160">
        <v>11816</v>
      </c>
      <c r="J68" s="161">
        <v>9.3772000000000002</v>
      </c>
      <c r="K68" s="162">
        <v>13.76</v>
      </c>
      <c r="L68" s="163">
        <v>0</v>
      </c>
      <c r="M68" s="163">
        <v>0</v>
      </c>
      <c r="N68" s="161">
        <v>75.092799999999997</v>
      </c>
      <c r="O68" s="160">
        <v>626609</v>
      </c>
    </row>
    <row r="69" spans="2:15" ht="12.75" customHeight="1" x14ac:dyDescent="0.35">
      <c r="B69" s="164" t="s">
        <v>18</v>
      </c>
      <c r="C69" s="165">
        <v>2010</v>
      </c>
      <c r="D69" s="166">
        <v>15.38</v>
      </c>
      <c r="E69" s="166">
        <v>0</v>
      </c>
      <c r="F69" s="167">
        <v>0</v>
      </c>
      <c r="G69" s="168">
        <v>4.6346999999999996</v>
      </c>
      <c r="H69" s="168"/>
      <c r="I69" s="167">
        <v>12304</v>
      </c>
      <c r="J69" s="168">
        <v>9.4177</v>
      </c>
      <c r="K69" s="169">
        <v>13.98</v>
      </c>
      <c r="L69" s="170">
        <v>0</v>
      </c>
      <c r="M69" s="170">
        <v>0</v>
      </c>
      <c r="N69" s="168">
        <v>75.092799999999997</v>
      </c>
      <c r="O69" s="167">
        <v>669526</v>
      </c>
    </row>
    <row r="70" spans="2:15" ht="12.75" customHeight="1" x14ac:dyDescent="0.35">
      <c r="B70" s="157" t="s">
        <v>18</v>
      </c>
      <c r="C70" s="158">
        <v>2011</v>
      </c>
      <c r="D70" s="159">
        <v>11.4</v>
      </c>
      <c r="E70" s="159">
        <v>0.15</v>
      </c>
      <c r="F70" s="160">
        <v>1</v>
      </c>
      <c r="G70" s="161">
        <v>4.3567</v>
      </c>
      <c r="H70" s="161">
        <v>0</v>
      </c>
      <c r="I70" s="160">
        <v>13750</v>
      </c>
      <c r="J70" s="161">
        <v>9.5288000000000004</v>
      </c>
      <c r="K70" s="162">
        <v>14.21</v>
      </c>
      <c r="L70" s="163">
        <v>0</v>
      </c>
      <c r="M70" s="163">
        <v>0</v>
      </c>
      <c r="N70" s="161">
        <v>75.092799999999997</v>
      </c>
      <c r="O70" s="160">
        <v>684309</v>
      </c>
    </row>
    <row r="71" spans="2:15" ht="12.75" customHeight="1" x14ac:dyDescent="0.35">
      <c r="B71" s="164" t="s">
        <v>18</v>
      </c>
      <c r="C71" s="165">
        <v>2012</v>
      </c>
      <c r="D71" s="166">
        <v>16.600000000000001</v>
      </c>
      <c r="E71" s="166">
        <v>0.14000000000000001</v>
      </c>
      <c r="F71" s="167">
        <v>2</v>
      </c>
      <c r="G71" s="168">
        <v>4.7535999999999996</v>
      </c>
      <c r="H71" s="168">
        <v>0</v>
      </c>
      <c r="I71" s="167">
        <v>15933</v>
      </c>
      <c r="J71" s="168">
        <v>9.6760999999999999</v>
      </c>
      <c r="K71" s="169">
        <v>10.91</v>
      </c>
      <c r="L71" s="170">
        <v>0</v>
      </c>
      <c r="M71" s="170">
        <v>0</v>
      </c>
      <c r="N71" s="168">
        <v>75.092799999999997</v>
      </c>
      <c r="O71" s="167">
        <v>698602</v>
      </c>
    </row>
    <row r="72" spans="2:15" ht="12.75" customHeight="1" x14ac:dyDescent="0.35">
      <c r="B72" s="157" t="s">
        <v>18</v>
      </c>
      <c r="C72" s="158">
        <v>2013</v>
      </c>
      <c r="D72" s="159">
        <v>13.47</v>
      </c>
      <c r="E72" s="159">
        <v>0.14000000000000001</v>
      </c>
      <c r="F72" s="160">
        <v>3</v>
      </c>
      <c r="G72" s="161">
        <v>4.5951000000000004</v>
      </c>
      <c r="H72" s="161">
        <v>0</v>
      </c>
      <c r="I72" s="160">
        <v>17365</v>
      </c>
      <c r="J72" s="161">
        <v>9.7622</v>
      </c>
      <c r="K72" s="162">
        <v>13.1</v>
      </c>
      <c r="L72" s="163">
        <v>0</v>
      </c>
      <c r="M72" s="163">
        <v>0</v>
      </c>
      <c r="N72" s="161">
        <v>75.092799999999997</v>
      </c>
      <c r="O72" s="160">
        <v>734996</v>
      </c>
    </row>
    <row r="73" spans="2:15" ht="12.75" customHeight="1" x14ac:dyDescent="0.35">
      <c r="B73" s="164" t="s">
        <v>18</v>
      </c>
      <c r="C73" s="165">
        <v>2014</v>
      </c>
      <c r="D73" s="166">
        <v>19.71</v>
      </c>
      <c r="E73" s="166">
        <v>0</v>
      </c>
      <c r="F73" s="167">
        <v>3</v>
      </c>
      <c r="G73" s="168">
        <v>4.9972000000000003</v>
      </c>
      <c r="H73" s="168"/>
      <c r="I73" s="167">
        <v>17845</v>
      </c>
      <c r="J73" s="168">
        <v>9.7895000000000003</v>
      </c>
      <c r="K73" s="169">
        <v>10.33</v>
      </c>
      <c r="L73" s="170">
        <v>0</v>
      </c>
      <c r="M73" s="170">
        <v>0</v>
      </c>
      <c r="N73" s="168">
        <v>75.092799999999997</v>
      </c>
      <c r="O73" s="167">
        <v>750912</v>
      </c>
    </row>
    <row r="74" spans="2:15" ht="12.75" customHeight="1" x14ac:dyDescent="0.35">
      <c r="B74" s="157" t="s">
        <v>18</v>
      </c>
      <c r="C74" s="158">
        <v>2015</v>
      </c>
      <c r="D74" s="159">
        <v>19.829999999999998</v>
      </c>
      <c r="E74" s="159">
        <v>0.13</v>
      </c>
      <c r="F74" s="160">
        <v>4</v>
      </c>
      <c r="G74" s="161">
        <v>5.0239000000000003</v>
      </c>
      <c r="H74" s="161">
        <v>0</v>
      </c>
      <c r="I74" s="160">
        <v>18080</v>
      </c>
      <c r="J74" s="161">
        <v>9.8026</v>
      </c>
      <c r="K74" s="162">
        <v>11.2</v>
      </c>
      <c r="L74" s="163">
        <v>0</v>
      </c>
      <c r="M74" s="163">
        <v>0</v>
      </c>
      <c r="N74" s="161">
        <v>75.092799999999997</v>
      </c>
      <c r="O74" s="160">
        <v>766679</v>
      </c>
    </row>
    <row r="75" spans="2:15" ht="12.75" customHeight="1" x14ac:dyDescent="0.35">
      <c r="B75" s="171" t="s">
        <v>18</v>
      </c>
      <c r="C75" s="172">
        <v>2016</v>
      </c>
      <c r="D75" s="173">
        <v>27.61</v>
      </c>
      <c r="E75" s="173">
        <v>0</v>
      </c>
      <c r="F75" s="174">
        <v>4</v>
      </c>
      <c r="G75" s="175">
        <v>5.3753000000000002</v>
      </c>
      <c r="H75" s="175"/>
      <c r="I75" s="174">
        <v>18333</v>
      </c>
      <c r="J75" s="175">
        <v>9.8164999999999996</v>
      </c>
      <c r="K75" s="176">
        <v>15.8</v>
      </c>
      <c r="L75" s="177">
        <v>0</v>
      </c>
      <c r="M75" s="177">
        <v>0</v>
      </c>
      <c r="N75" s="175">
        <v>75.092799999999997</v>
      </c>
      <c r="O75" s="174">
        <v>782295</v>
      </c>
    </row>
    <row r="76" spans="2:15" ht="12.75" customHeight="1" x14ac:dyDescent="0.35">
      <c r="B76" s="178" t="s">
        <v>18</v>
      </c>
      <c r="C76" s="179">
        <v>2017</v>
      </c>
      <c r="D76" s="180">
        <v>22.31</v>
      </c>
      <c r="E76" s="180">
        <v>2.76</v>
      </c>
      <c r="F76" s="181">
        <v>26</v>
      </c>
      <c r="G76" s="182">
        <v>5.1818</v>
      </c>
      <c r="H76" s="182">
        <v>3.0910000000000002</v>
      </c>
      <c r="I76" s="181">
        <v>19408</v>
      </c>
      <c r="J76" s="182">
        <v>9.8734000000000002</v>
      </c>
      <c r="K76" s="183">
        <v>18.100000000000001</v>
      </c>
      <c r="L76" s="184">
        <v>0</v>
      </c>
      <c r="M76" s="184">
        <v>0</v>
      </c>
      <c r="N76" s="182">
        <v>75.092799999999997</v>
      </c>
      <c r="O76" s="181">
        <v>797722</v>
      </c>
    </row>
    <row r="77" spans="2:15" ht="12.75" customHeight="1" x14ac:dyDescent="0.35">
      <c r="B77" s="171" t="s">
        <v>18</v>
      </c>
      <c r="C77" s="172">
        <v>2018</v>
      </c>
      <c r="D77" s="173">
        <v>28.81</v>
      </c>
      <c r="E77" s="173">
        <v>2.5299999999999998</v>
      </c>
      <c r="F77" s="174">
        <v>47</v>
      </c>
      <c r="G77" s="175">
        <v>5.4764999999999997</v>
      </c>
      <c r="H77" s="175">
        <v>3.0445000000000002</v>
      </c>
      <c r="I77" s="174">
        <v>20248</v>
      </c>
      <c r="J77" s="175">
        <v>9.9158000000000008</v>
      </c>
      <c r="K77" s="176">
        <v>20.399999999999999</v>
      </c>
      <c r="L77" s="177">
        <v>0</v>
      </c>
      <c r="M77" s="177">
        <v>0</v>
      </c>
      <c r="N77" s="175">
        <v>75.092799999999997</v>
      </c>
      <c r="O77" s="174">
        <v>829494</v>
      </c>
    </row>
    <row r="78" spans="2:15" ht="12.75" customHeight="1" x14ac:dyDescent="0.35">
      <c r="B78" s="178" t="s">
        <v>18</v>
      </c>
      <c r="C78" s="179">
        <v>2019</v>
      </c>
      <c r="D78" s="180">
        <v>27.43</v>
      </c>
      <c r="E78" s="180">
        <v>13.12</v>
      </c>
      <c r="F78" s="181">
        <v>158</v>
      </c>
      <c r="G78" s="182">
        <v>5.4466999999999999</v>
      </c>
      <c r="H78" s="182">
        <v>4.7095000000000002</v>
      </c>
      <c r="I78" s="181">
        <v>20688</v>
      </c>
      <c r="J78" s="182">
        <v>9.9373000000000005</v>
      </c>
      <c r="K78" s="183">
        <v>17.600000000000001</v>
      </c>
      <c r="L78" s="184">
        <v>0</v>
      </c>
      <c r="M78" s="184">
        <v>0</v>
      </c>
      <c r="N78" s="182">
        <v>75.092799999999997</v>
      </c>
      <c r="O78" s="181">
        <v>845731</v>
      </c>
    </row>
    <row r="79" spans="2:15" ht="12.75" customHeight="1" x14ac:dyDescent="0.35">
      <c r="B79" s="171" t="s">
        <v>18</v>
      </c>
      <c r="C79" s="172">
        <v>2020</v>
      </c>
      <c r="D79" s="173">
        <v>25.76</v>
      </c>
      <c r="E79" s="173">
        <v>26.23</v>
      </c>
      <c r="F79" s="174">
        <v>384</v>
      </c>
      <c r="G79" s="175">
        <v>5.4027000000000003</v>
      </c>
      <c r="H79" s="175">
        <v>5.4204999999999997</v>
      </c>
      <c r="I79" s="174">
        <v>21432</v>
      </c>
      <c r="J79" s="175">
        <v>9.9725999999999999</v>
      </c>
      <c r="K79" s="176">
        <v>15</v>
      </c>
      <c r="L79" s="177">
        <v>0</v>
      </c>
      <c r="M79" s="177">
        <v>1</v>
      </c>
      <c r="N79" s="175">
        <v>75.092799999999997</v>
      </c>
      <c r="O79" s="174">
        <v>861773</v>
      </c>
    </row>
    <row r="80" spans="2:15" ht="12.75" customHeight="1" x14ac:dyDescent="0.35">
      <c r="B80" s="178" t="s">
        <v>18</v>
      </c>
      <c r="C80" s="179">
        <v>2021</v>
      </c>
      <c r="D80" s="180">
        <v>35.44</v>
      </c>
      <c r="E80" s="180">
        <v>40.450000000000003</v>
      </c>
      <c r="F80" s="181">
        <v>739</v>
      </c>
      <c r="G80" s="182">
        <v>5.7397999999999998</v>
      </c>
      <c r="H80" s="182">
        <v>5.8720999999999997</v>
      </c>
      <c r="I80" s="181">
        <v>22903</v>
      </c>
      <c r="J80" s="182">
        <v>10.039</v>
      </c>
      <c r="K80" s="183">
        <v>16.600000000000001</v>
      </c>
      <c r="L80" s="184">
        <v>0</v>
      </c>
      <c r="M80" s="184">
        <v>1</v>
      </c>
      <c r="N80" s="182">
        <v>75.092799999999997</v>
      </c>
      <c r="O80" s="181">
        <v>877613</v>
      </c>
    </row>
    <row r="81" spans="2:15" ht="12.75" customHeight="1" x14ac:dyDescent="0.35">
      <c r="B81" s="171" t="s">
        <v>18</v>
      </c>
      <c r="C81" s="172">
        <v>2022</v>
      </c>
      <c r="D81" s="173">
        <v>32.03</v>
      </c>
      <c r="E81" s="173">
        <v>75.09</v>
      </c>
      <c r="F81" s="174">
        <v>1290</v>
      </c>
      <c r="G81" s="175">
        <v>5.4596</v>
      </c>
      <c r="H81" s="175">
        <v>6.3117000000000001</v>
      </c>
      <c r="I81" s="174">
        <v>32183</v>
      </c>
      <c r="J81" s="175">
        <v>10.379200000000001</v>
      </c>
      <c r="K81" s="176">
        <v>12.5</v>
      </c>
      <c r="L81" s="177">
        <v>0</v>
      </c>
      <c r="M81" s="177">
        <v>0</v>
      </c>
      <c r="N81" s="175">
        <v>75.092799999999997</v>
      </c>
      <c r="O81" s="174">
        <v>733759</v>
      </c>
    </row>
    <row r="82" spans="2:15" ht="12.75" customHeight="1" x14ac:dyDescent="0.35">
      <c r="B82" s="178" t="s">
        <v>18</v>
      </c>
      <c r="C82" s="179">
        <v>2023</v>
      </c>
      <c r="D82" s="180">
        <v>41.29</v>
      </c>
      <c r="E82" s="180">
        <v>5.59</v>
      </c>
      <c r="F82" s="181">
        <v>1331</v>
      </c>
      <c r="G82" s="182">
        <v>5.7137000000000002</v>
      </c>
      <c r="H82" s="182">
        <v>3.7136</v>
      </c>
      <c r="I82" s="181">
        <v>38187</v>
      </c>
      <c r="J82" s="182">
        <v>10.5503</v>
      </c>
      <c r="K82" s="183">
        <v>12.8</v>
      </c>
      <c r="L82" s="184">
        <v>1</v>
      </c>
      <c r="M82" s="184">
        <v>0</v>
      </c>
      <c r="N82" s="182">
        <v>75.092799999999997</v>
      </c>
      <c r="O82" s="181">
        <v>733759</v>
      </c>
    </row>
    <row r="83" spans="2:15" ht="12.75" customHeight="1" x14ac:dyDescent="0.35">
      <c r="B83" s="171" t="s">
        <v>18</v>
      </c>
      <c r="C83" s="172">
        <v>2024</v>
      </c>
      <c r="D83" s="173">
        <v>24.41</v>
      </c>
      <c r="E83" s="173">
        <v>8.2200000000000006</v>
      </c>
      <c r="F83" s="174">
        <v>1397</v>
      </c>
      <c r="G83" s="175">
        <v>5.2781000000000002</v>
      </c>
      <c r="H83" s="175">
        <v>4.1897000000000002</v>
      </c>
      <c r="I83" s="174">
        <v>39592</v>
      </c>
      <c r="J83" s="175">
        <v>10.586399999999999</v>
      </c>
      <c r="K83" s="176">
        <v>9.3000000000000007</v>
      </c>
      <c r="L83" s="177">
        <v>1</v>
      </c>
      <c r="M83" s="177">
        <v>0</v>
      </c>
      <c r="N83" s="175">
        <v>75.092799999999997</v>
      </c>
      <c r="O83" s="174">
        <v>802837</v>
      </c>
    </row>
    <row r="84" spans="2:15" ht="12.75" customHeight="1" x14ac:dyDescent="0.35">
      <c r="B84" s="157" t="s">
        <v>19</v>
      </c>
      <c r="C84" s="158">
        <v>2005</v>
      </c>
      <c r="D84" s="159">
        <v>14.68</v>
      </c>
      <c r="E84" s="159">
        <v>0.04</v>
      </c>
      <c r="F84" s="160">
        <v>6</v>
      </c>
      <c r="G84" s="161">
        <v>7.6147999999999998</v>
      </c>
      <c r="H84" s="161">
        <v>1.7918000000000001</v>
      </c>
      <c r="I84" s="160">
        <v>6581</v>
      </c>
      <c r="J84" s="161">
        <v>8.7919</v>
      </c>
      <c r="K84" s="162">
        <v>11.07</v>
      </c>
      <c r="L84" s="163">
        <v>0</v>
      </c>
      <c r="M84" s="163">
        <v>0</v>
      </c>
      <c r="N84" s="161">
        <v>83.590100000000007</v>
      </c>
      <c r="O84" s="160">
        <v>13815334</v>
      </c>
    </row>
    <row r="85" spans="2:15" ht="12.75" customHeight="1" x14ac:dyDescent="0.35">
      <c r="B85" s="164" t="s">
        <v>19</v>
      </c>
      <c r="C85" s="165">
        <v>2006</v>
      </c>
      <c r="D85" s="166">
        <v>17.18</v>
      </c>
      <c r="E85" s="166">
        <v>0.08</v>
      </c>
      <c r="F85" s="167">
        <v>17</v>
      </c>
      <c r="G85" s="168">
        <v>7.7816000000000001</v>
      </c>
      <c r="H85" s="168">
        <v>2.3978999999999999</v>
      </c>
      <c r="I85" s="167">
        <v>6919</v>
      </c>
      <c r="J85" s="168">
        <v>8.8420000000000005</v>
      </c>
      <c r="K85" s="169">
        <v>10.25</v>
      </c>
      <c r="L85" s="170">
        <v>0</v>
      </c>
      <c r="M85" s="170">
        <v>0</v>
      </c>
      <c r="N85" s="168">
        <v>83.590100000000007</v>
      </c>
      <c r="O85" s="167">
        <v>13950146</v>
      </c>
    </row>
    <row r="86" spans="2:15" ht="12.75" customHeight="1" x14ac:dyDescent="0.35">
      <c r="B86" s="157" t="s">
        <v>19</v>
      </c>
      <c r="C86" s="158">
        <v>2007</v>
      </c>
      <c r="D86" s="159">
        <v>19.12</v>
      </c>
      <c r="E86" s="159">
        <v>0.11</v>
      </c>
      <c r="F86" s="160">
        <v>33</v>
      </c>
      <c r="G86" s="161">
        <v>7.8979999999999997</v>
      </c>
      <c r="H86" s="161">
        <v>2.7726000000000002</v>
      </c>
      <c r="I86" s="160">
        <v>7787</v>
      </c>
      <c r="J86" s="161">
        <v>8.9602000000000004</v>
      </c>
      <c r="K86" s="162">
        <v>10.34</v>
      </c>
      <c r="L86" s="163">
        <v>0</v>
      </c>
      <c r="M86" s="163">
        <v>0</v>
      </c>
      <c r="N86" s="161">
        <v>83.590100000000007</v>
      </c>
      <c r="O86" s="160">
        <v>14080670</v>
      </c>
    </row>
    <row r="87" spans="2:15" ht="12.75" customHeight="1" x14ac:dyDescent="0.35">
      <c r="B87" s="164" t="s">
        <v>19</v>
      </c>
      <c r="C87" s="165">
        <v>2008</v>
      </c>
      <c r="D87" s="166">
        <v>26.35</v>
      </c>
      <c r="E87" s="166">
        <v>0.22</v>
      </c>
      <c r="F87" s="167">
        <v>65</v>
      </c>
      <c r="G87" s="168">
        <v>8.2484999999999999</v>
      </c>
      <c r="H87" s="168">
        <v>3.4657</v>
      </c>
      <c r="I87" s="167">
        <v>8378</v>
      </c>
      <c r="J87" s="168">
        <v>9.0334000000000003</v>
      </c>
      <c r="K87" s="169">
        <v>10.53</v>
      </c>
      <c r="L87" s="170">
        <v>0</v>
      </c>
      <c r="M87" s="170">
        <v>0</v>
      </c>
      <c r="N87" s="168">
        <v>83.590100000000007</v>
      </c>
      <c r="O87" s="167">
        <v>14502563</v>
      </c>
    </row>
    <row r="88" spans="2:15" ht="12.75" customHeight="1" x14ac:dyDescent="0.35">
      <c r="B88" s="157" t="s">
        <v>19</v>
      </c>
      <c r="C88" s="158">
        <v>2009</v>
      </c>
      <c r="D88" s="159">
        <v>29.83</v>
      </c>
      <c r="E88" s="159">
        <v>0.4</v>
      </c>
      <c r="F88" s="160">
        <v>123</v>
      </c>
      <c r="G88" s="161">
        <v>8.3818000000000001</v>
      </c>
      <c r="H88" s="161">
        <v>4.0603999999999996</v>
      </c>
      <c r="I88" s="160">
        <v>9365</v>
      </c>
      <c r="J88" s="161">
        <v>9.1447000000000003</v>
      </c>
      <c r="K88" s="162">
        <v>10.67</v>
      </c>
      <c r="L88" s="163">
        <v>0</v>
      </c>
      <c r="M88" s="163">
        <v>0</v>
      </c>
      <c r="N88" s="161">
        <v>83.590100000000007</v>
      </c>
      <c r="O88" s="160">
        <v>14637364</v>
      </c>
    </row>
    <row r="89" spans="2:15" ht="12.75" customHeight="1" x14ac:dyDescent="0.35">
      <c r="B89" s="164" t="s">
        <v>19</v>
      </c>
      <c r="C89" s="165">
        <v>2010</v>
      </c>
      <c r="D89" s="166">
        <v>31.74</v>
      </c>
      <c r="E89" s="166">
        <v>0.44</v>
      </c>
      <c r="F89" s="167">
        <v>185</v>
      </c>
      <c r="G89" s="168">
        <v>8.4003999999999994</v>
      </c>
      <c r="H89" s="168">
        <v>4.1271000000000004</v>
      </c>
      <c r="I89" s="167">
        <v>11017</v>
      </c>
      <c r="J89" s="168">
        <v>9.3071999999999999</v>
      </c>
      <c r="K89" s="169">
        <v>10.59</v>
      </c>
      <c r="L89" s="170">
        <v>0</v>
      </c>
      <c r="M89" s="170">
        <v>0</v>
      </c>
      <c r="N89" s="168">
        <v>83.590100000000007</v>
      </c>
      <c r="O89" s="167">
        <v>14016906</v>
      </c>
    </row>
    <row r="90" spans="2:15" ht="12.75" customHeight="1" x14ac:dyDescent="0.35">
      <c r="B90" s="157" t="s">
        <v>19</v>
      </c>
      <c r="C90" s="158">
        <v>2011</v>
      </c>
      <c r="D90" s="159">
        <v>29.54</v>
      </c>
      <c r="E90" s="159">
        <v>1.0900000000000001</v>
      </c>
      <c r="F90" s="160">
        <v>338</v>
      </c>
      <c r="G90" s="161">
        <v>8.3345000000000002</v>
      </c>
      <c r="H90" s="161">
        <v>5.0304000000000002</v>
      </c>
      <c r="I90" s="160">
        <v>11818</v>
      </c>
      <c r="J90" s="161">
        <v>9.3773999999999997</v>
      </c>
      <c r="K90" s="162">
        <v>10.51</v>
      </c>
      <c r="L90" s="163">
        <v>0</v>
      </c>
      <c r="M90" s="163">
        <v>0</v>
      </c>
      <c r="N90" s="161">
        <v>83.590100000000007</v>
      </c>
      <c r="O90" s="160">
        <v>14097534</v>
      </c>
    </row>
    <row r="91" spans="2:15" ht="12.75" customHeight="1" x14ac:dyDescent="0.35">
      <c r="B91" s="164" t="s">
        <v>19</v>
      </c>
      <c r="C91" s="165">
        <v>2012</v>
      </c>
      <c r="D91" s="166">
        <v>32.450000000000003</v>
      </c>
      <c r="E91" s="166">
        <v>1.1000000000000001</v>
      </c>
      <c r="F91" s="167">
        <v>494</v>
      </c>
      <c r="G91" s="168">
        <v>8.4337999999999997</v>
      </c>
      <c r="H91" s="168">
        <v>5.0499000000000001</v>
      </c>
      <c r="I91" s="167">
        <v>12880</v>
      </c>
      <c r="J91" s="168">
        <v>9.4634</v>
      </c>
      <c r="K91" s="169">
        <v>10.18</v>
      </c>
      <c r="L91" s="170">
        <v>0</v>
      </c>
      <c r="M91" s="170">
        <v>0</v>
      </c>
      <c r="N91" s="168">
        <v>83.590100000000007</v>
      </c>
      <c r="O91" s="167">
        <v>14175341</v>
      </c>
    </row>
    <row r="92" spans="2:15" ht="12.75" customHeight="1" x14ac:dyDescent="0.35">
      <c r="B92" s="157" t="s">
        <v>19</v>
      </c>
      <c r="C92" s="158">
        <v>2013</v>
      </c>
      <c r="D92" s="159">
        <v>28.51</v>
      </c>
      <c r="E92" s="159">
        <v>0.57999999999999996</v>
      </c>
      <c r="F92" s="160">
        <v>582</v>
      </c>
      <c r="G92" s="161">
        <v>8.3637999999999995</v>
      </c>
      <c r="H92" s="161">
        <v>4.4772999999999996</v>
      </c>
      <c r="I92" s="160">
        <v>13616</v>
      </c>
      <c r="J92" s="161">
        <v>9.5190000000000001</v>
      </c>
      <c r="K92" s="162">
        <v>9.8699999999999992</v>
      </c>
      <c r="L92" s="163">
        <v>0</v>
      </c>
      <c r="M92" s="163">
        <v>0</v>
      </c>
      <c r="N92" s="161">
        <v>83.590100000000007</v>
      </c>
      <c r="O92" s="160">
        <v>15044137</v>
      </c>
    </row>
    <row r="93" spans="2:15" ht="12.75" customHeight="1" x14ac:dyDescent="0.35">
      <c r="B93" s="164" t="s">
        <v>19</v>
      </c>
      <c r="C93" s="165">
        <v>2014</v>
      </c>
      <c r="D93" s="166">
        <v>30.75</v>
      </c>
      <c r="E93" s="166">
        <v>0.17</v>
      </c>
      <c r="F93" s="167">
        <v>608</v>
      </c>
      <c r="G93" s="168">
        <v>8.4451000000000001</v>
      </c>
      <c r="H93" s="168">
        <v>3.2581000000000002</v>
      </c>
      <c r="I93" s="167">
        <v>14804</v>
      </c>
      <c r="J93" s="168">
        <v>9.6027000000000005</v>
      </c>
      <c r="K93" s="169">
        <v>9.98</v>
      </c>
      <c r="L93" s="170">
        <v>0</v>
      </c>
      <c r="M93" s="170">
        <v>0</v>
      </c>
      <c r="N93" s="168">
        <v>83.590100000000007</v>
      </c>
      <c r="O93" s="167">
        <v>15126371</v>
      </c>
    </row>
    <row r="94" spans="2:15" ht="12.75" customHeight="1" x14ac:dyDescent="0.35">
      <c r="B94" s="157" t="s">
        <v>19</v>
      </c>
      <c r="C94" s="158">
        <v>2015</v>
      </c>
      <c r="D94" s="159">
        <v>29.95</v>
      </c>
      <c r="E94" s="159">
        <v>0.97</v>
      </c>
      <c r="F94" s="160">
        <v>756</v>
      </c>
      <c r="G94" s="161">
        <v>8.4235000000000007</v>
      </c>
      <c r="H94" s="161">
        <v>4.9972000000000003</v>
      </c>
      <c r="I94" s="160">
        <v>16118</v>
      </c>
      <c r="J94" s="161">
        <v>9.6876999999999995</v>
      </c>
      <c r="K94" s="162">
        <v>12.4</v>
      </c>
      <c r="L94" s="163">
        <v>0</v>
      </c>
      <c r="M94" s="163">
        <v>0</v>
      </c>
      <c r="N94" s="161">
        <v>83.590100000000007</v>
      </c>
      <c r="O94" s="160">
        <v>15203334</v>
      </c>
    </row>
    <row r="95" spans="2:15" ht="12.75" customHeight="1" x14ac:dyDescent="0.35">
      <c r="B95" s="171" t="s">
        <v>19</v>
      </c>
      <c r="C95" s="172">
        <v>2016</v>
      </c>
      <c r="D95" s="173">
        <v>35.619999999999997</v>
      </c>
      <c r="E95" s="173">
        <v>1.6</v>
      </c>
      <c r="F95" s="174">
        <v>1001</v>
      </c>
      <c r="G95" s="175">
        <v>8.6019000000000005</v>
      </c>
      <c r="H95" s="175">
        <v>5.5012999999999996</v>
      </c>
      <c r="I95" s="174">
        <v>16937</v>
      </c>
      <c r="J95" s="175">
        <v>9.7372999999999994</v>
      </c>
      <c r="K95" s="176">
        <v>16</v>
      </c>
      <c r="L95" s="177">
        <v>0</v>
      </c>
      <c r="M95" s="177">
        <v>0</v>
      </c>
      <c r="N95" s="175">
        <v>83.590100000000007</v>
      </c>
      <c r="O95" s="174">
        <v>15276566</v>
      </c>
    </row>
    <row r="96" spans="2:15" ht="12.75" customHeight="1" x14ac:dyDescent="0.35">
      <c r="B96" s="178" t="s">
        <v>19</v>
      </c>
      <c r="C96" s="179">
        <v>2017</v>
      </c>
      <c r="D96" s="180">
        <v>35.299999999999997</v>
      </c>
      <c r="E96" s="180">
        <v>2.97</v>
      </c>
      <c r="F96" s="181">
        <v>1456</v>
      </c>
      <c r="G96" s="182">
        <v>8.5970999999999993</v>
      </c>
      <c r="H96" s="182">
        <v>6.1203000000000003</v>
      </c>
      <c r="I96" s="181">
        <v>17513</v>
      </c>
      <c r="J96" s="182">
        <v>9.7706999999999997</v>
      </c>
      <c r="K96" s="183">
        <v>17.100000000000001</v>
      </c>
      <c r="L96" s="184">
        <v>0</v>
      </c>
      <c r="M96" s="184">
        <v>0</v>
      </c>
      <c r="N96" s="182">
        <v>83.590100000000007</v>
      </c>
      <c r="O96" s="181">
        <v>15344447</v>
      </c>
    </row>
    <row r="97" spans="2:15" ht="12.75" customHeight="1" x14ac:dyDescent="0.35">
      <c r="B97" s="171" t="s">
        <v>19</v>
      </c>
      <c r="C97" s="172">
        <v>2018</v>
      </c>
      <c r="D97" s="173">
        <v>33.47</v>
      </c>
      <c r="E97" s="173">
        <v>5.33</v>
      </c>
      <c r="F97" s="174">
        <v>2246</v>
      </c>
      <c r="G97" s="175">
        <v>8.5088000000000008</v>
      </c>
      <c r="H97" s="175">
        <v>6.6719999999999997</v>
      </c>
      <c r="I97" s="174">
        <v>19324</v>
      </c>
      <c r="J97" s="175">
        <v>9.8690999999999995</v>
      </c>
      <c r="K97" s="176">
        <v>17.2</v>
      </c>
      <c r="L97" s="177">
        <v>0</v>
      </c>
      <c r="M97" s="177">
        <v>0</v>
      </c>
      <c r="N97" s="175">
        <v>83.590100000000007</v>
      </c>
      <c r="O97" s="174">
        <v>14812617</v>
      </c>
    </row>
    <row r="98" spans="2:15" ht="12.75" customHeight="1" x14ac:dyDescent="0.35">
      <c r="B98" s="178" t="s">
        <v>19</v>
      </c>
      <c r="C98" s="179">
        <v>2019</v>
      </c>
      <c r="D98" s="180">
        <v>30.83</v>
      </c>
      <c r="E98" s="180">
        <v>19.63</v>
      </c>
      <c r="F98" s="181">
        <v>5166</v>
      </c>
      <c r="G98" s="182">
        <v>8.4307999999999996</v>
      </c>
      <c r="H98" s="182">
        <v>7.9793000000000003</v>
      </c>
      <c r="I98" s="181">
        <v>19716</v>
      </c>
      <c r="J98" s="182">
        <v>9.8892000000000007</v>
      </c>
      <c r="K98" s="183">
        <v>17.399999999999999</v>
      </c>
      <c r="L98" s="184">
        <v>0</v>
      </c>
      <c r="M98" s="184">
        <v>0</v>
      </c>
      <c r="N98" s="182">
        <v>83.590100000000007</v>
      </c>
      <c r="O98" s="181">
        <v>14873064</v>
      </c>
    </row>
    <row r="99" spans="2:15" ht="12.75" customHeight="1" x14ac:dyDescent="0.35">
      <c r="B99" s="171" t="s">
        <v>19</v>
      </c>
      <c r="C99" s="172">
        <v>2020</v>
      </c>
      <c r="D99" s="173">
        <v>34.04</v>
      </c>
      <c r="E99" s="173">
        <v>41.26</v>
      </c>
      <c r="F99" s="174">
        <v>11327</v>
      </c>
      <c r="G99" s="175">
        <v>8.5335000000000001</v>
      </c>
      <c r="H99" s="175">
        <v>8.7260000000000009</v>
      </c>
      <c r="I99" s="174">
        <v>20449</v>
      </c>
      <c r="J99" s="175">
        <v>9.9257000000000009</v>
      </c>
      <c r="K99" s="176">
        <v>20.2</v>
      </c>
      <c r="L99" s="177">
        <v>0</v>
      </c>
      <c r="M99" s="177">
        <v>1</v>
      </c>
      <c r="N99" s="175">
        <v>83.590100000000007</v>
      </c>
      <c r="O99" s="174">
        <v>14930634</v>
      </c>
    </row>
    <row r="100" spans="2:15" ht="12.75" customHeight="1" x14ac:dyDescent="0.35">
      <c r="B100" s="178" t="s">
        <v>19</v>
      </c>
      <c r="C100" s="179">
        <v>2021</v>
      </c>
      <c r="D100" s="180">
        <v>35.299999999999997</v>
      </c>
      <c r="E100" s="180">
        <v>56.73</v>
      </c>
      <c r="F100" s="181">
        <v>19828</v>
      </c>
      <c r="G100" s="182">
        <v>8.5736000000000008</v>
      </c>
      <c r="H100" s="182">
        <v>9.0479000000000003</v>
      </c>
      <c r="I100" s="181">
        <v>23531</v>
      </c>
      <c r="J100" s="182">
        <v>10.0661</v>
      </c>
      <c r="K100" s="183">
        <v>19.5</v>
      </c>
      <c r="L100" s="184">
        <v>0</v>
      </c>
      <c r="M100" s="184">
        <v>1</v>
      </c>
      <c r="N100" s="182">
        <v>83.590100000000007</v>
      </c>
      <c r="O100" s="181">
        <v>14985284</v>
      </c>
    </row>
    <row r="101" spans="2:15" ht="12.75" customHeight="1" x14ac:dyDescent="0.35">
      <c r="B101" s="171" t="s">
        <v>19</v>
      </c>
      <c r="C101" s="172">
        <v>2022</v>
      </c>
      <c r="D101" s="173">
        <v>34.119999999999997</v>
      </c>
      <c r="E101" s="173">
        <v>83.59</v>
      </c>
      <c r="F101" s="174">
        <v>31649</v>
      </c>
      <c r="G101" s="175">
        <v>8.4816000000000003</v>
      </c>
      <c r="H101" s="175">
        <v>9.3775999999999993</v>
      </c>
      <c r="I101" s="174">
        <v>28472</v>
      </c>
      <c r="J101" s="175">
        <v>10.2567</v>
      </c>
      <c r="K101" s="176">
        <v>15.3</v>
      </c>
      <c r="L101" s="177">
        <v>0</v>
      </c>
      <c r="M101" s="177">
        <v>0</v>
      </c>
      <c r="N101" s="175">
        <v>83.590100000000007</v>
      </c>
      <c r="O101" s="174">
        <v>14141626</v>
      </c>
    </row>
    <row r="102" spans="2:15" ht="12.75" customHeight="1" x14ac:dyDescent="0.35">
      <c r="B102" s="178" t="s">
        <v>19</v>
      </c>
      <c r="C102" s="179">
        <v>2023</v>
      </c>
      <c r="D102" s="180">
        <v>33.58</v>
      </c>
      <c r="E102" s="180">
        <v>0.51</v>
      </c>
      <c r="F102" s="181">
        <v>31721</v>
      </c>
      <c r="G102" s="182">
        <v>8.4657</v>
      </c>
      <c r="H102" s="182">
        <v>4.2766999999999999</v>
      </c>
      <c r="I102" s="181">
        <v>30477</v>
      </c>
      <c r="J102" s="182">
        <v>10.3247</v>
      </c>
      <c r="K102" s="183">
        <v>13.4</v>
      </c>
      <c r="L102" s="184">
        <v>1</v>
      </c>
      <c r="M102" s="184">
        <v>0</v>
      </c>
      <c r="N102" s="182">
        <v>83.590100000000007</v>
      </c>
      <c r="O102" s="181">
        <v>14141626</v>
      </c>
    </row>
    <row r="103" spans="2:15" ht="12.75" customHeight="1" x14ac:dyDescent="0.35">
      <c r="B103" s="171" t="s">
        <v>19</v>
      </c>
      <c r="C103" s="172">
        <v>2024</v>
      </c>
      <c r="D103" s="173">
        <v>25.43</v>
      </c>
      <c r="E103" s="173">
        <v>10.38</v>
      </c>
      <c r="F103" s="174">
        <v>33262</v>
      </c>
      <c r="G103" s="175">
        <v>8.2367000000000008</v>
      </c>
      <c r="H103" s="175">
        <v>7.3402000000000003</v>
      </c>
      <c r="I103" s="174">
        <v>31312</v>
      </c>
      <c r="J103" s="175">
        <v>10.351800000000001</v>
      </c>
      <c r="K103" s="176">
        <v>11.2</v>
      </c>
      <c r="L103" s="177">
        <v>1</v>
      </c>
      <c r="M103" s="177">
        <v>0</v>
      </c>
      <c r="N103" s="175">
        <v>83.590100000000007</v>
      </c>
      <c r="O103" s="174">
        <v>14850513</v>
      </c>
    </row>
    <row r="104" spans="2:15" ht="12.75" customHeight="1" x14ac:dyDescent="0.35">
      <c r="B104" s="157" t="s">
        <v>20</v>
      </c>
      <c r="C104" s="158">
        <v>2005</v>
      </c>
      <c r="D104" s="159">
        <v>12.49</v>
      </c>
      <c r="E104" s="159">
        <v>0.21</v>
      </c>
      <c r="F104" s="160">
        <v>17</v>
      </c>
      <c r="G104" s="161">
        <v>6.9187000000000003</v>
      </c>
      <c r="H104" s="161">
        <v>2.8332000000000002</v>
      </c>
      <c r="I104" s="160">
        <v>5055</v>
      </c>
      <c r="J104" s="161">
        <v>8.5281000000000002</v>
      </c>
      <c r="K104" s="162">
        <v>9.1199999999999992</v>
      </c>
      <c r="L104" s="163">
        <v>0</v>
      </c>
      <c r="M104" s="163">
        <v>0</v>
      </c>
      <c r="N104" s="161">
        <v>73.200999999999993</v>
      </c>
      <c r="O104" s="160">
        <v>8097276</v>
      </c>
    </row>
    <row r="105" spans="2:15" ht="12.75" customHeight="1" x14ac:dyDescent="0.35">
      <c r="B105" s="164" t="s">
        <v>20</v>
      </c>
      <c r="C105" s="165">
        <v>2006</v>
      </c>
      <c r="D105" s="166">
        <v>12.9</v>
      </c>
      <c r="E105" s="166">
        <v>0.27</v>
      </c>
      <c r="F105" s="167">
        <v>39</v>
      </c>
      <c r="G105" s="168">
        <v>6.9660000000000002</v>
      </c>
      <c r="H105" s="168">
        <v>3.0910000000000002</v>
      </c>
      <c r="I105" s="167">
        <v>5635</v>
      </c>
      <c r="J105" s="168">
        <v>8.6367999999999991</v>
      </c>
      <c r="K105" s="169">
        <v>8.36</v>
      </c>
      <c r="L105" s="170">
        <v>0</v>
      </c>
      <c r="M105" s="170">
        <v>0</v>
      </c>
      <c r="N105" s="168">
        <v>73.200999999999993</v>
      </c>
      <c r="O105" s="167">
        <v>8217085</v>
      </c>
    </row>
    <row r="106" spans="2:15" ht="12.75" customHeight="1" x14ac:dyDescent="0.35">
      <c r="B106" s="157" t="s">
        <v>20</v>
      </c>
      <c r="C106" s="158">
        <v>2007</v>
      </c>
      <c r="D106" s="159">
        <v>15.04</v>
      </c>
      <c r="E106" s="159">
        <v>0.45</v>
      </c>
      <c r="F106" s="160">
        <v>76</v>
      </c>
      <c r="G106" s="161">
        <v>7.1155999999999997</v>
      </c>
      <c r="H106" s="161">
        <v>3.6109</v>
      </c>
      <c r="I106" s="160">
        <v>6149</v>
      </c>
      <c r="J106" s="161">
        <v>8.7240000000000002</v>
      </c>
      <c r="K106" s="162">
        <v>7.88</v>
      </c>
      <c r="L106" s="163">
        <v>0</v>
      </c>
      <c r="M106" s="163">
        <v>0</v>
      </c>
      <c r="N106" s="161">
        <v>73.200999999999993</v>
      </c>
      <c r="O106" s="160">
        <v>8185250</v>
      </c>
    </row>
    <row r="107" spans="2:15" ht="12.75" customHeight="1" x14ac:dyDescent="0.35">
      <c r="B107" s="164" t="s">
        <v>20</v>
      </c>
      <c r="C107" s="165">
        <v>2008</v>
      </c>
      <c r="D107" s="166">
        <v>15.89</v>
      </c>
      <c r="E107" s="166">
        <v>0.51</v>
      </c>
      <c r="F107" s="167">
        <v>119</v>
      </c>
      <c r="G107" s="168">
        <v>7.2027000000000001</v>
      </c>
      <c r="H107" s="168">
        <v>3.7612000000000001</v>
      </c>
      <c r="I107" s="167">
        <v>7112</v>
      </c>
      <c r="J107" s="168">
        <v>8.8695000000000004</v>
      </c>
      <c r="K107" s="169">
        <v>7</v>
      </c>
      <c r="L107" s="170">
        <v>0</v>
      </c>
      <c r="M107" s="170">
        <v>0</v>
      </c>
      <c r="N107" s="168">
        <v>73.200999999999993</v>
      </c>
      <c r="O107" s="167">
        <v>8450528</v>
      </c>
    </row>
    <row r="108" spans="2:15" ht="12.75" customHeight="1" x14ac:dyDescent="0.35">
      <c r="B108" s="157" t="s">
        <v>20</v>
      </c>
      <c r="C108" s="158">
        <v>2009</v>
      </c>
      <c r="D108" s="159">
        <v>17.72</v>
      </c>
      <c r="E108" s="159">
        <v>1.5</v>
      </c>
      <c r="F108" s="160">
        <v>247</v>
      </c>
      <c r="G108" s="161">
        <v>7.3231999999999999</v>
      </c>
      <c r="H108" s="161">
        <v>4.8520000000000003</v>
      </c>
      <c r="I108" s="160">
        <v>7687</v>
      </c>
      <c r="J108" s="161">
        <v>8.9473000000000003</v>
      </c>
      <c r="K108" s="162">
        <v>7.91</v>
      </c>
      <c r="L108" s="163">
        <v>0</v>
      </c>
      <c r="M108" s="163">
        <v>0</v>
      </c>
      <c r="N108" s="161">
        <v>73.200999999999993</v>
      </c>
      <c r="O108" s="160">
        <v>8547809</v>
      </c>
    </row>
    <row r="109" spans="2:15" ht="12.75" customHeight="1" x14ac:dyDescent="0.35">
      <c r="B109" s="164" t="s">
        <v>20</v>
      </c>
      <c r="C109" s="165">
        <v>2010</v>
      </c>
      <c r="D109" s="166">
        <v>24.32</v>
      </c>
      <c r="E109" s="166">
        <v>1.59</v>
      </c>
      <c r="F109" s="167">
        <v>381</v>
      </c>
      <c r="G109" s="168">
        <v>7.6284999999999998</v>
      </c>
      <c r="H109" s="168">
        <v>4.8978000000000002</v>
      </c>
      <c r="I109" s="167">
        <v>9386</v>
      </c>
      <c r="J109" s="168">
        <v>9.1470000000000002</v>
      </c>
      <c r="K109" s="169">
        <v>7.02</v>
      </c>
      <c r="L109" s="170">
        <v>0</v>
      </c>
      <c r="M109" s="170">
        <v>0</v>
      </c>
      <c r="N109" s="168">
        <v>73.200999999999993</v>
      </c>
      <c r="O109" s="167">
        <v>8452381</v>
      </c>
    </row>
    <row r="110" spans="2:15" ht="12.75" customHeight="1" x14ac:dyDescent="0.35">
      <c r="B110" s="157" t="s">
        <v>20</v>
      </c>
      <c r="C110" s="158">
        <v>2011</v>
      </c>
      <c r="D110" s="159">
        <v>24.18</v>
      </c>
      <c r="E110" s="159">
        <v>2.59</v>
      </c>
      <c r="F110" s="160">
        <v>602</v>
      </c>
      <c r="G110" s="161">
        <v>7.6318999999999999</v>
      </c>
      <c r="H110" s="161">
        <v>5.3982000000000001</v>
      </c>
      <c r="I110" s="160">
        <v>10515</v>
      </c>
      <c r="J110" s="161">
        <v>9.2606000000000002</v>
      </c>
      <c r="K110" s="162">
        <v>6.12</v>
      </c>
      <c r="L110" s="163">
        <v>0</v>
      </c>
      <c r="M110" s="163">
        <v>0</v>
      </c>
      <c r="N110" s="161">
        <v>73.200999999999993</v>
      </c>
      <c r="O110" s="160">
        <v>8530155</v>
      </c>
    </row>
    <row r="111" spans="2:15" ht="12.75" customHeight="1" x14ac:dyDescent="0.35">
      <c r="B111" s="164" t="s">
        <v>20</v>
      </c>
      <c r="C111" s="165">
        <v>2012</v>
      </c>
      <c r="D111" s="166">
        <v>36.39</v>
      </c>
      <c r="E111" s="166">
        <v>3.32</v>
      </c>
      <c r="F111" s="167">
        <v>888</v>
      </c>
      <c r="G111" s="168">
        <v>8.0494000000000003</v>
      </c>
      <c r="H111" s="168">
        <v>5.6559999999999997</v>
      </c>
      <c r="I111" s="167">
        <v>11268</v>
      </c>
      <c r="J111" s="168">
        <v>9.3297000000000008</v>
      </c>
      <c r="K111" s="169">
        <v>6.58</v>
      </c>
      <c r="L111" s="170">
        <v>0</v>
      </c>
      <c r="M111" s="170">
        <v>0</v>
      </c>
      <c r="N111" s="168">
        <v>73.200999999999993</v>
      </c>
      <c r="O111" s="167">
        <v>8606005</v>
      </c>
    </row>
    <row r="112" spans="2:15" ht="12.75" customHeight="1" x14ac:dyDescent="0.35">
      <c r="B112" s="157" t="s">
        <v>20</v>
      </c>
      <c r="C112" s="158">
        <v>2013</v>
      </c>
      <c r="D112" s="159">
        <v>41.6</v>
      </c>
      <c r="E112" s="159">
        <v>4.28</v>
      </c>
      <c r="F112" s="160">
        <v>1264</v>
      </c>
      <c r="G112" s="161">
        <v>8.2029999999999994</v>
      </c>
      <c r="H112" s="161">
        <v>5.9295999999999998</v>
      </c>
      <c r="I112" s="160">
        <v>12421</v>
      </c>
      <c r="J112" s="161">
        <v>9.4270999999999994</v>
      </c>
      <c r="K112" s="162">
        <v>7.42</v>
      </c>
      <c r="L112" s="163">
        <v>0</v>
      </c>
      <c r="M112" s="163">
        <v>0</v>
      </c>
      <c r="N112" s="161">
        <v>73.200999999999993</v>
      </c>
      <c r="O112" s="160">
        <v>8778576</v>
      </c>
    </row>
    <row r="113" spans="2:15" ht="12.75" customHeight="1" x14ac:dyDescent="0.35">
      <c r="B113" s="164" t="s">
        <v>20</v>
      </c>
      <c r="C113" s="165">
        <v>2014</v>
      </c>
      <c r="D113" s="166">
        <v>42.97</v>
      </c>
      <c r="E113" s="166">
        <v>1.83</v>
      </c>
      <c r="F113" s="167">
        <v>1426</v>
      </c>
      <c r="G113" s="168">
        <v>8.2428000000000008</v>
      </c>
      <c r="H113" s="168">
        <v>5.0876000000000001</v>
      </c>
      <c r="I113" s="167">
        <v>14255</v>
      </c>
      <c r="J113" s="168">
        <v>9.5648999999999997</v>
      </c>
      <c r="K113" s="169">
        <v>8.23</v>
      </c>
      <c r="L113" s="170">
        <v>0</v>
      </c>
      <c r="M113" s="170">
        <v>0</v>
      </c>
      <c r="N113" s="168">
        <v>73.200999999999993</v>
      </c>
      <c r="O113" s="167">
        <v>8842791</v>
      </c>
    </row>
    <row r="114" spans="2:15" ht="12.75" customHeight="1" x14ac:dyDescent="0.35">
      <c r="B114" s="157" t="s">
        <v>20</v>
      </c>
      <c r="C114" s="158">
        <v>2015</v>
      </c>
      <c r="D114" s="159">
        <v>38.15</v>
      </c>
      <c r="E114" s="159">
        <v>2.81</v>
      </c>
      <c r="F114" s="160">
        <v>1676</v>
      </c>
      <c r="G114" s="161">
        <v>8.1305999999999994</v>
      </c>
      <c r="H114" s="161">
        <v>5.5214999999999996</v>
      </c>
      <c r="I114" s="160">
        <v>14670</v>
      </c>
      <c r="J114" s="161">
        <v>9.5936000000000003</v>
      </c>
      <c r="K114" s="162">
        <v>8.9</v>
      </c>
      <c r="L114" s="163">
        <v>0</v>
      </c>
      <c r="M114" s="163">
        <v>0</v>
      </c>
      <c r="N114" s="161">
        <v>73.200999999999993</v>
      </c>
      <c r="O114" s="160">
        <v>8904459</v>
      </c>
    </row>
    <row r="115" spans="2:15" ht="12.75" customHeight="1" x14ac:dyDescent="0.35">
      <c r="B115" s="171" t="s">
        <v>20</v>
      </c>
      <c r="C115" s="172">
        <v>2016</v>
      </c>
      <c r="D115" s="173">
        <v>32.26</v>
      </c>
      <c r="E115" s="173">
        <v>4.33</v>
      </c>
      <c r="F115" s="174">
        <v>2064</v>
      </c>
      <c r="G115" s="175">
        <v>7.9696999999999996</v>
      </c>
      <c r="H115" s="175">
        <v>5.9610000000000003</v>
      </c>
      <c r="I115" s="174">
        <v>15443</v>
      </c>
      <c r="J115" s="175">
        <v>9.6448999999999998</v>
      </c>
      <c r="K115" s="176">
        <v>12.1</v>
      </c>
      <c r="L115" s="177">
        <v>0</v>
      </c>
      <c r="M115" s="177">
        <v>0</v>
      </c>
      <c r="N115" s="175">
        <v>73.200999999999993</v>
      </c>
      <c r="O115" s="174">
        <v>8963663</v>
      </c>
    </row>
    <row r="116" spans="2:15" ht="12.75" customHeight="1" x14ac:dyDescent="0.35">
      <c r="B116" s="178" t="s">
        <v>20</v>
      </c>
      <c r="C116" s="179">
        <v>2017</v>
      </c>
      <c r="D116" s="180">
        <v>52.05</v>
      </c>
      <c r="E116" s="180">
        <v>7.67</v>
      </c>
      <c r="F116" s="181">
        <v>2756</v>
      </c>
      <c r="G116" s="182">
        <v>8.4542999999999999</v>
      </c>
      <c r="H116" s="182">
        <v>6.5396000000000001</v>
      </c>
      <c r="I116" s="181">
        <v>16398</v>
      </c>
      <c r="J116" s="182">
        <v>9.7049000000000003</v>
      </c>
      <c r="K116" s="183">
        <v>12.7</v>
      </c>
      <c r="L116" s="184">
        <v>0</v>
      </c>
      <c r="M116" s="184">
        <v>0</v>
      </c>
      <c r="N116" s="182">
        <v>73.200999999999993</v>
      </c>
      <c r="O116" s="181">
        <v>9020460</v>
      </c>
    </row>
    <row r="117" spans="2:15" ht="12.75" customHeight="1" x14ac:dyDescent="0.35">
      <c r="B117" s="171" t="s">
        <v>20</v>
      </c>
      <c r="C117" s="172">
        <v>2018</v>
      </c>
      <c r="D117" s="173">
        <v>46.5</v>
      </c>
      <c r="E117" s="173">
        <v>10.94</v>
      </c>
      <c r="F117" s="174">
        <v>3749</v>
      </c>
      <c r="G117" s="175">
        <v>8.3475999999999999</v>
      </c>
      <c r="H117" s="175">
        <v>6.9006999999999996</v>
      </c>
      <c r="I117" s="174">
        <v>17178</v>
      </c>
      <c r="J117" s="175">
        <v>9.7514000000000003</v>
      </c>
      <c r="K117" s="176">
        <v>11.4</v>
      </c>
      <c r="L117" s="177">
        <v>0</v>
      </c>
      <c r="M117" s="177">
        <v>0</v>
      </c>
      <c r="N117" s="175">
        <v>73.200999999999993</v>
      </c>
      <c r="O117" s="174">
        <v>9075649</v>
      </c>
    </row>
    <row r="118" spans="2:15" ht="12.75" customHeight="1" x14ac:dyDescent="0.35">
      <c r="B118" s="178" t="s">
        <v>20</v>
      </c>
      <c r="C118" s="179">
        <v>2019</v>
      </c>
      <c r="D118" s="180">
        <v>20.64</v>
      </c>
      <c r="E118" s="180">
        <v>23.02</v>
      </c>
      <c r="F118" s="181">
        <v>5851</v>
      </c>
      <c r="G118" s="182">
        <v>7.5416999999999996</v>
      </c>
      <c r="H118" s="182">
        <v>7.6505999999999998</v>
      </c>
      <c r="I118" s="181">
        <v>17912</v>
      </c>
      <c r="J118" s="182">
        <v>9.7932000000000006</v>
      </c>
      <c r="K118" s="183">
        <v>11.1</v>
      </c>
      <c r="L118" s="184">
        <v>0</v>
      </c>
      <c r="M118" s="184">
        <v>0</v>
      </c>
      <c r="N118" s="182">
        <v>73.200999999999993</v>
      </c>
      <c r="O118" s="181">
        <v>9132078</v>
      </c>
    </row>
    <row r="119" spans="2:15" ht="12.75" customHeight="1" x14ac:dyDescent="0.35">
      <c r="B119" s="171" t="s">
        <v>20</v>
      </c>
      <c r="C119" s="172">
        <v>2020</v>
      </c>
      <c r="D119" s="173">
        <v>37.380000000000003</v>
      </c>
      <c r="E119" s="173">
        <v>33.93</v>
      </c>
      <c r="F119" s="174">
        <v>8968</v>
      </c>
      <c r="G119" s="175">
        <v>8.1415000000000006</v>
      </c>
      <c r="H119" s="175">
        <v>8.0446000000000009</v>
      </c>
      <c r="I119" s="174">
        <v>18168</v>
      </c>
      <c r="J119" s="175">
        <v>9.8073999999999995</v>
      </c>
      <c r="K119" s="176">
        <v>13.3</v>
      </c>
      <c r="L119" s="177">
        <v>0</v>
      </c>
      <c r="M119" s="177">
        <v>1</v>
      </c>
      <c r="N119" s="175">
        <v>73.200999999999993</v>
      </c>
      <c r="O119" s="174">
        <v>9187103</v>
      </c>
    </row>
    <row r="120" spans="2:15" ht="12.75" customHeight="1" x14ac:dyDescent="0.35">
      <c r="B120" s="178" t="s">
        <v>20</v>
      </c>
      <c r="C120" s="179">
        <v>2021</v>
      </c>
      <c r="D120" s="180">
        <v>32.1</v>
      </c>
      <c r="E120" s="180">
        <v>66.87</v>
      </c>
      <c r="F120" s="181">
        <v>15147</v>
      </c>
      <c r="G120" s="182">
        <v>7.9950000000000001</v>
      </c>
      <c r="H120" s="182">
        <v>8.7288999999999994</v>
      </c>
      <c r="I120" s="181">
        <v>21090</v>
      </c>
      <c r="J120" s="182">
        <v>9.9565999999999999</v>
      </c>
      <c r="K120" s="183">
        <v>13.4</v>
      </c>
      <c r="L120" s="184">
        <v>0</v>
      </c>
      <c r="M120" s="184">
        <v>1</v>
      </c>
      <c r="N120" s="182">
        <v>73.200999999999993</v>
      </c>
      <c r="O120" s="181">
        <v>9240580</v>
      </c>
    </row>
    <row r="121" spans="2:15" ht="12.75" customHeight="1" x14ac:dyDescent="0.35">
      <c r="B121" s="171" t="s">
        <v>20</v>
      </c>
      <c r="C121" s="172">
        <v>2022</v>
      </c>
      <c r="D121" s="173">
        <v>28.13</v>
      </c>
      <c r="E121" s="173">
        <v>73.2</v>
      </c>
      <c r="F121" s="174">
        <v>21585</v>
      </c>
      <c r="G121" s="175">
        <v>7.8136000000000001</v>
      </c>
      <c r="H121" s="175">
        <v>8.77</v>
      </c>
      <c r="I121" s="174">
        <v>24287</v>
      </c>
      <c r="J121" s="175">
        <v>10.0977</v>
      </c>
      <c r="K121" s="176">
        <v>9.5</v>
      </c>
      <c r="L121" s="177">
        <v>0</v>
      </c>
      <c r="M121" s="177">
        <v>0</v>
      </c>
      <c r="N121" s="175">
        <v>73.200999999999993</v>
      </c>
      <c r="O121" s="174">
        <v>8794957</v>
      </c>
    </row>
    <row r="122" spans="2:15" ht="12.75" customHeight="1" x14ac:dyDescent="0.35">
      <c r="B122" s="178" t="s">
        <v>20</v>
      </c>
      <c r="C122" s="179">
        <v>2023</v>
      </c>
      <c r="D122" s="180">
        <v>28.57</v>
      </c>
      <c r="E122" s="180">
        <v>0.2</v>
      </c>
      <c r="F122" s="181">
        <v>21603</v>
      </c>
      <c r="G122" s="182">
        <v>7.8292000000000002</v>
      </c>
      <c r="H122" s="182">
        <v>2.8904000000000001</v>
      </c>
      <c r="I122" s="181">
        <v>26406</v>
      </c>
      <c r="J122" s="182">
        <v>10.1813</v>
      </c>
      <c r="K122" s="183">
        <v>9.1</v>
      </c>
      <c r="L122" s="184">
        <v>1</v>
      </c>
      <c r="M122" s="184">
        <v>0</v>
      </c>
      <c r="N122" s="182">
        <v>73.200999999999993</v>
      </c>
      <c r="O122" s="181">
        <v>8794957</v>
      </c>
    </row>
    <row r="123" spans="2:15" ht="12.75" customHeight="1" x14ac:dyDescent="0.35">
      <c r="B123" s="171" t="s">
        <v>20</v>
      </c>
      <c r="C123" s="172">
        <v>2024</v>
      </c>
      <c r="D123" s="173">
        <v>29.3</v>
      </c>
      <c r="E123" s="173">
        <v>14.34</v>
      </c>
      <c r="F123" s="174">
        <v>22927</v>
      </c>
      <c r="G123" s="175">
        <v>7.9028999999999998</v>
      </c>
      <c r="H123" s="175">
        <v>7.1883999999999997</v>
      </c>
      <c r="I123" s="174">
        <v>27101</v>
      </c>
      <c r="J123" s="175">
        <v>10.2073</v>
      </c>
      <c r="K123" s="176">
        <v>7.3</v>
      </c>
      <c r="L123" s="177">
        <v>1</v>
      </c>
      <c r="M123" s="177">
        <v>0</v>
      </c>
      <c r="N123" s="175">
        <v>73.200999999999993</v>
      </c>
      <c r="O123" s="174">
        <v>9233656</v>
      </c>
    </row>
    <row r="124" spans="2:15" ht="12.75" customHeight="1" x14ac:dyDescent="0.35">
      <c r="B124" s="157" t="s">
        <v>21</v>
      </c>
      <c r="C124" s="158">
        <v>2005</v>
      </c>
      <c r="D124" s="159">
        <v>21.94</v>
      </c>
      <c r="E124" s="159">
        <v>3.21</v>
      </c>
      <c r="F124" s="160">
        <v>75</v>
      </c>
      <c r="G124" s="161">
        <v>6.2382999999999997</v>
      </c>
      <c r="H124" s="161">
        <v>4.3174999999999999</v>
      </c>
      <c r="I124" s="160">
        <v>34515</v>
      </c>
      <c r="J124" s="161">
        <v>10.4491</v>
      </c>
      <c r="K124" s="162">
        <v>13.51</v>
      </c>
      <c r="L124" s="163">
        <v>0</v>
      </c>
      <c r="M124" s="163">
        <v>0</v>
      </c>
      <c r="N124" s="161">
        <v>385.49990000000003</v>
      </c>
      <c r="O124" s="160">
        <v>2333108</v>
      </c>
    </row>
    <row r="125" spans="2:15" ht="12.75" customHeight="1" x14ac:dyDescent="0.35">
      <c r="B125" s="164" t="s">
        <v>21</v>
      </c>
      <c r="C125" s="165">
        <v>2006</v>
      </c>
      <c r="D125" s="166">
        <v>21.06</v>
      </c>
      <c r="E125" s="166">
        <v>2.64</v>
      </c>
      <c r="F125" s="167">
        <v>138</v>
      </c>
      <c r="G125" s="168">
        <v>6.2186000000000003</v>
      </c>
      <c r="H125" s="168">
        <v>4.1430999999999996</v>
      </c>
      <c r="I125" s="167">
        <v>37599</v>
      </c>
      <c r="J125" s="168">
        <v>10.534700000000001</v>
      </c>
      <c r="K125" s="169">
        <v>11.63</v>
      </c>
      <c r="L125" s="170">
        <v>0</v>
      </c>
      <c r="M125" s="170">
        <v>0</v>
      </c>
      <c r="N125" s="168">
        <v>385.49990000000003</v>
      </c>
      <c r="O125" s="167">
        <v>2383784</v>
      </c>
    </row>
    <row r="126" spans="2:15" ht="12.75" customHeight="1" x14ac:dyDescent="0.35">
      <c r="B126" s="157" t="s">
        <v>21</v>
      </c>
      <c r="C126" s="158">
        <v>2007</v>
      </c>
      <c r="D126" s="159">
        <v>24.06</v>
      </c>
      <c r="E126" s="159">
        <v>2.16</v>
      </c>
      <c r="F126" s="160">
        <v>191</v>
      </c>
      <c r="G126" s="161">
        <v>6.3818000000000001</v>
      </c>
      <c r="H126" s="161">
        <v>3.9702999999999999</v>
      </c>
      <c r="I126" s="160">
        <v>40696</v>
      </c>
      <c r="J126" s="161">
        <v>10.613899999999999</v>
      </c>
      <c r="K126" s="162">
        <v>11.95</v>
      </c>
      <c r="L126" s="163">
        <v>0</v>
      </c>
      <c r="M126" s="163">
        <v>0</v>
      </c>
      <c r="N126" s="161">
        <v>385.49990000000003</v>
      </c>
      <c r="O126" s="160">
        <v>2455903</v>
      </c>
    </row>
    <row r="127" spans="2:15" ht="12.75" customHeight="1" x14ac:dyDescent="0.35">
      <c r="B127" s="164" t="s">
        <v>21</v>
      </c>
      <c r="C127" s="165">
        <v>2008</v>
      </c>
      <c r="D127" s="166">
        <v>24.13</v>
      </c>
      <c r="E127" s="166">
        <v>2.54</v>
      </c>
      <c r="F127" s="167">
        <v>256</v>
      </c>
      <c r="G127" s="168">
        <v>6.4249000000000001</v>
      </c>
      <c r="H127" s="168">
        <v>4.1744000000000003</v>
      </c>
      <c r="I127" s="167">
        <v>45978</v>
      </c>
      <c r="J127" s="168">
        <v>10.735900000000001</v>
      </c>
      <c r="K127" s="169">
        <v>11.24</v>
      </c>
      <c r="L127" s="170">
        <v>0</v>
      </c>
      <c r="M127" s="170">
        <v>0</v>
      </c>
      <c r="N127" s="168">
        <v>385.49990000000003</v>
      </c>
      <c r="O127" s="167">
        <v>2557159</v>
      </c>
    </row>
    <row r="128" spans="2:15" ht="12.75" customHeight="1" x14ac:dyDescent="0.35">
      <c r="B128" s="157" t="s">
        <v>21</v>
      </c>
      <c r="C128" s="158">
        <v>2009</v>
      </c>
      <c r="D128" s="159">
        <v>28.58</v>
      </c>
      <c r="E128" s="159">
        <v>2.4900000000000002</v>
      </c>
      <c r="F128" s="160">
        <v>321</v>
      </c>
      <c r="G128" s="161">
        <v>6.6134000000000004</v>
      </c>
      <c r="H128" s="161">
        <v>4.1744000000000003</v>
      </c>
      <c r="I128" s="160">
        <v>50438</v>
      </c>
      <c r="J128" s="161">
        <v>10.8285</v>
      </c>
      <c r="K128" s="162">
        <v>11.46</v>
      </c>
      <c r="L128" s="163">
        <v>0</v>
      </c>
      <c r="M128" s="163">
        <v>0</v>
      </c>
      <c r="N128" s="161">
        <v>385.49990000000003</v>
      </c>
      <c r="O128" s="160">
        <v>2606885</v>
      </c>
    </row>
    <row r="129" spans="2:15" ht="12.75" customHeight="1" x14ac:dyDescent="0.35">
      <c r="B129" s="164" t="s">
        <v>21</v>
      </c>
      <c r="C129" s="165">
        <v>2010</v>
      </c>
      <c r="D129" s="166">
        <v>24.51</v>
      </c>
      <c r="E129" s="166">
        <v>2.33</v>
      </c>
      <c r="F129" s="167">
        <v>381</v>
      </c>
      <c r="G129" s="168">
        <v>6.4457000000000004</v>
      </c>
      <c r="H129" s="168">
        <v>4.0942999999999996</v>
      </c>
      <c r="I129" s="167">
        <v>56095</v>
      </c>
      <c r="J129" s="168">
        <v>10.934799999999999</v>
      </c>
      <c r="K129" s="169">
        <v>9.67</v>
      </c>
      <c r="L129" s="170">
        <v>0</v>
      </c>
      <c r="M129" s="170">
        <v>0</v>
      </c>
      <c r="N129" s="168">
        <v>385.49990000000003</v>
      </c>
      <c r="O129" s="167">
        <v>2570160</v>
      </c>
    </row>
    <row r="130" spans="2:15" ht="12.75" customHeight="1" x14ac:dyDescent="0.35">
      <c r="B130" s="157" t="s">
        <v>21</v>
      </c>
      <c r="C130" s="158">
        <v>2011</v>
      </c>
      <c r="D130" s="159">
        <v>27.2</v>
      </c>
      <c r="E130" s="159">
        <v>6.02</v>
      </c>
      <c r="F130" s="160">
        <v>538</v>
      </c>
      <c r="G130" s="161">
        <v>6.5652999999999997</v>
      </c>
      <c r="H130" s="161">
        <v>5.0561999999999996</v>
      </c>
      <c r="I130" s="160">
        <v>59222</v>
      </c>
      <c r="J130" s="161">
        <v>10.989000000000001</v>
      </c>
      <c r="K130" s="162">
        <v>7.88</v>
      </c>
      <c r="L130" s="163">
        <v>0</v>
      </c>
      <c r="M130" s="163">
        <v>0</v>
      </c>
      <c r="N130" s="161">
        <v>385.49990000000003</v>
      </c>
      <c r="O130" s="160">
        <v>2609998</v>
      </c>
    </row>
    <row r="131" spans="2:15" ht="12.75" customHeight="1" x14ac:dyDescent="0.35">
      <c r="B131" s="164" t="s">
        <v>21</v>
      </c>
      <c r="C131" s="165">
        <v>2012</v>
      </c>
      <c r="D131" s="166">
        <v>29.68</v>
      </c>
      <c r="E131" s="166">
        <v>4.1500000000000004</v>
      </c>
      <c r="F131" s="167">
        <v>648</v>
      </c>
      <c r="G131" s="168">
        <v>6.6669999999999998</v>
      </c>
      <c r="H131" s="168">
        <v>4.7004999999999999</v>
      </c>
      <c r="I131" s="167">
        <v>61959</v>
      </c>
      <c r="J131" s="168">
        <v>11.0342</v>
      </c>
      <c r="K131" s="169">
        <v>8.39</v>
      </c>
      <c r="L131" s="170">
        <v>0</v>
      </c>
      <c r="M131" s="170">
        <v>0</v>
      </c>
      <c r="N131" s="168">
        <v>385.49990000000003</v>
      </c>
      <c r="O131" s="167">
        <v>2648532</v>
      </c>
    </row>
    <row r="132" spans="2:15" ht="12.75" customHeight="1" x14ac:dyDescent="0.35">
      <c r="B132" s="157" t="s">
        <v>21</v>
      </c>
      <c r="C132" s="158">
        <v>2013</v>
      </c>
      <c r="D132" s="159">
        <v>23.51</v>
      </c>
      <c r="E132" s="159">
        <v>2.4700000000000002</v>
      </c>
      <c r="F132" s="160">
        <v>717</v>
      </c>
      <c r="G132" s="161">
        <v>6.4862000000000002</v>
      </c>
      <c r="H132" s="161">
        <v>4.2340999999999998</v>
      </c>
      <c r="I132" s="160">
        <v>63054</v>
      </c>
      <c r="J132" s="161">
        <v>11.0517</v>
      </c>
      <c r="K132" s="162">
        <v>9.32</v>
      </c>
      <c r="L132" s="163">
        <v>0</v>
      </c>
      <c r="M132" s="163">
        <v>0</v>
      </c>
      <c r="N132" s="161">
        <v>385.49990000000003</v>
      </c>
      <c r="O132" s="160">
        <v>2789761</v>
      </c>
    </row>
    <row r="133" spans="2:15" ht="12.75" customHeight="1" x14ac:dyDescent="0.35">
      <c r="B133" s="164" t="s">
        <v>21</v>
      </c>
      <c r="C133" s="165">
        <v>2014</v>
      </c>
      <c r="D133" s="166">
        <v>24.75</v>
      </c>
      <c r="E133" s="166">
        <v>1.65</v>
      </c>
      <c r="F133" s="167">
        <v>764</v>
      </c>
      <c r="G133" s="168">
        <v>6.5595999999999997</v>
      </c>
      <c r="H133" s="168">
        <v>3.8500999999999999</v>
      </c>
      <c r="I133" s="167">
        <v>69217</v>
      </c>
      <c r="J133" s="168">
        <v>11.145</v>
      </c>
      <c r="K133" s="169">
        <v>9.48</v>
      </c>
      <c r="L133" s="170">
        <v>0</v>
      </c>
      <c r="M133" s="170">
        <v>0</v>
      </c>
      <c r="N133" s="168">
        <v>385.49990000000003</v>
      </c>
      <c r="O133" s="167">
        <v>2852372</v>
      </c>
    </row>
    <row r="134" spans="2:15" ht="12.75" customHeight="1" x14ac:dyDescent="0.35">
      <c r="B134" s="157" t="s">
        <v>21</v>
      </c>
      <c r="C134" s="158">
        <v>2015</v>
      </c>
      <c r="D134" s="159">
        <v>18.350000000000001</v>
      </c>
      <c r="E134" s="159">
        <v>1.65</v>
      </c>
      <c r="F134" s="160">
        <v>812</v>
      </c>
      <c r="G134" s="161">
        <v>6.2823000000000002</v>
      </c>
      <c r="H134" s="161">
        <v>3.8712</v>
      </c>
      <c r="I134" s="160">
        <v>73971</v>
      </c>
      <c r="J134" s="161">
        <v>11.211399999999999</v>
      </c>
      <c r="K134" s="162">
        <v>10.199999999999999</v>
      </c>
      <c r="L134" s="163">
        <v>0</v>
      </c>
      <c r="M134" s="163">
        <v>0</v>
      </c>
      <c r="N134" s="161">
        <v>385.49990000000003</v>
      </c>
      <c r="O134" s="160">
        <v>2914830</v>
      </c>
    </row>
    <row r="135" spans="2:15" ht="12.75" customHeight="1" x14ac:dyDescent="0.35">
      <c r="B135" s="171" t="s">
        <v>21</v>
      </c>
      <c r="C135" s="172">
        <v>2016</v>
      </c>
      <c r="D135" s="173">
        <v>18.170000000000002</v>
      </c>
      <c r="E135" s="173">
        <v>6.35</v>
      </c>
      <c r="F135" s="174">
        <v>1001</v>
      </c>
      <c r="G135" s="175">
        <v>6.2934000000000001</v>
      </c>
      <c r="H135" s="175">
        <v>5.2416999999999998</v>
      </c>
      <c r="I135" s="174">
        <v>79114</v>
      </c>
      <c r="J135" s="175">
        <v>11.278600000000001</v>
      </c>
      <c r="K135" s="176">
        <v>12.1</v>
      </c>
      <c r="L135" s="177">
        <v>0</v>
      </c>
      <c r="M135" s="177">
        <v>0</v>
      </c>
      <c r="N135" s="175">
        <v>385.49990000000003</v>
      </c>
      <c r="O135" s="174">
        <v>2977216</v>
      </c>
    </row>
    <row r="136" spans="2:15" ht="12.75" customHeight="1" x14ac:dyDescent="0.35">
      <c r="B136" s="178" t="s">
        <v>21</v>
      </c>
      <c r="C136" s="179">
        <v>2017</v>
      </c>
      <c r="D136" s="180">
        <v>13.32</v>
      </c>
      <c r="E136" s="180">
        <v>10.5</v>
      </c>
      <c r="F136" s="181">
        <v>1320</v>
      </c>
      <c r="G136" s="182">
        <v>6.0038999999999998</v>
      </c>
      <c r="H136" s="182">
        <v>5.7652000000000001</v>
      </c>
      <c r="I136" s="181">
        <v>80515</v>
      </c>
      <c r="J136" s="182">
        <v>11.296200000000001</v>
      </c>
      <c r="K136" s="183">
        <v>13.3</v>
      </c>
      <c r="L136" s="184">
        <v>0</v>
      </c>
      <c r="M136" s="184">
        <v>0</v>
      </c>
      <c r="N136" s="182">
        <v>385.49990000000003</v>
      </c>
      <c r="O136" s="181">
        <v>3039444</v>
      </c>
    </row>
    <row r="137" spans="2:15" ht="12.75" customHeight="1" x14ac:dyDescent="0.35">
      <c r="B137" s="171" t="s">
        <v>21</v>
      </c>
      <c r="C137" s="172">
        <v>2018</v>
      </c>
      <c r="D137" s="173">
        <v>11.43</v>
      </c>
      <c r="E137" s="173">
        <v>16.809999999999999</v>
      </c>
      <c r="F137" s="174">
        <v>1820</v>
      </c>
      <c r="G137" s="175">
        <v>5.8289</v>
      </c>
      <c r="H137" s="175">
        <v>6.2145999999999999</v>
      </c>
      <c r="I137" s="174">
        <v>85661</v>
      </c>
      <c r="J137" s="175">
        <v>11.3582</v>
      </c>
      <c r="K137" s="176">
        <v>12.8</v>
      </c>
      <c r="L137" s="177">
        <v>0</v>
      </c>
      <c r="M137" s="177">
        <v>0</v>
      </c>
      <c r="N137" s="175">
        <v>385.49990000000003</v>
      </c>
      <c r="O137" s="174">
        <v>2974703</v>
      </c>
    </row>
    <row r="138" spans="2:15" ht="12.75" customHeight="1" x14ac:dyDescent="0.35">
      <c r="B138" s="178" t="s">
        <v>21</v>
      </c>
      <c r="C138" s="179">
        <v>2019</v>
      </c>
      <c r="D138" s="180">
        <v>8.85</v>
      </c>
      <c r="E138" s="180">
        <v>82.35</v>
      </c>
      <c r="F138" s="181">
        <v>4303</v>
      </c>
      <c r="G138" s="182">
        <v>5.5872000000000002</v>
      </c>
      <c r="H138" s="182">
        <v>7.8171999999999997</v>
      </c>
      <c r="I138" s="181">
        <v>90743</v>
      </c>
      <c r="J138" s="182">
        <v>11.415800000000001</v>
      </c>
      <c r="K138" s="183">
        <v>13.4</v>
      </c>
      <c r="L138" s="184">
        <v>0</v>
      </c>
      <c r="M138" s="184">
        <v>0</v>
      </c>
      <c r="N138" s="182">
        <v>385.49990000000003</v>
      </c>
      <c r="O138" s="181">
        <v>3015268</v>
      </c>
    </row>
    <row r="139" spans="2:15" ht="12.75" customHeight="1" x14ac:dyDescent="0.35">
      <c r="B139" s="171" t="s">
        <v>21</v>
      </c>
      <c r="C139" s="172">
        <v>2020</v>
      </c>
      <c r="D139" s="173">
        <v>8.2799999999999994</v>
      </c>
      <c r="E139" s="173">
        <v>165.13</v>
      </c>
      <c r="F139" s="174">
        <v>9348</v>
      </c>
      <c r="G139" s="175">
        <v>5.5334000000000003</v>
      </c>
      <c r="H139" s="175">
        <v>8.5261999999999993</v>
      </c>
      <c r="I139" s="174">
        <v>87016</v>
      </c>
      <c r="J139" s="175">
        <v>11.373799999999999</v>
      </c>
      <c r="K139" s="176">
        <v>14.8</v>
      </c>
      <c r="L139" s="177">
        <v>0</v>
      </c>
      <c r="M139" s="177">
        <v>1</v>
      </c>
      <c r="N139" s="175">
        <v>385.49990000000003</v>
      </c>
      <c r="O139" s="174">
        <v>3055149</v>
      </c>
    </row>
    <row r="140" spans="2:15" ht="12.75" customHeight="1" x14ac:dyDescent="0.35">
      <c r="B140" s="178" t="s">
        <v>21</v>
      </c>
      <c r="C140" s="179">
        <v>2021</v>
      </c>
      <c r="D140" s="180">
        <v>6.24</v>
      </c>
      <c r="E140" s="180">
        <v>267.88</v>
      </c>
      <c r="F140" s="181">
        <v>17637</v>
      </c>
      <c r="G140" s="182">
        <v>5.2626999999999997</v>
      </c>
      <c r="H140" s="182">
        <v>9.0227000000000004</v>
      </c>
      <c r="I140" s="181">
        <v>92732</v>
      </c>
      <c r="J140" s="182">
        <v>11.4375</v>
      </c>
      <c r="K140" s="183">
        <v>14</v>
      </c>
      <c r="L140" s="184">
        <v>0</v>
      </c>
      <c r="M140" s="184">
        <v>1</v>
      </c>
      <c r="N140" s="182">
        <v>385.49990000000003</v>
      </c>
      <c r="O140" s="181">
        <v>3094325</v>
      </c>
    </row>
    <row r="141" spans="2:15" ht="12.75" customHeight="1" x14ac:dyDescent="0.35">
      <c r="B141" s="171" t="s">
        <v>21</v>
      </c>
      <c r="C141" s="172">
        <v>2022</v>
      </c>
      <c r="D141" s="173">
        <v>6.35</v>
      </c>
      <c r="E141" s="173">
        <v>385.5</v>
      </c>
      <c r="F141" s="174">
        <v>28498</v>
      </c>
      <c r="G141" s="175">
        <v>5.1874000000000002</v>
      </c>
      <c r="H141" s="175">
        <v>9.2928999999999995</v>
      </c>
      <c r="I141" s="174">
        <v>116700</v>
      </c>
      <c r="J141" s="175">
        <v>11.667400000000001</v>
      </c>
      <c r="K141" s="176">
        <v>11.4</v>
      </c>
      <c r="L141" s="177">
        <v>0</v>
      </c>
      <c r="M141" s="177">
        <v>0</v>
      </c>
      <c r="N141" s="175">
        <v>385.49990000000003</v>
      </c>
      <c r="O141" s="174">
        <v>2817381</v>
      </c>
    </row>
    <row r="142" spans="2:15" ht="12.75" customHeight="1" x14ac:dyDescent="0.35">
      <c r="B142" s="178" t="s">
        <v>21</v>
      </c>
      <c r="C142" s="179">
        <v>2023</v>
      </c>
      <c r="D142" s="180">
        <v>4.6900000000000004</v>
      </c>
      <c r="E142" s="180">
        <v>0.64</v>
      </c>
      <c r="F142" s="181">
        <v>28516</v>
      </c>
      <c r="G142" s="182">
        <v>4.8827999999999996</v>
      </c>
      <c r="H142" s="182">
        <v>2.8904000000000001</v>
      </c>
      <c r="I142" s="181">
        <v>129790</v>
      </c>
      <c r="J142" s="182">
        <v>11.7737</v>
      </c>
      <c r="K142" s="183">
        <v>9.8000000000000007</v>
      </c>
      <c r="L142" s="184">
        <v>1</v>
      </c>
      <c r="M142" s="184">
        <v>0</v>
      </c>
      <c r="N142" s="182">
        <v>385.49990000000003</v>
      </c>
      <c r="O142" s="181">
        <v>2817381</v>
      </c>
    </row>
    <row r="143" spans="2:15" ht="12.75" customHeight="1" x14ac:dyDescent="0.35">
      <c r="B143" s="171" t="s">
        <v>21</v>
      </c>
      <c r="C143" s="172">
        <v>2024</v>
      </c>
      <c r="D143" s="173">
        <v>3.69</v>
      </c>
      <c r="E143" s="173">
        <v>38.49</v>
      </c>
      <c r="F143" s="174">
        <v>29664</v>
      </c>
      <c r="G143" s="175">
        <v>4.7004999999999999</v>
      </c>
      <c r="H143" s="175">
        <v>7.0457999999999998</v>
      </c>
      <c r="I143" s="174">
        <v>136149</v>
      </c>
      <c r="J143" s="175">
        <v>11.8215</v>
      </c>
      <c r="K143" s="176">
        <v>9.1999999999999993</v>
      </c>
      <c r="L143" s="177">
        <v>1</v>
      </c>
      <c r="M143" s="177">
        <v>0</v>
      </c>
      <c r="N143" s="175">
        <v>385.49990000000003</v>
      </c>
      <c r="O143" s="174">
        <v>2982818</v>
      </c>
    </row>
    <row r="144" spans="2:15" ht="12.75" customHeight="1" x14ac:dyDescent="0.35">
      <c r="B144" s="157" t="s">
        <v>22</v>
      </c>
      <c r="C144" s="158">
        <v>2005</v>
      </c>
      <c r="D144" s="159">
        <v>34.86</v>
      </c>
      <c r="E144" s="159">
        <v>1.1399999999999999</v>
      </c>
      <c r="F144" s="160">
        <v>39</v>
      </c>
      <c r="G144" s="161">
        <v>7.08</v>
      </c>
      <c r="H144" s="161">
        <v>3.6636000000000002</v>
      </c>
      <c r="I144" s="160">
        <v>13855</v>
      </c>
      <c r="J144" s="161">
        <v>9.5364000000000004</v>
      </c>
      <c r="K144" s="162">
        <v>10.33</v>
      </c>
      <c r="L144" s="163">
        <v>0</v>
      </c>
      <c r="M144" s="163">
        <v>0</v>
      </c>
      <c r="N144" s="161">
        <v>78.644400000000005</v>
      </c>
      <c r="O144" s="160">
        <v>3408365</v>
      </c>
    </row>
    <row r="145" spans="2:15" ht="12.75" customHeight="1" x14ac:dyDescent="0.35">
      <c r="B145" s="164" t="s">
        <v>22</v>
      </c>
      <c r="C145" s="165">
        <v>2006</v>
      </c>
      <c r="D145" s="166">
        <v>37.5</v>
      </c>
      <c r="E145" s="166">
        <v>0.84</v>
      </c>
      <c r="F145" s="167">
        <v>68</v>
      </c>
      <c r="G145" s="168">
        <v>7.1694000000000004</v>
      </c>
      <c r="H145" s="168">
        <v>3.3673000000000002</v>
      </c>
      <c r="I145" s="167">
        <v>15235</v>
      </c>
      <c r="J145" s="168">
        <v>9.6313999999999993</v>
      </c>
      <c r="K145" s="169">
        <v>7.5</v>
      </c>
      <c r="L145" s="170">
        <v>0</v>
      </c>
      <c r="M145" s="170">
        <v>0</v>
      </c>
      <c r="N145" s="168">
        <v>78.644400000000005</v>
      </c>
      <c r="O145" s="167">
        <v>3464285</v>
      </c>
    </row>
    <row r="146" spans="2:15" ht="12.75" customHeight="1" x14ac:dyDescent="0.35">
      <c r="B146" s="157" t="s">
        <v>22</v>
      </c>
      <c r="C146" s="158">
        <v>2007</v>
      </c>
      <c r="D146" s="159">
        <v>40.93</v>
      </c>
      <c r="E146" s="159">
        <v>0.39</v>
      </c>
      <c r="F146" s="160">
        <v>81</v>
      </c>
      <c r="G146" s="161">
        <v>7.2240000000000002</v>
      </c>
      <c r="H146" s="161">
        <v>2.5649000000000002</v>
      </c>
      <c r="I146" s="160">
        <v>18003</v>
      </c>
      <c r="J146" s="161">
        <v>9.7982999999999993</v>
      </c>
      <c r="K146" s="162">
        <v>10.81</v>
      </c>
      <c r="L146" s="163">
        <v>0</v>
      </c>
      <c r="M146" s="163">
        <v>0</v>
      </c>
      <c r="N146" s="161">
        <v>78.644400000000005</v>
      </c>
      <c r="O146" s="160">
        <v>3351669</v>
      </c>
    </row>
    <row r="147" spans="2:15" ht="12.75" customHeight="1" x14ac:dyDescent="0.35">
      <c r="B147" s="164" t="s">
        <v>22</v>
      </c>
      <c r="C147" s="165">
        <v>2008</v>
      </c>
      <c r="D147" s="166">
        <v>43.26</v>
      </c>
      <c r="E147" s="166">
        <v>0.55000000000000004</v>
      </c>
      <c r="F147" s="167">
        <v>100</v>
      </c>
      <c r="G147" s="168">
        <v>7.3091999999999997</v>
      </c>
      <c r="H147" s="168">
        <v>2.9443999999999999</v>
      </c>
      <c r="I147" s="167">
        <v>20231</v>
      </c>
      <c r="J147" s="168">
        <v>9.9149999999999991</v>
      </c>
      <c r="K147" s="169">
        <v>6.24</v>
      </c>
      <c r="L147" s="170">
        <v>0</v>
      </c>
      <c r="M147" s="170">
        <v>0</v>
      </c>
      <c r="N147" s="168">
        <v>78.644400000000005</v>
      </c>
      <c r="O147" s="167">
        <v>3453646</v>
      </c>
    </row>
    <row r="148" spans="2:15" ht="12.75" customHeight="1" x14ac:dyDescent="0.35">
      <c r="B148" s="157" t="s">
        <v>22</v>
      </c>
      <c r="C148" s="158">
        <v>2009</v>
      </c>
      <c r="D148" s="159">
        <v>44.65</v>
      </c>
      <c r="E148" s="159">
        <v>0.46</v>
      </c>
      <c r="F148" s="160">
        <v>116</v>
      </c>
      <c r="G148" s="161">
        <v>7.3505000000000003</v>
      </c>
      <c r="H148" s="161">
        <v>2.7726000000000002</v>
      </c>
      <c r="I148" s="160">
        <v>19145</v>
      </c>
      <c r="J148" s="161">
        <v>9.8597999999999999</v>
      </c>
      <c r="K148" s="162">
        <v>8.48</v>
      </c>
      <c r="L148" s="163">
        <v>0</v>
      </c>
      <c r="M148" s="163">
        <v>0</v>
      </c>
      <c r="N148" s="161">
        <v>78.644400000000005</v>
      </c>
      <c r="O148" s="160">
        <v>3487199</v>
      </c>
    </row>
    <row r="149" spans="2:15" ht="12.75" customHeight="1" x14ac:dyDescent="0.35">
      <c r="B149" s="164" t="s">
        <v>22</v>
      </c>
      <c r="C149" s="165">
        <v>2010</v>
      </c>
      <c r="D149" s="166">
        <v>38.659999999999997</v>
      </c>
      <c r="E149" s="166">
        <v>0.54</v>
      </c>
      <c r="F149" s="167">
        <v>135</v>
      </c>
      <c r="G149" s="168">
        <v>7.2145000000000001</v>
      </c>
      <c r="H149" s="168">
        <v>2.9443999999999999</v>
      </c>
      <c r="I149" s="167">
        <v>24271</v>
      </c>
      <c r="J149" s="168">
        <v>10.097</v>
      </c>
      <c r="K149" s="169">
        <v>8.2200000000000006</v>
      </c>
      <c r="L149" s="170">
        <v>0</v>
      </c>
      <c r="M149" s="170">
        <v>0</v>
      </c>
      <c r="N149" s="168">
        <v>78.644400000000005</v>
      </c>
      <c r="O149" s="167">
        <v>3514952</v>
      </c>
    </row>
    <row r="150" spans="2:15" ht="12.75" customHeight="1" x14ac:dyDescent="0.35">
      <c r="B150" s="157" t="s">
        <v>22</v>
      </c>
      <c r="C150" s="158">
        <v>2011</v>
      </c>
      <c r="D150" s="159">
        <v>38.29</v>
      </c>
      <c r="E150" s="159">
        <v>1.3</v>
      </c>
      <c r="F150" s="160">
        <v>181</v>
      </c>
      <c r="G150" s="161">
        <v>7.2138</v>
      </c>
      <c r="H150" s="161">
        <v>3.8285999999999998</v>
      </c>
      <c r="I150" s="160">
        <v>29877</v>
      </c>
      <c r="J150" s="161">
        <v>10.3048</v>
      </c>
      <c r="K150" s="162">
        <v>7.97</v>
      </c>
      <c r="L150" s="163">
        <v>0</v>
      </c>
      <c r="M150" s="163">
        <v>0</v>
      </c>
      <c r="N150" s="161">
        <v>78.644400000000005</v>
      </c>
      <c r="O150" s="160">
        <v>3547055</v>
      </c>
    </row>
    <row r="151" spans="2:15" ht="12.75" customHeight="1" x14ac:dyDescent="0.35">
      <c r="B151" s="164" t="s">
        <v>22</v>
      </c>
      <c r="C151" s="165">
        <v>2012</v>
      </c>
      <c r="D151" s="166">
        <v>37.729999999999997</v>
      </c>
      <c r="E151" s="166">
        <v>1.03</v>
      </c>
      <c r="F151" s="167">
        <v>218</v>
      </c>
      <c r="G151" s="168">
        <v>7.2079000000000004</v>
      </c>
      <c r="H151" s="168">
        <v>3.6109</v>
      </c>
      <c r="I151" s="167">
        <v>32657</v>
      </c>
      <c r="J151" s="168">
        <v>10.393800000000001</v>
      </c>
      <c r="K151" s="169">
        <v>5.78</v>
      </c>
      <c r="L151" s="170">
        <v>0</v>
      </c>
      <c r="M151" s="170">
        <v>0</v>
      </c>
      <c r="N151" s="168">
        <v>78.644400000000005</v>
      </c>
      <c r="O151" s="167">
        <v>3578067</v>
      </c>
    </row>
    <row r="152" spans="2:15" ht="12.75" customHeight="1" x14ac:dyDescent="0.35">
      <c r="B152" s="157" t="s">
        <v>22</v>
      </c>
      <c r="C152" s="158">
        <v>2013</v>
      </c>
      <c r="D152" s="159">
        <v>33.57</v>
      </c>
      <c r="E152" s="159">
        <v>0.63</v>
      </c>
      <c r="F152" s="160">
        <v>242</v>
      </c>
      <c r="G152" s="161">
        <v>7.1616</v>
      </c>
      <c r="H152" s="161">
        <v>3.1781000000000001</v>
      </c>
      <c r="I152" s="160">
        <v>30545</v>
      </c>
      <c r="J152" s="161">
        <v>10.327</v>
      </c>
      <c r="K152" s="162">
        <v>6.19</v>
      </c>
      <c r="L152" s="163">
        <v>0</v>
      </c>
      <c r="M152" s="163">
        <v>0</v>
      </c>
      <c r="N152" s="161">
        <v>78.644400000000005</v>
      </c>
      <c r="O152" s="160">
        <v>3839366</v>
      </c>
    </row>
    <row r="153" spans="2:15" ht="12.75" customHeight="1" x14ac:dyDescent="0.35">
      <c r="B153" s="164" t="s">
        <v>22</v>
      </c>
      <c r="C153" s="165">
        <v>2014</v>
      </c>
      <c r="D153" s="166">
        <v>33.229999999999997</v>
      </c>
      <c r="E153" s="166">
        <v>0.21</v>
      </c>
      <c r="F153" s="167">
        <v>250</v>
      </c>
      <c r="G153" s="168">
        <v>7.1631999999999998</v>
      </c>
      <c r="H153" s="168">
        <v>2.0794000000000001</v>
      </c>
      <c r="I153" s="167">
        <v>33149</v>
      </c>
      <c r="J153" s="168">
        <v>10.408799999999999</v>
      </c>
      <c r="K153" s="169">
        <v>7.14</v>
      </c>
      <c r="L153" s="170">
        <v>0</v>
      </c>
      <c r="M153" s="170">
        <v>0</v>
      </c>
      <c r="N153" s="168">
        <v>78.644400000000005</v>
      </c>
      <c r="O153" s="167">
        <v>3885049</v>
      </c>
    </row>
    <row r="154" spans="2:15" ht="12.75" customHeight="1" x14ac:dyDescent="0.35">
      <c r="B154" s="157" t="s">
        <v>22</v>
      </c>
      <c r="C154" s="158">
        <v>2015</v>
      </c>
      <c r="D154" s="159">
        <v>27.99</v>
      </c>
      <c r="E154" s="159">
        <v>0.61</v>
      </c>
      <c r="F154" s="160">
        <v>274</v>
      </c>
      <c r="G154" s="161">
        <v>7.0030999999999999</v>
      </c>
      <c r="H154" s="161">
        <v>3.1781000000000001</v>
      </c>
      <c r="I154" s="160">
        <v>30628</v>
      </c>
      <c r="J154" s="161">
        <v>10.329700000000001</v>
      </c>
      <c r="K154" s="162">
        <v>7.8</v>
      </c>
      <c r="L154" s="163">
        <v>0</v>
      </c>
      <c r="M154" s="163">
        <v>0</v>
      </c>
      <c r="N154" s="161">
        <v>78.644400000000005</v>
      </c>
      <c r="O154" s="160">
        <v>3929911</v>
      </c>
    </row>
    <row r="155" spans="2:15" ht="12.75" customHeight="1" x14ac:dyDescent="0.35">
      <c r="B155" s="171" t="s">
        <v>22</v>
      </c>
      <c r="C155" s="172">
        <v>2016</v>
      </c>
      <c r="D155" s="173">
        <v>24.28</v>
      </c>
      <c r="E155" s="173">
        <v>1.01</v>
      </c>
      <c r="F155" s="174">
        <v>314</v>
      </c>
      <c r="G155" s="175">
        <v>6.8720999999999997</v>
      </c>
      <c r="H155" s="175">
        <v>3.6888999999999998</v>
      </c>
      <c r="I155" s="174">
        <v>27497</v>
      </c>
      <c r="J155" s="175">
        <v>10.2218</v>
      </c>
      <c r="K155" s="176">
        <v>12.4</v>
      </c>
      <c r="L155" s="177">
        <v>0</v>
      </c>
      <c r="M155" s="177">
        <v>0</v>
      </c>
      <c r="N155" s="175">
        <v>78.644400000000005</v>
      </c>
      <c r="O155" s="174">
        <v>3973697</v>
      </c>
    </row>
    <row r="156" spans="2:15" ht="12.75" customHeight="1" x14ac:dyDescent="0.35">
      <c r="B156" s="178" t="s">
        <v>22</v>
      </c>
      <c r="C156" s="179">
        <v>2017</v>
      </c>
      <c r="D156" s="180">
        <v>30.72</v>
      </c>
      <c r="E156" s="180">
        <v>3.36</v>
      </c>
      <c r="F156" s="181">
        <v>449</v>
      </c>
      <c r="G156" s="182">
        <v>7.1180000000000003</v>
      </c>
      <c r="H156" s="182">
        <v>4.9053000000000004</v>
      </c>
      <c r="I156" s="181">
        <v>28235</v>
      </c>
      <c r="J156" s="182">
        <v>10.2483</v>
      </c>
      <c r="K156" s="183">
        <v>13.3</v>
      </c>
      <c r="L156" s="184">
        <v>0</v>
      </c>
      <c r="M156" s="184">
        <v>0</v>
      </c>
      <c r="N156" s="182">
        <v>78.644400000000005</v>
      </c>
      <c r="O156" s="181">
        <v>4016356</v>
      </c>
    </row>
    <row r="157" spans="2:15" ht="12.75" customHeight="1" x14ac:dyDescent="0.35">
      <c r="B157" s="171" t="s">
        <v>22</v>
      </c>
      <c r="C157" s="172">
        <v>2018</v>
      </c>
      <c r="D157" s="173">
        <v>22.28</v>
      </c>
      <c r="E157" s="173">
        <v>8.08</v>
      </c>
      <c r="F157" s="174">
        <v>770</v>
      </c>
      <c r="G157" s="175">
        <v>6.7855999999999996</v>
      </c>
      <c r="H157" s="175">
        <v>5.7713999999999999</v>
      </c>
      <c r="I157" s="174">
        <v>34493</v>
      </c>
      <c r="J157" s="175">
        <v>10.448499999999999</v>
      </c>
      <c r="K157" s="176">
        <v>11.7</v>
      </c>
      <c r="L157" s="177">
        <v>0</v>
      </c>
      <c r="M157" s="177">
        <v>0</v>
      </c>
      <c r="N157" s="175">
        <v>78.644400000000005</v>
      </c>
      <c r="O157" s="174">
        <v>3972388</v>
      </c>
    </row>
    <row r="158" spans="2:15" ht="12.75" customHeight="1" x14ac:dyDescent="0.35">
      <c r="B158" s="178" t="s">
        <v>22</v>
      </c>
      <c r="C158" s="179">
        <v>2019</v>
      </c>
      <c r="D158" s="180">
        <v>19.329999999999998</v>
      </c>
      <c r="E158" s="180">
        <v>16.37</v>
      </c>
      <c r="F158" s="181">
        <v>1428</v>
      </c>
      <c r="G158" s="182">
        <v>6.6554000000000002</v>
      </c>
      <c r="H158" s="182">
        <v>6.4892000000000003</v>
      </c>
      <c r="I158" s="181">
        <v>34177</v>
      </c>
      <c r="J158" s="182">
        <v>10.439299999999999</v>
      </c>
      <c r="K158" s="183">
        <v>11.2</v>
      </c>
      <c r="L158" s="184">
        <v>0</v>
      </c>
      <c r="M158" s="184">
        <v>0</v>
      </c>
      <c r="N158" s="182">
        <v>78.644400000000005</v>
      </c>
      <c r="O158" s="181">
        <v>4018650</v>
      </c>
    </row>
    <row r="159" spans="2:15" ht="12.75" customHeight="1" x14ac:dyDescent="0.35">
      <c r="B159" s="171" t="s">
        <v>22</v>
      </c>
      <c r="C159" s="172">
        <v>2020</v>
      </c>
      <c r="D159" s="173">
        <v>22.98</v>
      </c>
      <c r="E159" s="173">
        <v>18.45</v>
      </c>
      <c r="F159" s="174">
        <v>2178</v>
      </c>
      <c r="G159" s="175">
        <v>6.8395000000000001</v>
      </c>
      <c r="H159" s="175">
        <v>6.6200999999999999</v>
      </c>
      <c r="I159" s="174">
        <v>34066</v>
      </c>
      <c r="J159" s="175">
        <v>10.4361</v>
      </c>
      <c r="K159" s="176">
        <v>12.9</v>
      </c>
      <c r="L159" s="177">
        <v>0</v>
      </c>
      <c r="M159" s="177">
        <v>1</v>
      </c>
      <c r="N159" s="175">
        <v>78.644400000000005</v>
      </c>
      <c r="O159" s="174">
        <v>4064052</v>
      </c>
    </row>
    <row r="160" spans="2:15" ht="12.75" customHeight="1" x14ac:dyDescent="0.35">
      <c r="B160" s="178" t="s">
        <v>22</v>
      </c>
      <c r="C160" s="179">
        <v>2021</v>
      </c>
      <c r="D160" s="180">
        <v>22.1</v>
      </c>
      <c r="E160" s="180">
        <v>56.47</v>
      </c>
      <c r="F160" s="181">
        <v>4498</v>
      </c>
      <c r="G160" s="182">
        <v>6.8112000000000004</v>
      </c>
      <c r="H160" s="182">
        <v>7.7492999999999999</v>
      </c>
      <c r="I160" s="181">
        <v>45354</v>
      </c>
      <c r="J160" s="182">
        <v>10.722300000000001</v>
      </c>
      <c r="K160" s="183">
        <v>11.2</v>
      </c>
      <c r="L160" s="184">
        <v>0</v>
      </c>
      <c r="M160" s="184">
        <v>1</v>
      </c>
      <c r="N160" s="182">
        <v>78.644400000000005</v>
      </c>
      <c r="O160" s="181">
        <v>4108508</v>
      </c>
    </row>
    <row r="161" spans="2:15" ht="12.75" customHeight="1" x14ac:dyDescent="0.35">
      <c r="B161" s="171" t="s">
        <v>22</v>
      </c>
      <c r="C161" s="172">
        <v>2022</v>
      </c>
      <c r="D161" s="173">
        <v>22.43</v>
      </c>
      <c r="E161" s="173">
        <v>78.64</v>
      </c>
      <c r="F161" s="174">
        <v>7513</v>
      </c>
      <c r="G161" s="175">
        <v>6.7568999999999999</v>
      </c>
      <c r="H161" s="175">
        <v>8.0114000000000001</v>
      </c>
      <c r="I161" s="174">
        <v>47617</v>
      </c>
      <c r="J161" s="175">
        <v>10.770899999999999</v>
      </c>
      <c r="K161" s="176">
        <v>8</v>
      </c>
      <c r="L161" s="177">
        <v>0</v>
      </c>
      <c r="M161" s="177">
        <v>0</v>
      </c>
      <c r="N161" s="175">
        <v>78.644400000000005</v>
      </c>
      <c r="O161" s="174">
        <v>3833712</v>
      </c>
    </row>
    <row r="162" spans="2:15" ht="12.75" customHeight="1" x14ac:dyDescent="0.35">
      <c r="B162" s="178" t="s">
        <v>22</v>
      </c>
      <c r="C162" s="179">
        <v>2023</v>
      </c>
      <c r="D162" s="180">
        <v>21.96</v>
      </c>
      <c r="E162" s="180">
        <v>1.02</v>
      </c>
      <c r="F162" s="181">
        <v>7552</v>
      </c>
      <c r="G162" s="182">
        <v>6.7358000000000002</v>
      </c>
      <c r="H162" s="182">
        <v>3.6636000000000002</v>
      </c>
      <c r="I162" s="181">
        <v>54733</v>
      </c>
      <c r="J162" s="182">
        <v>10.9102</v>
      </c>
      <c r="K162" s="183">
        <v>6.1</v>
      </c>
      <c r="L162" s="184">
        <v>1</v>
      </c>
      <c r="M162" s="184">
        <v>0</v>
      </c>
      <c r="N162" s="182">
        <v>78.644400000000005</v>
      </c>
      <c r="O162" s="181">
        <v>3833712</v>
      </c>
    </row>
    <row r="163" spans="2:15" ht="12.75" customHeight="1" x14ac:dyDescent="0.35">
      <c r="B163" s="171" t="s">
        <v>22</v>
      </c>
      <c r="C163" s="172">
        <v>2024</v>
      </c>
      <c r="D163" s="173">
        <v>18.14</v>
      </c>
      <c r="E163" s="173">
        <v>12.55</v>
      </c>
      <c r="F163" s="174">
        <v>8067</v>
      </c>
      <c r="G163" s="175">
        <v>6.6120000000000001</v>
      </c>
      <c r="H163" s="175">
        <v>6.2442000000000002</v>
      </c>
      <c r="I163" s="174">
        <v>53393</v>
      </c>
      <c r="J163" s="175">
        <v>10.885400000000001</v>
      </c>
      <c r="K163" s="176">
        <v>4.7</v>
      </c>
      <c r="L163" s="177">
        <v>1</v>
      </c>
      <c r="M163" s="177">
        <v>0</v>
      </c>
      <c r="N163" s="175">
        <v>78.644400000000005</v>
      </c>
      <c r="O163" s="174">
        <v>4102129</v>
      </c>
    </row>
    <row r="164" spans="2:15" ht="12.75" customHeight="1" x14ac:dyDescent="0.35">
      <c r="B164" s="157" t="s">
        <v>23</v>
      </c>
      <c r="C164" s="158">
        <v>2005</v>
      </c>
      <c r="D164" s="159">
        <v>15.85</v>
      </c>
      <c r="E164" s="159">
        <v>0.8</v>
      </c>
      <c r="F164" s="160">
        <v>45</v>
      </c>
      <c r="G164" s="161">
        <v>6.7923</v>
      </c>
      <c r="H164" s="161">
        <v>3.8067000000000002</v>
      </c>
      <c r="I164" s="160">
        <v>8992</v>
      </c>
      <c r="J164" s="161">
        <v>9.1041000000000007</v>
      </c>
      <c r="K164" s="162">
        <v>9.81</v>
      </c>
      <c r="L164" s="163">
        <v>0</v>
      </c>
      <c r="M164" s="163">
        <v>0</v>
      </c>
      <c r="N164" s="161">
        <v>412.65530000000001</v>
      </c>
      <c r="O164" s="160">
        <v>5619917</v>
      </c>
    </row>
    <row r="165" spans="2:15" ht="12.75" customHeight="1" x14ac:dyDescent="0.35">
      <c r="B165" s="164" t="s">
        <v>23</v>
      </c>
      <c r="C165" s="165">
        <v>2006</v>
      </c>
      <c r="D165" s="166">
        <v>16.11</v>
      </c>
      <c r="E165" s="166">
        <v>0.54</v>
      </c>
      <c r="F165" s="167">
        <v>76</v>
      </c>
      <c r="G165" s="168">
        <v>6.8276000000000003</v>
      </c>
      <c r="H165" s="168">
        <v>3.4340000000000002</v>
      </c>
      <c r="I165" s="167">
        <v>9956</v>
      </c>
      <c r="J165" s="168">
        <v>9.2058999999999997</v>
      </c>
      <c r="K165" s="169">
        <v>7.65</v>
      </c>
      <c r="L165" s="170">
        <v>0</v>
      </c>
      <c r="M165" s="170">
        <v>0</v>
      </c>
      <c r="N165" s="168">
        <v>412.65530000000001</v>
      </c>
      <c r="O165" s="167">
        <v>5730753</v>
      </c>
    </row>
    <row r="166" spans="2:15" ht="12.75" customHeight="1" x14ac:dyDescent="0.35">
      <c r="B166" s="157" t="s">
        <v>23</v>
      </c>
      <c r="C166" s="158">
        <v>2007</v>
      </c>
      <c r="D166" s="159">
        <v>16.73</v>
      </c>
      <c r="E166" s="159">
        <v>0.62</v>
      </c>
      <c r="F166" s="160">
        <v>111</v>
      </c>
      <c r="G166" s="161">
        <v>6.8512000000000004</v>
      </c>
      <c r="H166" s="161">
        <v>3.5552999999999999</v>
      </c>
      <c r="I166" s="160">
        <v>11548</v>
      </c>
      <c r="J166" s="161">
        <v>9.3543000000000003</v>
      </c>
      <c r="K166" s="162">
        <v>8.2200000000000006</v>
      </c>
      <c r="L166" s="163">
        <v>0</v>
      </c>
      <c r="M166" s="163">
        <v>0</v>
      </c>
      <c r="N166" s="161">
        <v>412.65530000000001</v>
      </c>
      <c r="O166" s="160">
        <v>5647035</v>
      </c>
    </row>
    <row r="167" spans="2:15" ht="12.75" customHeight="1" x14ac:dyDescent="0.35">
      <c r="B167" s="164" t="s">
        <v>23</v>
      </c>
      <c r="C167" s="165">
        <v>2008</v>
      </c>
      <c r="D167" s="166">
        <v>20.149999999999999</v>
      </c>
      <c r="E167" s="166">
        <v>0.92</v>
      </c>
      <c r="F167" s="167">
        <v>165</v>
      </c>
      <c r="G167" s="168">
        <v>7.0716000000000001</v>
      </c>
      <c r="H167" s="168">
        <v>3.9889999999999999</v>
      </c>
      <c r="I167" s="167">
        <v>12878</v>
      </c>
      <c r="J167" s="168">
        <v>9.4633000000000003</v>
      </c>
      <c r="K167" s="169">
        <v>7.22</v>
      </c>
      <c r="L167" s="170">
        <v>0</v>
      </c>
      <c r="M167" s="170">
        <v>0</v>
      </c>
      <c r="N167" s="168">
        <v>412.65530000000001</v>
      </c>
      <c r="O167" s="167">
        <v>5844995</v>
      </c>
    </row>
    <row r="168" spans="2:15" ht="12.75" customHeight="1" x14ac:dyDescent="0.35">
      <c r="B168" s="157" t="s">
        <v>23</v>
      </c>
      <c r="C168" s="158">
        <v>2009</v>
      </c>
      <c r="D168" s="159">
        <v>20.11</v>
      </c>
      <c r="E168" s="159">
        <v>0.84</v>
      </c>
      <c r="F168" s="160">
        <v>215</v>
      </c>
      <c r="G168" s="161">
        <v>7.0834000000000001</v>
      </c>
      <c r="H168" s="161">
        <v>3.9119999999999999</v>
      </c>
      <c r="I168" s="160">
        <v>14447</v>
      </c>
      <c r="J168" s="161">
        <v>9.5782000000000007</v>
      </c>
      <c r="K168" s="162">
        <v>8.51</v>
      </c>
      <c r="L168" s="163">
        <v>0</v>
      </c>
      <c r="M168" s="163">
        <v>0</v>
      </c>
      <c r="N168" s="161">
        <v>412.65530000000001</v>
      </c>
      <c r="O168" s="160">
        <v>5926300</v>
      </c>
    </row>
    <row r="169" spans="2:15" ht="12.75" customHeight="1" x14ac:dyDescent="0.35">
      <c r="B169" s="164" t="s">
        <v>23</v>
      </c>
      <c r="C169" s="165">
        <v>2010</v>
      </c>
      <c r="D169" s="166">
        <v>21.15</v>
      </c>
      <c r="E169" s="166">
        <v>1.03</v>
      </c>
      <c r="F169" s="167">
        <v>277</v>
      </c>
      <c r="G169" s="168">
        <v>7.1467999999999998</v>
      </c>
      <c r="H169" s="168">
        <v>4.1271000000000004</v>
      </c>
      <c r="I169" s="167">
        <v>17784</v>
      </c>
      <c r="J169" s="168">
        <v>9.7860999999999994</v>
      </c>
      <c r="K169" s="169">
        <v>6.72</v>
      </c>
      <c r="L169" s="170">
        <v>0</v>
      </c>
      <c r="M169" s="170">
        <v>0</v>
      </c>
      <c r="N169" s="168">
        <v>412.65530000000001</v>
      </c>
      <c r="O169" s="167">
        <v>6003788</v>
      </c>
    </row>
    <row r="170" spans="2:15" ht="12.75" customHeight="1" x14ac:dyDescent="0.35">
      <c r="B170" s="157" t="s">
        <v>23</v>
      </c>
      <c r="C170" s="158">
        <v>2011</v>
      </c>
      <c r="D170" s="159">
        <v>25.26</v>
      </c>
      <c r="E170" s="159">
        <v>1.6</v>
      </c>
      <c r="F170" s="160">
        <v>374</v>
      </c>
      <c r="G170" s="161">
        <v>7.3369</v>
      </c>
      <c r="H170" s="161">
        <v>4.5747</v>
      </c>
      <c r="I170" s="160">
        <v>19948</v>
      </c>
      <c r="J170" s="161">
        <v>9.9009</v>
      </c>
      <c r="K170" s="162">
        <v>4.9400000000000004</v>
      </c>
      <c r="L170" s="163">
        <v>0</v>
      </c>
      <c r="M170" s="163">
        <v>0</v>
      </c>
      <c r="N170" s="161">
        <v>412.65530000000001</v>
      </c>
      <c r="O170" s="160">
        <v>6080716</v>
      </c>
    </row>
    <row r="171" spans="2:15" ht="12.75" customHeight="1" x14ac:dyDescent="0.35">
      <c r="B171" s="164" t="s">
        <v>23</v>
      </c>
      <c r="C171" s="165">
        <v>2012</v>
      </c>
      <c r="D171" s="166">
        <v>30.9</v>
      </c>
      <c r="E171" s="166">
        <v>1.56</v>
      </c>
      <c r="F171" s="167">
        <v>470</v>
      </c>
      <c r="G171" s="168">
        <v>7.5507</v>
      </c>
      <c r="H171" s="168">
        <v>4.5643000000000002</v>
      </c>
      <c r="I171" s="167">
        <v>22544</v>
      </c>
      <c r="J171" s="168">
        <v>10.023199999999999</v>
      </c>
      <c r="K171" s="169">
        <v>4.92</v>
      </c>
      <c r="L171" s="170">
        <v>0</v>
      </c>
      <c r="M171" s="170">
        <v>0</v>
      </c>
      <c r="N171" s="168">
        <v>412.65530000000001</v>
      </c>
      <c r="O171" s="167">
        <v>6154996</v>
      </c>
    </row>
    <row r="172" spans="2:15" ht="12.75" customHeight="1" x14ac:dyDescent="0.35">
      <c r="B172" s="157" t="s">
        <v>23</v>
      </c>
      <c r="C172" s="158">
        <v>2013</v>
      </c>
      <c r="D172" s="159">
        <v>32.58</v>
      </c>
      <c r="E172" s="159">
        <v>1.1000000000000001</v>
      </c>
      <c r="F172" s="160">
        <v>541</v>
      </c>
      <c r="G172" s="161">
        <v>7.6478000000000002</v>
      </c>
      <c r="H172" s="161">
        <v>4.2626999999999997</v>
      </c>
      <c r="I172" s="160">
        <v>23516</v>
      </c>
      <c r="J172" s="161">
        <v>10.0654</v>
      </c>
      <c r="K172" s="162">
        <v>5.74</v>
      </c>
      <c r="L172" s="163">
        <v>0</v>
      </c>
      <c r="M172" s="163">
        <v>0</v>
      </c>
      <c r="N172" s="161">
        <v>412.65530000000001</v>
      </c>
      <c r="O172" s="160">
        <v>6434048</v>
      </c>
    </row>
    <row r="173" spans="2:15" ht="12.75" customHeight="1" x14ac:dyDescent="0.35">
      <c r="B173" s="164" t="s">
        <v>23</v>
      </c>
      <c r="C173" s="165">
        <v>2014</v>
      </c>
      <c r="D173" s="166">
        <v>30.55</v>
      </c>
      <c r="E173" s="166">
        <v>0.83</v>
      </c>
      <c r="F173" s="167">
        <v>595</v>
      </c>
      <c r="G173" s="168">
        <v>7.5974000000000004</v>
      </c>
      <c r="H173" s="168">
        <v>3.9889999999999999</v>
      </c>
      <c r="I173" s="167">
        <v>25297</v>
      </c>
      <c r="J173" s="168">
        <v>10.138400000000001</v>
      </c>
      <c r="K173" s="169">
        <v>5.17</v>
      </c>
      <c r="L173" s="170">
        <v>0</v>
      </c>
      <c r="M173" s="170">
        <v>0</v>
      </c>
      <c r="N173" s="168">
        <v>412.65530000000001</v>
      </c>
      <c r="O173" s="167">
        <v>6523222</v>
      </c>
    </row>
    <row r="174" spans="2:15" ht="12.75" customHeight="1" x14ac:dyDescent="0.35">
      <c r="B174" s="157" t="s">
        <v>23</v>
      </c>
      <c r="C174" s="158">
        <v>2015</v>
      </c>
      <c r="D174" s="159">
        <v>32.07</v>
      </c>
      <c r="E174" s="159">
        <v>0.26</v>
      </c>
      <c r="F174" s="160">
        <v>612</v>
      </c>
      <c r="G174" s="161">
        <v>7.6592000000000002</v>
      </c>
      <c r="H174" s="161">
        <v>2.8332000000000002</v>
      </c>
      <c r="I174" s="160">
        <v>26265</v>
      </c>
      <c r="J174" s="161">
        <v>10.176</v>
      </c>
      <c r="K174" s="162">
        <v>7.4</v>
      </c>
      <c r="L174" s="163">
        <v>0</v>
      </c>
      <c r="M174" s="163">
        <v>0</v>
      </c>
      <c r="N174" s="161">
        <v>412.65530000000001</v>
      </c>
      <c r="O174" s="160">
        <v>6610681</v>
      </c>
    </row>
    <row r="175" spans="2:15" ht="12.75" customHeight="1" x14ac:dyDescent="0.35">
      <c r="B175" s="171" t="s">
        <v>23</v>
      </c>
      <c r="C175" s="172">
        <v>2016</v>
      </c>
      <c r="D175" s="173">
        <v>31.86</v>
      </c>
      <c r="E175" s="173">
        <v>1.72</v>
      </c>
      <c r="F175" s="174">
        <v>727</v>
      </c>
      <c r="G175" s="175">
        <v>7.6653000000000002</v>
      </c>
      <c r="H175" s="175">
        <v>4.7449000000000003</v>
      </c>
      <c r="I175" s="174">
        <v>27145</v>
      </c>
      <c r="J175" s="175">
        <v>10.2089</v>
      </c>
      <c r="K175" s="176">
        <v>10.7</v>
      </c>
      <c r="L175" s="177">
        <v>0</v>
      </c>
      <c r="M175" s="177">
        <v>0</v>
      </c>
      <c r="N175" s="175">
        <v>412.65530000000001</v>
      </c>
      <c r="O175" s="174">
        <v>6695855</v>
      </c>
    </row>
    <row r="176" spans="2:15" ht="12.75" customHeight="1" x14ac:dyDescent="0.35">
      <c r="B176" s="178" t="s">
        <v>23</v>
      </c>
      <c r="C176" s="179">
        <v>2017</v>
      </c>
      <c r="D176" s="180">
        <v>30.39</v>
      </c>
      <c r="E176" s="180">
        <v>4.4400000000000004</v>
      </c>
      <c r="F176" s="181">
        <v>1028</v>
      </c>
      <c r="G176" s="182">
        <v>7.6304999999999996</v>
      </c>
      <c r="H176" s="182">
        <v>5.7070999999999996</v>
      </c>
      <c r="I176" s="181">
        <v>28316</v>
      </c>
      <c r="J176" s="182">
        <v>10.251200000000001</v>
      </c>
      <c r="K176" s="183">
        <v>10.7</v>
      </c>
      <c r="L176" s="184">
        <v>0</v>
      </c>
      <c r="M176" s="184">
        <v>0</v>
      </c>
      <c r="N176" s="182">
        <v>412.65530000000001</v>
      </c>
      <c r="O176" s="181">
        <v>6778772</v>
      </c>
    </row>
    <row r="177" spans="2:15" ht="12.75" customHeight="1" x14ac:dyDescent="0.35">
      <c r="B177" s="171" t="s">
        <v>23</v>
      </c>
      <c r="C177" s="172">
        <v>2018</v>
      </c>
      <c r="D177" s="173">
        <v>27.24</v>
      </c>
      <c r="E177" s="173">
        <v>8.58</v>
      </c>
      <c r="F177" s="174">
        <v>1622</v>
      </c>
      <c r="G177" s="175">
        <v>7.5416999999999996</v>
      </c>
      <c r="H177" s="175">
        <v>6.3868999999999998</v>
      </c>
      <c r="I177" s="174">
        <v>28273</v>
      </c>
      <c r="J177" s="175">
        <v>10.249700000000001</v>
      </c>
      <c r="K177" s="176">
        <v>9.3000000000000007</v>
      </c>
      <c r="L177" s="177">
        <v>0</v>
      </c>
      <c r="M177" s="177">
        <v>0</v>
      </c>
      <c r="N177" s="175">
        <v>412.65530000000001</v>
      </c>
      <c r="O177" s="174">
        <v>6921161</v>
      </c>
    </row>
    <row r="178" spans="2:15" ht="12.75" customHeight="1" x14ac:dyDescent="0.35">
      <c r="B178" s="178" t="s">
        <v>23</v>
      </c>
      <c r="C178" s="179">
        <v>2019</v>
      </c>
      <c r="D178" s="180">
        <v>21.03</v>
      </c>
      <c r="E178" s="180">
        <v>43.4</v>
      </c>
      <c r="F178" s="181">
        <v>4668</v>
      </c>
      <c r="G178" s="182">
        <v>7.2971000000000004</v>
      </c>
      <c r="H178" s="182">
        <v>8.0215999999999994</v>
      </c>
      <c r="I178" s="181">
        <v>29732</v>
      </c>
      <c r="J178" s="182">
        <v>10.3</v>
      </c>
      <c r="K178" s="183">
        <v>10.8</v>
      </c>
      <c r="L178" s="184">
        <v>0</v>
      </c>
      <c r="M178" s="184">
        <v>0</v>
      </c>
      <c r="N178" s="182">
        <v>412.65530000000001</v>
      </c>
      <c r="O178" s="181">
        <v>7018354</v>
      </c>
    </row>
    <row r="179" spans="2:15" ht="12.75" customHeight="1" x14ac:dyDescent="0.35">
      <c r="B179" s="171" t="s">
        <v>23</v>
      </c>
      <c r="C179" s="172">
        <v>2020</v>
      </c>
      <c r="D179" s="173">
        <v>19.86</v>
      </c>
      <c r="E179" s="173">
        <v>119.46</v>
      </c>
      <c r="F179" s="174">
        <v>13166</v>
      </c>
      <c r="G179" s="175">
        <v>7.2534999999999998</v>
      </c>
      <c r="H179" s="175">
        <v>9.0475999999999992</v>
      </c>
      <c r="I179" s="174">
        <v>31507</v>
      </c>
      <c r="J179" s="175">
        <v>10.358000000000001</v>
      </c>
      <c r="K179" s="176">
        <v>12.8</v>
      </c>
      <c r="L179" s="177">
        <v>0</v>
      </c>
      <c r="M179" s="177">
        <v>1</v>
      </c>
      <c r="N179" s="175">
        <v>412.65530000000001</v>
      </c>
      <c r="O179" s="174">
        <v>7113540</v>
      </c>
    </row>
    <row r="180" spans="2:15" ht="12.75" customHeight="1" x14ac:dyDescent="0.35">
      <c r="B180" s="178" t="s">
        <v>23</v>
      </c>
      <c r="C180" s="179">
        <v>2021</v>
      </c>
      <c r="D180" s="180">
        <v>14.11</v>
      </c>
      <c r="E180" s="180">
        <v>305.83</v>
      </c>
      <c r="F180" s="181">
        <v>35206</v>
      </c>
      <c r="G180" s="182">
        <v>6.9245999999999999</v>
      </c>
      <c r="H180" s="182">
        <v>10.0006</v>
      </c>
      <c r="I180" s="181">
        <v>37414</v>
      </c>
      <c r="J180" s="182">
        <v>10.5298</v>
      </c>
      <c r="K180" s="183">
        <v>11.3</v>
      </c>
      <c r="L180" s="184">
        <v>0</v>
      </c>
      <c r="M180" s="184">
        <v>1</v>
      </c>
      <c r="N180" s="182">
        <v>412.65530000000001</v>
      </c>
      <c r="O180" s="181">
        <v>7206589</v>
      </c>
    </row>
    <row r="181" spans="2:15" ht="12.75" customHeight="1" x14ac:dyDescent="0.35">
      <c r="B181" s="171" t="s">
        <v>23</v>
      </c>
      <c r="C181" s="172">
        <v>2022</v>
      </c>
      <c r="D181" s="173">
        <v>13.41</v>
      </c>
      <c r="E181" s="173">
        <v>412.66</v>
      </c>
      <c r="F181" s="174">
        <v>64325</v>
      </c>
      <c r="G181" s="175">
        <v>6.8521999999999998</v>
      </c>
      <c r="H181" s="175">
        <v>10.2791</v>
      </c>
      <c r="I181" s="174">
        <v>45148</v>
      </c>
      <c r="J181" s="175">
        <v>10.717700000000001</v>
      </c>
      <c r="K181" s="176">
        <v>7.2</v>
      </c>
      <c r="L181" s="177">
        <v>0</v>
      </c>
      <c r="M181" s="177">
        <v>0</v>
      </c>
      <c r="N181" s="175">
        <v>412.65530000000001</v>
      </c>
      <c r="O181" s="174">
        <v>7056495</v>
      </c>
    </row>
    <row r="182" spans="2:15" ht="12.75" customHeight="1" x14ac:dyDescent="0.35">
      <c r="B182" s="178" t="s">
        <v>23</v>
      </c>
      <c r="C182" s="179">
        <v>2023</v>
      </c>
      <c r="D182" s="180">
        <v>11.9</v>
      </c>
      <c r="E182" s="180">
        <v>0.74</v>
      </c>
      <c r="F182" s="181">
        <v>64377</v>
      </c>
      <c r="G182" s="182">
        <v>6.7333999999999996</v>
      </c>
      <c r="H182" s="182">
        <v>3.9512</v>
      </c>
      <c r="I182" s="181">
        <v>47722</v>
      </c>
      <c r="J182" s="182">
        <v>10.773099999999999</v>
      </c>
      <c r="K182" s="183">
        <v>6.2</v>
      </c>
      <c r="L182" s="184">
        <v>1</v>
      </c>
      <c r="M182" s="184">
        <v>0</v>
      </c>
      <c r="N182" s="182">
        <v>412.65530000000001</v>
      </c>
      <c r="O182" s="181">
        <v>7056495</v>
      </c>
    </row>
    <row r="183" spans="2:15" ht="12.75" customHeight="1" x14ac:dyDescent="0.35">
      <c r="B183" s="171" t="s">
        <v>23</v>
      </c>
      <c r="C183" s="172">
        <v>2024</v>
      </c>
      <c r="D183" s="173">
        <v>8.6300000000000008</v>
      </c>
      <c r="E183" s="173">
        <v>68.7</v>
      </c>
      <c r="F183" s="174">
        <v>69427</v>
      </c>
      <c r="G183" s="175">
        <v>6.452</v>
      </c>
      <c r="H183" s="175">
        <v>8.5271000000000008</v>
      </c>
      <c r="I183" s="174">
        <v>50470</v>
      </c>
      <c r="J183" s="175">
        <v>10.8291</v>
      </c>
      <c r="K183" s="176">
        <v>5.4</v>
      </c>
      <c r="L183" s="177">
        <v>1</v>
      </c>
      <c r="M183" s="177">
        <v>0</v>
      </c>
      <c r="N183" s="175">
        <v>412.65530000000001</v>
      </c>
      <c r="O183" s="174">
        <v>7350483</v>
      </c>
    </row>
    <row r="184" spans="2:15" ht="12.75" customHeight="1" x14ac:dyDescent="0.35">
      <c r="B184" s="157" t="s">
        <v>24</v>
      </c>
      <c r="C184" s="158">
        <v>2005</v>
      </c>
      <c r="D184" s="159">
        <v>7.73</v>
      </c>
      <c r="E184" s="159">
        <v>0.1</v>
      </c>
      <c r="F184" s="160">
        <v>6</v>
      </c>
      <c r="G184" s="161">
        <v>6.157</v>
      </c>
      <c r="H184" s="161">
        <v>1.7918000000000001</v>
      </c>
      <c r="I184" s="160">
        <v>4151</v>
      </c>
      <c r="J184" s="161">
        <v>8.3310999999999993</v>
      </c>
      <c r="K184" s="162">
        <v>7.53</v>
      </c>
      <c r="L184" s="163">
        <v>0</v>
      </c>
      <c r="M184" s="163">
        <v>0</v>
      </c>
      <c r="N184" s="161">
        <v>73.531400000000005</v>
      </c>
      <c r="O184" s="160">
        <v>6103327</v>
      </c>
    </row>
    <row r="185" spans="2:15" ht="12.75" customHeight="1" x14ac:dyDescent="0.35">
      <c r="B185" s="164" t="s">
        <v>24</v>
      </c>
      <c r="C185" s="165">
        <v>2006</v>
      </c>
      <c r="D185" s="166">
        <v>7.45</v>
      </c>
      <c r="E185" s="166">
        <v>0.1</v>
      </c>
      <c r="F185" s="167">
        <v>12</v>
      </c>
      <c r="G185" s="168">
        <v>6.1334</v>
      </c>
      <c r="H185" s="168">
        <v>1.7918000000000001</v>
      </c>
      <c r="I185" s="167">
        <v>4628</v>
      </c>
      <c r="J185" s="168">
        <v>8.4398999999999997</v>
      </c>
      <c r="K185" s="169">
        <v>8.4499999999999993</v>
      </c>
      <c r="L185" s="170">
        <v>0</v>
      </c>
      <c r="M185" s="170">
        <v>0</v>
      </c>
      <c r="N185" s="168">
        <v>73.531400000000005</v>
      </c>
      <c r="O185" s="167">
        <v>6184538</v>
      </c>
    </row>
    <row r="186" spans="2:15" ht="12.75" customHeight="1" x14ac:dyDescent="0.35">
      <c r="B186" s="157" t="s">
        <v>24</v>
      </c>
      <c r="C186" s="158">
        <v>2007</v>
      </c>
      <c r="D186" s="159">
        <v>9.56</v>
      </c>
      <c r="E186" s="159">
        <v>7.0000000000000007E-2</v>
      </c>
      <c r="F186" s="160">
        <v>16</v>
      </c>
      <c r="G186" s="161">
        <v>6.3715999999999999</v>
      </c>
      <c r="H186" s="161">
        <v>1.3863000000000001</v>
      </c>
      <c r="I186" s="160">
        <v>5165</v>
      </c>
      <c r="J186" s="161">
        <v>8.5496999999999996</v>
      </c>
      <c r="K186" s="162">
        <v>8.2899999999999991</v>
      </c>
      <c r="L186" s="163">
        <v>0</v>
      </c>
      <c r="M186" s="163">
        <v>0</v>
      </c>
      <c r="N186" s="161">
        <v>73.531400000000005</v>
      </c>
      <c r="O186" s="160">
        <v>6118995</v>
      </c>
    </row>
    <row r="187" spans="2:15" ht="12.75" customHeight="1" x14ac:dyDescent="0.35">
      <c r="B187" s="164" t="s">
        <v>24</v>
      </c>
      <c r="C187" s="165">
        <v>2008</v>
      </c>
      <c r="D187" s="166">
        <v>10.93</v>
      </c>
      <c r="E187" s="166">
        <v>0.13</v>
      </c>
      <c r="F187" s="167">
        <v>24</v>
      </c>
      <c r="G187" s="168">
        <v>6.5351999999999997</v>
      </c>
      <c r="H187" s="168">
        <v>2.0794000000000001</v>
      </c>
      <c r="I187" s="167">
        <v>6104</v>
      </c>
      <c r="J187" s="168">
        <v>8.7166999999999994</v>
      </c>
      <c r="K187" s="169">
        <v>6.69</v>
      </c>
      <c r="L187" s="170">
        <v>0</v>
      </c>
      <c r="M187" s="170">
        <v>0</v>
      </c>
      <c r="N187" s="168">
        <v>73.531400000000005</v>
      </c>
      <c r="O187" s="167">
        <v>6305537</v>
      </c>
    </row>
    <row r="188" spans="2:15" ht="12.75" customHeight="1" x14ac:dyDescent="0.35">
      <c r="B188" s="157" t="s">
        <v>24</v>
      </c>
      <c r="C188" s="158">
        <v>2009</v>
      </c>
      <c r="D188" s="159">
        <v>12.31</v>
      </c>
      <c r="E188" s="159">
        <v>0.11</v>
      </c>
      <c r="F188" s="160">
        <v>31</v>
      </c>
      <c r="G188" s="161">
        <v>6.6643999999999997</v>
      </c>
      <c r="H188" s="161">
        <v>1.9459</v>
      </c>
      <c r="I188" s="160">
        <v>6259</v>
      </c>
      <c r="J188" s="161">
        <v>8.7417999999999996</v>
      </c>
      <c r="K188" s="162">
        <v>8.36</v>
      </c>
      <c r="L188" s="163">
        <v>0</v>
      </c>
      <c r="M188" s="163">
        <v>0</v>
      </c>
      <c r="N188" s="161">
        <v>73.531400000000005</v>
      </c>
      <c r="O188" s="160">
        <v>6367138</v>
      </c>
    </row>
    <row r="189" spans="2:15" ht="12.75" customHeight="1" x14ac:dyDescent="0.35">
      <c r="B189" s="164" t="s">
        <v>24</v>
      </c>
      <c r="C189" s="165">
        <v>2010</v>
      </c>
      <c r="D189" s="166">
        <v>12.35</v>
      </c>
      <c r="E189" s="166">
        <v>0.18</v>
      </c>
      <c r="F189" s="167">
        <v>43</v>
      </c>
      <c r="G189" s="168">
        <v>6.6994999999999996</v>
      </c>
      <c r="H189" s="168">
        <v>2.4849000000000001</v>
      </c>
      <c r="I189" s="167">
        <v>7044</v>
      </c>
      <c r="J189" s="168">
        <v>8.8598999999999997</v>
      </c>
      <c r="K189" s="169">
        <v>8.24</v>
      </c>
      <c r="L189" s="170">
        <v>0</v>
      </c>
      <c r="M189" s="170">
        <v>0</v>
      </c>
      <c r="N189" s="168">
        <v>73.531400000000005</v>
      </c>
      <c r="O189" s="167">
        <v>6574789</v>
      </c>
    </row>
    <row r="190" spans="2:15" ht="12.75" customHeight="1" x14ac:dyDescent="0.35">
      <c r="B190" s="157" t="s">
        <v>24</v>
      </c>
      <c r="C190" s="158">
        <v>2011</v>
      </c>
      <c r="D190" s="159">
        <v>14.13</v>
      </c>
      <c r="E190" s="159">
        <v>0.35</v>
      </c>
      <c r="F190" s="160">
        <v>66</v>
      </c>
      <c r="G190" s="161">
        <v>6.8448000000000002</v>
      </c>
      <c r="H190" s="161">
        <v>3.1355</v>
      </c>
      <c r="I190" s="160">
        <v>7846</v>
      </c>
      <c r="J190" s="161">
        <v>8.9678000000000004</v>
      </c>
      <c r="K190" s="162">
        <v>8.1199999999999992</v>
      </c>
      <c r="L190" s="163">
        <v>0</v>
      </c>
      <c r="M190" s="163">
        <v>0</v>
      </c>
      <c r="N190" s="161">
        <v>73.531400000000005</v>
      </c>
      <c r="O190" s="160">
        <v>6645761</v>
      </c>
    </row>
    <row r="191" spans="2:15" ht="12.75" customHeight="1" x14ac:dyDescent="0.35">
      <c r="B191" s="164" t="s">
        <v>24</v>
      </c>
      <c r="C191" s="165">
        <v>2012</v>
      </c>
      <c r="D191" s="166">
        <v>17.010000000000002</v>
      </c>
      <c r="E191" s="166">
        <v>0.51</v>
      </c>
      <c r="F191" s="167">
        <v>100</v>
      </c>
      <c r="G191" s="168">
        <v>7.0404999999999998</v>
      </c>
      <c r="H191" s="168">
        <v>3.5264000000000002</v>
      </c>
      <c r="I191" s="167">
        <v>9009</v>
      </c>
      <c r="J191" s="168">
        <v>9.1059999999999999</v>
      </c>
      <c r="K191" s="169">
        <v>6.83</v>
      </c>
      <c r="L191" s="170">
        <v>0</v>
      </c>
      <c r="M191" s="170">
        <v>0</v>
      </c>
      <c r="N191" s="168">
        <v>73.531400000000005</v>
      </c>
      <c r="O191" s="167">
        <v>6714314</v>
      </c>
    </row>
    <row r="192" spans="2:15" ht="12.75" customHeight="1" x14ac:dyDescent="0.35">
      <c r="B192" s="157" t="s">
        <v>24</v>
      </c>
      <c r="C192" s="158">
        <v>2013</v>
      </c>
      <c r="D192" s="159">
        <v>20.34</v>
      </c>
      <c r="E192" s="159">
        <v>0.74</v>
      </c>
      <c r="F192" s="160">
        <v>150</v>
      </c>
      <c r="G192" s="161">
        <v>7.2313000000000001</v>
      </c>
      <c r="H192" s="161">
        <v>3.9119999999999999</v>
      </c>
      <c r="I192" s="160">
        <v>9963</v>
      </c>
      <c r="J192" s="161">
        <v>9.2065999999999999</v>
      </c>
      <c r="K192" s="162">
        <v>9.02</v>
      </c>
      <c r="L192" s="163">
        <v>0</v>
      </c>
      <c r="M192" s="163">
        <v>0</v>
      </c>
      <c r="N192" s="161">
        <v>73.531400000000005</v>
      </c>
      <c r="O192" s="160">
        <v>6794301</v>
      </c>
    </row>
    <row r="193" spans="2:15" ht="12.75" customHeight="1" x14ac:dyDescent="0.35">
      <c r="B193" s="164" t="s">
        <v>24</v>
      </c>
      <c r="C193" s="165">
        <v>2014</v>
      </c>
      <c r="D193" s="166">
        <v>24.45</v>
      </c>
      <c r="E193" s="166">
        <v>0.56999999999999995</v>
      </c>
      <c r="F193" s="167">
        <v>189</v>
      </c>
      <c r="G193" s="168">
        <v>7.4236000000000004</v>
      </c>
      <c r="H193" s="168">
        <v>3.6636000000000002</v>
      </c>
      <c r="I193" s="167">
        <v>11216</v>
      </c>
      <c r="J193" s="168">
        <v>9.3251000000000008</v>
      </c>
      <c r="K193" s="169">
        <v>8.1</v>
      </c>
      <c r="L193" s="170">
        <v>0</v>
      </c>
      <c r="M193" s="170">
        <v>0</v>
      </c>
      <c r="N193" s="168">
        <v>73.531400000000005</v>
      </c>
      <c r="O193" s="167">
        <v>6850884</v>
      </c>
    </row>
    <row r="194" spans="2:15" ht="12.75" customHeight="1" x14ac:dyDescent="0.35">
      <c r="B194" s="157" t="s">
        <v>24</v>
      </c>
      <c r="C194" s="158">
        <v>2015</v>
      </c>
      <c r="D194" s="159">
        <v>24.94</v>
      </c>
      <c r="E194" s="159">
        <v>0.13</v>
      </c>
      <c r="F194" s="160">
        <v>198</v>
      </c>
      <c r="G194" s="161">
        <v>7.4512</v>
      </c>
      <c r="H194" s="161">
        <v>2.1972</v>
      </c>
      <c r="I194" s="160">
        <v>11366</v>
      </c>
      <c r="J194" s="161">
        <v>9.3384</v>
      </c>
      <c r="K194" s="162">
        <v>8.8000000000000007</v>
      </c>
      <c r="L194" s="163">
        <v>0</v>
      </c>
      <c r="M194" s="163">
        <v>0</v>
      </c>
      <c r="N194" s="161">
        <v>73.531400000000005</v>
      </c>
      <c r="O194" s="160">
        <v>6904241</v>
      </c>
    </row>
    <row r="195" spans="2:15" ht="12.75" customHeight="1" x14ac:dyDescent="0.35">
      <c r="B195" s="171" t="s">
        <v>24</v>
      </c>
      <c r="C195" s="172">
        <v>2016</v>
      </c>
      <c r="D195" s="173">
        <v>23.37</v>
      </c>
      <c r="E195" s="173">
        <v>0.46</v>
      </c>
      <c r="F195" s="174">
        <v>230</v>
      </c>
      <c r="G195" s="175">
        <v>7.3933</v>
      </c>
      <c r="H195" s="175">
        <v>3.4657</v>
      </c>
      <c r="I195" s="174">
        <v>12268</v>
      </c>
      <c r="J195" s="175">
        <v>9.4146999999999998</v>
      </c>
      <c r="K195" s="176">
        <v>12.1</v>
      </c>
      <c r="L195" s="177">
        <v>0</v>
      </c>
      <c r="M195" s="177">
        <v>0</v>
      </c>
      <c r="N195" s="175">
        <v>73.531400000000005</v>
      </c>
      <c r="O195" s="174">
        <v>6954036</v>
      </c>
    </row>
    <row r="196" spans="2:15" ht="12.75" customHeight="1" x14ac:dyDescent="0.35">
      <c r="B196" s="178" t="s">
        <v>24</v>
      </c>
      <c r="C196" s="179">
        <v>2017</v>
      </c>
      <c r="D196" s="180">
        <v>21.06</v>
      </c>
      <c r="E196" s="180">
        <v>1.29</v>
      </c>
      <c r="F196" s="181">
        <v>320</v>
      </c>
      <c r="G196" s="182">
        <v>7.2957000000000001</v>
      </c>
      <c r="H196" s="182">
        <v>4.4997999999999996</v>
      </c>
      <c r="I196" s="181">
        <v>12791</v>
      </c>
      <c r="J196" s="182">
        <v>9.4565000000000001</v>
      </c>
      <c r="K196" s="183">
        <v>14.5</v>
      </c>
      <c r="L196" s="184">
        <v>0</v>
      </c>
      <c r="M196" s="184">
        <v>0</v>
      </c>
      <c r="N196" s="182">
        <v>73.531400000000005</v>
      </c>
      <c r="O196" s="181">
        <v>7000229</v>
      </c>
    </row>
    <row r="197" spans="2:15" ht="12.75" customHeight="1" x14ac:dyDescent="0.35">
      <c r="B197" s="171" t="s">
        <v>24</v>
      </c>
      <c r="C197" s="172">
        <v>2018</v>
      </c>
      <c r="D197" s="173">
        <v>17.87</v>
      </c>
      <c r="E197" s="173">
        <v>1.68</v>
      </c>
      <c r="F197" s="174">
        <v>438</v>
      </c>
      <c r="G197" s="175">
        <v>7.1364999999999998</v>
      </c>
      <c r="H197" s="175">
        <v>4.7706999999999997</v>
      </c>
      <c r="I197" s="174">
        <v>13956</v>
      </c>
      <c r="J197" s="175">
        <v>9.5436999999999994</v>
      </c>
      <c r="K197" s="176">
        <v>14.7</v>
      </c>
      <c r="L197" s="177">
        <v>0</v>
      </c>
      <c r="M197" s="177">
        <v>0</v>
      </c>
      <c r="N197" s="175">
        <v>73.531400000000005</v>
      </c>
      <c r="O197" s="174">
        <v>7035055</v>
      </c>
    </row>
    <row r="198" spans="2:15" ht="12.75" customHeight="1" x14ac:dyDescent="0.35">
      <c r="B198" s="178" t="s">
        <v>24</v>
      </c>
      <c r="C198" s="179">
        <v>2019</v>
      </c>
      <c r="D198" s="180">
        <v>15</v>
      </c>
      <c r="E198" s="180">
        <v>8.99</v>
      </c>
      <c r="F198" s="181">
        <v>1074</v>
      </c>
      <c r="G198" s="182">
        <v>6.9669999999999996</v>
      </c>
      <c r="H198" s="182">
        <v>6.4551999999999996</v>
      </c>
      <c r="I198" s="181">
        <v>13758</v>
      </c>
      <c r="J198" s="182">
        <v>9.5294000000000008</v>
      </c>
      <c r="K198" s="183">
        <v>14.7</v>
      </c>
      <c r="L198" s="184">
        <v>0</v>
      </c>
      <c r="M198" s="184">
        <v>0</v>
      </c>
      <c r="N198" s="182">
        <v>73.531400000000005</v>
      </c>
      <c r="O198" s="181">
        <v>7075181</v>
      </c>
    </row>
    <row r="199" spans="2:15" ht="12.75" customHeight="1" x14ac:dyDescent="0.35">
      <c r="B199" s="171" t="s">
        <v>24</v>
      </c>
      <c r="C199" s="172">
        <v>2020</v>
      </c>
      <c r="D199" s="173">
        <v>20.04</v>
      </c>
      <c r="E199" s="173">
        <v>21.08</v>
      </c>
      <c r="F199" s="174">
        <v>2574</v>
      </c>
      <c r="G199" s="175">
        <v>7.2625999999999999</v>
      </c>
      <c r="H199" s="175">
        <v>7.3132000000000001</v>
      </c>
      <c r="I199" s="174">
        <v>15028</v>
      </c>
      <c r="J199" s="175">
        <v>9.6176999999999992</v>
      </c>
      <c r="K199" s="176">
        <v>16.399999999999999</v>
      </c>
      <c r="L199" s="177">
        <v>0</v>
      </c>
      <c r="M199" s="177">
        <v>1</v>
      </c>
      <c r="N199" s="175">
        <v>73.531400000000005</v>
      </c>
      <c r="O199" s="174">
        <v>7114598</v>
      </c>
    </row>
    <row r="200" spans="2:15" ht="12.75" customHeight="1" x14ac:dyDescent="0.35">
      <c r="B200" s="178" t="s">
        <v>24</v>
      </c>
      <c r="C200" s="179">
        <v>2021</v>
      </c>
      <c r="D200" s="180">
        <v>20.12</v>
      </c>
      <c r="E200" s="180">
        <v>39.869999999999997</v>
      </c>
      <c r="F200" s="181">
        <v>5426</v>
      </c>
      <c r="G200" s="182">
        <v>7.2717000000000001</v>
      </c>
      <c r="H200" s="182">
        <v>7.9558</v>
      </c>
      <c r="I200" s="181">
        <v>17472</v>
      </c>
      <c r="J200" s="182">
        <v>9.7683999999999997</v>
      </c>
      <c r="K200" s="183">
        <v>16.100000000000001</v>
      </c>
      <c r="L200" s="184">
        <v>0</v>
      </c>
      <c r="M200" s="184">
        <v>1</v>
      </c>
      <c r="N200" s="182">
        <v>73.531400000000005</v>
      </c>
      <c r="O200" s="181">
        <v>7153262</v>
      </c>
    </row>
    <row r="201" spans="2:15" ht="12.75" customHeight="1" x14ac:dyDescent="0.35">
      <c r="B201" s="171" t="s">
        <v>24</v>
      </c>
      <c r="C201" s="172">
        <v>2022</v>
      </c>
      <c r="D201" s="173">
        <v>19.510000000000002</v>
      </c>
      <c r="E201" s="173">
        <v>73.53</v>
      </c>
      <c r="F201" s="174">
        <v>10409</v>
      </c>
      <c r="G201" s="175">
        <v>7.1868999999999996</v>
      </c>
      <c r="H201" s="175">
        <v>8.5137999999999998</v>
      </c>
      <c r="I201" s="174">
        <v>20628</v>
      </c>
      <c r="J201" s="175">
        <v>9.9344000000000001</v>
      </c>
      <c r="K201" s="176">
        <v>10.5</v>
      </c>
      <c r="L201" s="177">
        <v>0</v>
      </c>
      <c r="M201" s="177">
        <v>0</v>
      </c>
      <c r="N201" s="175">
        <v>73.531400000000005</v>
      </c>
      <c r="O201" s="174">
        <v>6776699</v>
      </c>
    </row>
    <row r="202" spans="2:15" ht="12.75" customHeight="1" x14ac:dyDescent="0.35">
      <c r="B202" s="178" t="s">
        <v>24</v>
      </c>
      <c r="C202" s="179">
        <v>2023</v>
      </c>
      <c r="D202" s="180">
        <v>21.21</v>
      </c>
      <c r="E202" s="180">
        <v>0.03</v>
      </c>
      <c r="F202" s="181">
        <v>10411</v>
      </c>
      <c r="G202" s="182">
        <v>7.2702999999999998</v>
      </c>
      <c r="H202" s="182">
        <v>0.69310000000000005</v>
      </c>
      <c r="I202" s="181">
        <v>22021</v>
      </c>
      <c r="J202" s="182">
        <v>9.9998000000000005</v>
      </c>
      <c r="K202" s="183">
        <v>8.1999999999999993</v>
      </c>
      <c r="L202" s="184">
        <v>1</v>
      </c>
      <c r="M202" s="184">
        <v>0</v>
      </c>
      <c r="N202" s="182">
        <v>73.531400000000005</v>
      </c>
      <c r="O202" s="181">
        <v>6776699</v>
      </c>
    </row>
    <row r="203" spans="2:15" ht="12.75" customHeight="1" x14ac:dyDescent="0.35">
      <c r="B203" s="171" t="s">
        <v>24</v>
      </c>
      <c r="C203" s="172">
        <v>2024</v>
      </c>
      <c r="D203" s="173">
        <v>22.42</v>
      </c>
      <c r="E203" s="173">
        <v>7.32</v>
      </c>
      <c r="F203" s="174">
        <v>10924</v>
      </c>
      <c r="G203" s="175">
        <v>7.3601000000000001</v>
      </c>
      <c r="H203" s="175">
        <v>6.2403000000000004</v>
      </c>
      <c r="I203" s="174">
        <v>22544</v>
      </c>
      <c r="J203" s="175">
        <v>10.023199999999999</v>
      </c>
      <c r="K203" s="176">
        <v>7.7</v>
      </c>
      <c r="L203" s="177">
        <v>1</v>
      </c>
      <c r="M203" s="177">
        <v>0</v>
      </c>
      <c r="N203" s="175">
        <v>73.531400000000005</v>
      </c>
      <c r="O203" s="174">
        <v>7010960</v>
      </c>
    </row>
    <row r="204" spans="2:15" ht="12.75" customHeight="1" x14ac:dyDescent="0.35">
      <c r="B204" s="157" t="s">
        <v>25</v>
      </c>
      <c r="C204" s="158">
        <v>2005</v>
      </c>
      <c r="D204" s="159">
        <v>16.05</v>
      </c>
      <c r="E204" s="159">
        <v>0.59</v>
      </c>
      <c r="F204" s="160">
        <v>114</v>
      </c>
      <c r="G204" s="161">
        <v>8.0352999999999994</v>
      </c>
      <c r="H204" s="161">
        <v>4.7362000000000002</v>
      </c>
      <c r="I204" s="160">
        <v>10014</v>
      </c>
      <c r="J204" s="161">
        <v>9.2117000000000004</v>
      </c>
      <c r="K204" s="162">
        <v>9.39</v>
      </c>
      <c r="L204" s="163">
        <v>0</v>
      </c>
      <c r="M204" s="163">
        <v>0</v>
      </c>
      <c r="N204" s="161">
        <v>178.18899999999999</v>
      </c>
      <c r="O204" s="160">
        <v>19237450</v>
      </c>
    </row>
    <row r="205" spans="2:15" ht="12.75" customHeight="1" x14ac:dyDescent="0.35">
      <c r="B205" s="164" t="s">
        <v>25</v>
      </c>
      <c r="C205" s="165">
        <v>2006</v>
      </c>
      <c r="D205" s="166">
        <v>15.76</v>
      </c>
      <c r="E205" s="166">
        <v>0.7</v>
      </c>
      <c r="F205" s="167">
        <v>250</v>
      </c>
      <c r="G205" s="168">
        <v>8.0290999999999997</v>
      </c>
      <c r="H205" s="168">
        <v>4.9127000000000001</v>
      </c>
      <c r="I205" s="167">
        <v>11025</v>
      </c>
      <c r="J205" s="168">
        <v>9.3079000000000001</v>
      </c>
      <c r="K205" s="169">
        <v>8.74</v>
      </c>
      <c r="L205" s="170">
        <v>0</v>
      </c>
      <c r="M205" s="170">
        <v>0</v>
      </c>
      <c r="N205" s="168">
        <v>178.18899999999999</v>
      </c>
      <c r="O205" s="167">
        <v>19479356</v>
      </c>
    </row>
    <row r="206" spans="2:15" ht="12.75" customHeight="1" x14ac:dyDescent="0.35">
      <c r="B206" s="157" t="s">
        <v>25</v>
      </c>
      <c r="C206" s="158">
        <v>2007</v>
      </c>
      <c r="D206" s="159">
        <v>15.41</v>
      </c>
      <c r="E206" s="159">
        <v>0.46</v>
      </c>
      <c r="F206" s="160">
        <v>339</v>
      </c>
      <c r="G206" s="161">
        <v>7.9966999999999997</v>
      </c>
      <c r="H206" s="161">
        <v>4.4885999999999999</v>
      </c>
      <c r="I206" s="160">
        <v>12519</v>
      </c>
      <c r="J206" s="161">
        <v>9.4350000000000005</v>
      </c>
      <c r="K206" s="162">
        <v>8.2200000000000006</v>
      </c>
      <c r="L206" s="163">
        <v>0</v>
      </c>
      <c r="M206" s="163">
        <v>0</v>
      </c>
      <c r="N206" s="161">
        <v>178.18899999999999</v>
      </c>
      <c r="O206" s="160">
        <v>19273533</v>
      </c>
    </row>
    <row r="207" spans="2:15" ht="12.75" customHeight="1" x14ac:dyDescent="0.35">
      <c r="B207" s="164" t="s">
        <v>25</v>
      </c>
      <c r="C207" s="165">
        <v>2008</v>
      </c>
      <c r="D207" s="166">
        <v>13.81</v>
      </c>
      <c r="E207" s="166">
        <v>0.46</v>
      </c>
      <c r="F207" s="167">
        <v>430</v>
      </c>
      <c r="G207" s="168">
        <v>7.9164000000000003</v>
      </c>
      <c r="H207" s="168">
        <v>4.5109000000000004</v>
      </c>
      <c r="I207" s="167">
        <v>14233</v>
      </c>
      <c r="J207" s="168">
        <v>9.5632999999999999</v>
      </c>
      <c r="K207" s="169">
        <v>6.72</v>
      </c>
      <c r="L207" s="170">
        <v>0</v>
      </c>
      <c r="M207" s="170">
        <v>0</v>
      </c>
      <c r="N207" s="168">
        <v>178.18899999999999</v>
      </c>
      <c r="O207" s="167">
        <v>19850060</v>
      </c>
    </row>
    <row r="208" spans="2:15" ht="12.75" customHeight="1" x14ac:dyDescent="0.35">
      <c r="B208" s="157" t="s">
        <v>25</v>
      </c>
      <c r="C208" s="158">
        <v>2009</v>
      </c>
      <c r="D208" s="159">
        <v>12.92</v>
      </c>
      <c r="E208" s="159">
        <v>0.64</v>
      </c>
      <c r="F208" s="160">
        <v>558</v>
      </c>
      <c r="G208" s="161">
        <v>7.8586</v>
      </c>
      <c r="H208" s="161">
        <v>4.8520000000000003</v>
      </c>
      <c r="I208" s="160">
        <v>14329</v>
      </c>
      <c r="J208" s="161">
        <v>9.57</v>
      </c>
      <c r="K208" s="162">
        <v>8.1</v>
      </c>
      <c r="L208" s="163">
        <v>0</v>
      </c>
      <c r="M208" s="163">
        <v>0</v>
      </c>
      <c r="N208" s="161">
        <v>178.18899999999999</v>
      </c>
      <c r="O208" s="160">
        <v>20033665</v>
      </c>
    </row>
    <row r="209" spans="2:15" ht="12.75" customHeight="1" x14ac:dyDescent="0.35">
      <c r="B209" s="164" t="s">
        <v>25</v>
      </c>
      <c r="C209" s="165">
        <v>2010</v>
      </c>
      <c r="D209" s="166">
        <v>12.53</v>
      </c>
      <c r="E209" s="166">
        <v>0.35</v>
      </c>
      <c r="F209" s="167">
        <v>626</v>
      </c>
      <c r="G209" s="168">
        <v>7.8059000000000003</v>
      </c>
      <c r="H209" s="168">
        <v>4.2195</v>
      </c>
      <c r="I209" s="167">
        <v>17917</v>
      </c>
      <c r="J209" s="168">
        <v>9.7934999999999999</v>
      </c>
      <c r="K209" s="169">
        <v>7.26</v>
      </c>
      <c r="L209" s="170">
        <v>0</v>
      </c>
      <c r="M209" s="170">
        <v>0</v>
      </c>
      <c r="N209" s="168">
        <v>178.18899999999999</v>
      </c>
      <c r="O209" s="167">
        <v>19597330</v>
      </c>
    </row>
    <row r="210" spans="2:15" ht="12.75" customHeight="1" x14ac:dyDescent="0.35">
      <c r="B210" s="157" t="s">
        <v>25</v>
      </c>
      <c r="C210" s="158">
        <v>2011</v>
      </c>
      <c r="D210" s="159">
        <v>15.13</v>
      </c>
      <c r="E210" s="159">
        <v>0.83</v>
      </c>
      <c r="F210" s="160">
        <v>789</v>
      </c>
      <c r="G210" s="161">
        <v>8.0014000000000003</v>
      </c>
      <c r="H210" s="161">
        <v>5.0937999999999999</v>
      </c>
      <c r="I210" s="160">
        <v>20281</v>
      </c>
      <c r="J210" s="161">
        <v>9.9174000000000007</v>
      </c>
      <c r="K210" s="162">
        <v>6.43</v>
      </c>
      <c r="L210" s="163">
        <v>0</v>
      </c>
      <c r="M210" s="163">
        <v>0</v>
      </c>
      <c r="N210" s="161">
        <v>178.18899999999999</v>
      </c>
      <c r="O210" s="160">
        <v>19728701</v>
      </c>
    </row>
    <row r="211" spans="2:15" ht="12.75" customHeight="1" x14ac:dyDescent="0.35">
      <c r="B211" s="164" t="s">
        <v>25</v>
      </c>
      <c r="C211" s="165">
        <v>2012</v>
      </c>
      <c r="D211" s="166">
        <v>16.170000000000002</v>
      </c>
      <c r="E211" s="166">
        <v>0.9</v>
      </c>
      <c r="F211" s="167">
        <v>967</v>
      </c>
      <c r="G211" s="168">
        <v>8.0739999999999998</v>
      </c>
      <c r="H211" s="168">
        <v>5.1818</v>
      </c>
      <c r="I211" s="167">
        <v>22275</v>
      </c>
      <c r="J211" s="168">
        <v>10.011200000000001</v>
      </c>
      <c r="K211" s="169">
        <v>6.21</v>
      </c>
      <c r="L211" s="170">
        <v>0</v>
      </c>
      <c r="M211" s="170">
        <v>0</v>
      </c>
      <c r="N211" s="168">
        <v>178.18899999999999</v>
      </c>
      <c r="O211" s="167">
        <v>19855332</v>
      </c>
    </row>
    <row r="212" spans="2:15" ht="12.75" customHeight="1" x14ac:dyDescent="0.35">
      <c r="B212" s="157" t="s">
        <v>25</v>
      </c>
      <c r="C212" s="158">
        <v>2013</v>
      </c>
      <c r="D212" s="159">
        <v>16.78</v>
      </c>
      <c r="E212" s="159">
        <v>0.61</v>
      </c>
      <c r="F212" s="160">
        <v>1093</v>
      </c>
      <c r="G212" s="161">
        <v>8.1476000000000006</v>
      </c>
      <c r="H212" s="161">
        <v>4.8362999999999996</v>
      </c>
      <c r="I212" s="160">
        <v>23697</v>
      </c>
      <c r="J212" s="161">
        <v>10.0731</v>
      </c>
      <c r="K212" s="162">
        <v>6.63</v>
      </c>
      <c r="L212" s="163">
        <v>0</v>
      </c>
      <c r="M212" s="163">
        <v>0</v>
      </c>
      <c r="N212" s="161">
        <v>178.18899999999999</v>
      </c>
      <c r="O212" s="160">
        <v>20593356</v>
      </c>
    </row>
    <row r="213" spans="2:15" ht="12.75" customHeight="1" x14ac:dyDescent="0.35">
      <c r="B213" s="164" t="s">
        <v>25</v>
      </c>
      <c r="C213" s="165">
        <v>2014</v>
      </c>
      <c r="D213" s="166">
        <v>16.22</v>
      </c>
      <c r="E213" s="166">
        <v>0.54</v>
      </c>
      <c r="F213" s="167">
        <v>1204</v>
      </c>
      <c r="G213" s="168">
        <v>8.1205999999999996</v>
      </c>
      <c r="H213" s="168">
        <v>4.7095000000000002</v>
      </c>
      <c r="I213" s="167">
        <v>24917</v>
      </c>
      <c r="J213" s="168">
        <v>10.1233</v>
      </c>
      <c r="K213" s="169">
        <v>7.06</v>
      </c>
      <c r="L213" s="170">
        <v>0</v>
      </c>
      <c r="M213" s="170">
        <v>0</v>
      </c>
      <c r="N213" s="168">
        <v>178.18899999999999</v>
      </c>
      <c r="O213" s="167">
        <v>20734097</v>
      </c>
    </row>
    <row r="214" spans="2:15" ht="12.75" customHeight="1" x14ac:dyDescent="0.35">
      <c r="B214" s="157" t="s">
        <v>25</v>
      </c>
      <c r="C214" s="158">
        <v>2015</v>
      </c>
      <c r="D214" s="159">
        <v>15.37</v>
      </c>
      <c r="E214" s="159">
        <v>0.31</v>
      </c>
      <c r="F214" s="160">
        <v>1269</v>
      </c>
      <c r="G214" s="161">
        <v>8.0733999999999995</v>
      </c>
      <c r="H214" s="161">
        <v>4.1744000000000003</v>
      </c>
      <c r="I214" s="160">
        <v>24885</v>
      </c>
      <c r="J214" s="161">
        <v>10.122</v>
      </c>
      <c r="K214" s="162">
        <v>8.6</v>
      </c>
      <c r="L214" s="163">
        <v>0</v>
      </c>
      <c r="M214" s="163">
        <v>0</v>
      </c>
      <c r="N214" s="161">
        <v>178.18899999999999</v>
      </c>
      <c r="O214" s="160">
        <v>20869101</v>
      </c>
    </row>
    <row r="215" spans="2:15" ht="12.75" customHeight="1" x14ac:dyDescent="0.35">
      <c r="B215" s="171" t="s">
        <v>25</v>
      </c>
      <c r="C215" s="172">
        <v>2016</v>
      </c>
      <c r="D215" s="173">
        <v>15.76</v>
      </c>
      <c r="E215" s="173">
        <v>1.3</v>
      </c>
      <c r="F215" s="174">
        <v>1541</v>
      </c>
      <c r="G215" s="175">
        <v>8.1046999999999993</v>
      </c>
      <c r="H215" s="175">
        <v>5.6058000000000003</v>
      </c>
      <c r="I215" s="174">
        <v>25946</v>
      </c>
      <c r="J215" s="175">
        <v>10.1638</v>
      </c>
      <c r="K215" s="176">
        <v>11.2</v>
      </c>
      <c r="L215" s="177">
        <v>0</v>
      </c>
      <c r="M215" s="177">
        <v>0</v>
      </c>
      <c r="N215" s="175">
        <v>178.18899999999999</v>
      </c>
      <c r="O215" s="174">
        <v>20997560</v>
      </c>
    </row>
    <row r="216" spans="2:15" ht="12.75" customHeight="1" x14ac:dyDescent="0.35">
      <c r="B216" s="178" t="s">
        <v>25</v>
      </c>
      <c r="C216" s="179">
        <v>2017</v>
      </c>
      <c r="D216" s="180">
        <v>14.49</v>
      </c>
      <c r="E216" s="180">
        <v>2.3199999999999998</v>
      </c>
      <c r="F216" s="181">
        <v>2030</v>
      </c>
      <c r="G216" s="182">
        <v>8.0261999999999993</v>
      </c>
      <c r="H216" s="182">
        <v>6.1924000000000001</v>
      </c>
      <c r="I216" s="181">
        <v>27291</v>
      </c>
      <c r="J216" s="182">
        <v>10.2143</v>
      </c>
      <c r="K216" s="183">
        <v>12.2</v>
      </c>
      <c r="L216" s="184">
        <v>0</v>
      </c>
      <c r="M216" s="184">
        <v>0</v>
      </c>
      <c r="N216" s="182">
        <v>178.18899999999999</v>
      </c>
      <c r="O216" s="181">
        <v>21119536</v>
      </c>
    </row>
    <row r="217" spans="2:15" ht="12.75" customHeight="1" x14ac:dyDescent="0.35">
      <c r="B217" s="171" t="s">
        <v>25</v>
      </c>
      <c r="C217" s="172">
        <v>2018</v>
      </c>
      <c r="D217" s="173">
        <v>10.62</v>
      </c>
      <c r="E217" s="173">
        <v>5.18</v>
      </c>
      <c r="F217" s="174">
        <v>3119</v>
      </c>
      <c r="G217" s="175">
        <v>7.7115</v>
      </c>
      <c r="H217" s="175">
        <v>6.9930000000000003</v>
      </c>
      <c r="I217" s="174">
        <v>29223</v>
      </c>
      <c r="J217" s="175">
        <v>10.2827</v>
      </c>
      <c r="K217" s="176">
        <v>10.8</v>
      </c>
      <c r="L217" s="177">
        <v>0</v>
      </c>
      <c r="M217" s="177">
        <v>0</v>
      </c>
      <c r="N217" s="175">
        <v>178.18899999999999</v>
      </c>
      <c r="O217" s="174">
        <v>21040662</v>
      </c>
    </row>
    <row r="218" spans="2:15" ht="12.75" customHeight="1" x14ac:dyDescent="0.35">
      <c r="B218" s="178" t="s">
        <v>25</v>
      </c>
      <c r="C218" s="179">
        <v>2019</v>
      </c>
      <c r="D218" s="180">
        <v>8.83</v>
      </c>
      <c r="E218" s="180">
        <v>31.14</v>
      </c>
      <c r="F218" s="181">
        <v>9710</v>
      </c>
      <c r="G218" s="182">
        <v>7.5331999999999999</v>
      </c>
      <c r="H218" s="182">
        <v>8.7934999999999999</v>
      </c>
      <c r="I218" s="181">
        <v>30794</v>
      </c>
      <c r="J218" s="182">
        <v>10.335100000000001</v>
      </c>
      <c r="K218" s="183">
        <v>10.1</v>
      </c>
      <c r="L218" s="184">
        <v>0</v>
      </c>
      <c r="M218" s="184">
        <v>0</v>
      </c>
      <c r="N218" s="182">
        <v>178.18899999999999</v>
      </c>
      <c r="O218" s="181">
        <v>21168791</v>
      </c>
    </row>
    <row r="219" spans="2:15" ht="12.75" customHeight="1" x14ac:dyDescent="0.35">
      <c r="B219" s="171" t="s">
        <v>25</v>
      </c>
      <c r="C219" s="172">
        <v>2020</v>
      </c>
      <c r="D219" s="173">
        <v>7.95</v>
      </c>
      <c r="E219" s="173">
        <v>47.49</v>
      </c>
      <c r="F219" s="174">
        <v>19821</v>
      </c>
      <c r="G219" s="175">
        <v>7.4337</v>
      </c>
      <c r="H219" s="175">
        <v>9.2213999999999992</v>
      </c>
      <c r="I219" s="174">
        <v>32067</v>
      </c>
      <c r="J219" s="175">
        <v>10.3756</v>
      </c>
      <c r="K219" s="176">
        <v>12.8</v>
      </c>
      <c r="L219" s="177">
        <v>0</v>
      </c>
      <c r="M219" s="177">
        <v>1</v>
      </c>
      <c r="N219" s="175">
        <v>178.18899999999999</v>
      </c>
      <c r="O219" s="174">
        <v>21292666</v>
      </c>
    </row>
    <row r="220" spans="2:15" ht="12.75" customHeight="1" x14ac:dyDescent="0.35">
      <c r="B220" s="178" t="s">
        <v>25</v>
      </c>
      <c r="C220" s="179">
        <v>2021</v>
      </c>
      <c r="D220" s="180">
        <v>7.42</v>
      </c>
      <c r="E220" s="180">
        <v>111.51</v>
      </c>
      <c r="F220" s="181">
        <v>43697</v>
      </c>
      <c r="G220" s="182">
        <v>7.3701999999999996</v>
      </c>
      <c r="H220" s="182">
        <v>10.0806</v>
      </c>
      <c r="I220" s="181">
        <v>40052</v>
      </c>
      <c r="J220" s="182">
        <v>10.597899999999999</v>
      </c>
      <c r="K220" s="183">
        <v>11.7</v>
      </c>
      <c r="L220" s="184">
        <v>0</v>
      </c>
      <c r="M220" s="184">
        <v>1</v>
      </c>
      <c r="N220" s="182">
        <v>178.18899999999999</v>
      </c>
      <c r="O220" s="181">
        <v>21411923</v>
      </c>
    </row>
    <row r="221" spans="2:15" ht="12.75" customHeight="1" x14ac:dyDescent="0.35">
      <c r="B221" s="171" t="s">
        <v>25</v>
      </c>
      <c r="C221" s="172">
        <v>2022</v>
      </c>
      <c r="D221" s="173">
        <v>8.4600000000000009</v>
      </c>
      <c r="E221" s="173">
        <v>178.19</v>
      </c>
      <c r="F221" s="174">
        <v>80297</v>
      </c>
      <c r="G221" s="175">
        <v>7.4599000000000002</v>
      </c>
      <c r="H221" s="175">
        <v>10.5078</v>
      </c>
      <c r="I221" s="174">
        <v>44145</v>
      </c>
      <c r="J221" s="175">
        <v>10.6952</v>
      </c>
      <c r="K221" s="176">
        <v>7.2</v>
      </c>
      <c r="L221" s="177">
        <v>0</v>
      </c>
      <c r="M221" s="177">
        <v>0</v>
      </c>
      <c r="N221" s="175">
        <v>178.18899999999999</v>
      </c>
      <c r="O221" s="174">
        <v>20539989</v>
      </c>
    </row>
    <row r="222" spans="2:15" ht="12.75" customHeight="1" x14ac:dyDescent="0.35">
      <c r="B222" s="178" t="s">
        <v>25</v>
      </c>
      <c r="C222" s="179">
        <v>2023</v>
      </c>
      <c r="D222" s="180">
        <v>8.52</v>
      </c>
      <c r="E222" s="180">
        <v>0.49</v>
      </c>
      <c r="F222" s="181">
        <v>80398</v>
      </c>
      <c r="G222" s="182">
        <v>7.4668000000000001</v>
      </c>
      <c r="H222" s="182">
        <v>4.6151</v>
      </c>
      <c r="I222" s="181">
        <v>47321</v>
      </c>
      <c r="J222" s="182">
        <v>10.764699999999999</v>
      </c>
      <c r="K222" s="183">
        <v>6.1</v>
      </c>
      <c r="L222" s="184">
        <v>1</v>
      </c>
      <c r="M222" s="184">
        <v>0</v>
      </c>
      <c r="N222" s="182">
        <v>178.18899999999999</v>
      </c>
      <c r="O222" s="181">
        <v>20539989</v>
      </c>
    </row>
    <row r="223" spans="2:15" ht="12.75" customHeight="1" x14ac:dyDescent="0.35">
      <c r="B223" s="171" t="s">
        <v>25</v>
      </c>
      <c r="C223" s="172">
        <v>2024</v>
      </c>
      <c r="D223" s="173">
        <v>7.89</v>
      </c>
      <c r="E223" s="173">
        <v>36.42</v>
      </c>
      <c r="F223" s="174">
        <v>88164</v>
      </c>
      <c r="G223" s="175">
        <v>7.4276999999999997</v>
      </c>
      <c r="H223" s="175">
        <v>8.9574999999999996</v>
      </c>
      <c r="I223" s="174">
        <v>48462</v>
      </c>
      <c r="J223" s="175">
        <v>10.788500000000001</v>
      </c>
      <c r="K223" s="176">
        <v>5.2</v>
      </c>
      <c r="L223" s="177">
        <v>1</v>
      </c>
      <c r="M223" s="177">
        <v>0</v>
      </c>
      <c r="N223" s="175">
        <v>178.18899999999999</v>
      </c>
      <c r="O223" s="174">
        <v>21322691</v>
      </c>
    </row>
    <row r="224" spans="2:15" ht="12.75" customHeight="1" x14ac:dyDescent="0.35">
      <c r="B224" s="157" t="s">
        <v>26</v>
      </c>
      <c r="C224" s="158">
        <v>2005</v>
      </c>
      <c r="D224" s="159">
        <v>15.28</v>
      </c>
      <c r="E224" s="159">
        <v>0.35</v>
      </c>
      <c r="F224" s="160">
        <v>8</v>
      </c>
      <c r="G224" s="161">
        <v>5.8464</v>
      </c>
      <c r="H224" s="161">
        <v>2.0794000000000001</v>
      </c>
      <c r="I224" s="160">
        <v>9561</v>
      </c>
      <c r="J224" s="161">
        <v>9.1654</v>
      </c>
      <c r="K224" s="162">
        <v>9.1999999999999993</v>
      </c>
      <c r="L224" s="163">
        <v>0</v>
      </c>
      <c r="M224" s="163">
        <v>0</v>
      </c>
      <c r="N224" s="161">
        <v>325.67860000000002</v>
      </c>
      <c r="O224" s="160">
        <v>2264468</v>
      </c>
    </row>
    <row r="225" spans="2:15" ht="12.75" customHeight="1" x14ac:dyDescent="0.35">
      <c r="B225" s="164" t="s">
        <v>26</v>
      </c>
      <c r="C225" s="165">
        <v>2006</v>
      </c>
      <c r="D225" s="166">
        <v>16.190000000000001</v>
      </c>
      <c r="E225" s="166">
        <v>0.65</v>
      </c>
      <c r="F225" s="167">
        <v>23</v>
      </c>
      <c r="G225" s="168">
        <v>5.9188999999999998</v>
      </c>
      <c r="H225" s="168">
        <v>2.7081</v>
      </c>
      <c r="I225" s="167">
        <v>10592</v>
      </c>
      <c r="J225" s="168">
        <v>9.2678999999999991</v>
      </c>
      <c r="K225" s="169">
        <v>8.4700000000000006</v>
      </c>
      <c r="L225" s="170">
        <v>0</v>
      </c>
      <c r="M225" s="170">
        <v>0</v>
      </c>
      <c r="N225" s="168">
        <v>325.67860000000002</v>
      </c>
      <c r="O225" s="167">
        <v>2297981</v>
      </c>
    </row>
    <row r="226" spans="2:15" ht="12.75" customHeight="1" x14ac:dyDescent="0.35">
      <c r="B226" s="157" t="s">
        <v>26</v>
      </c>
      <c r="C226" s="158">
        <v>2007</v>
      </c>
      <c r="D226" s="159">
        <v>17.7</v>
      </c>
      <c r="E226" s="159">
        <v>0.35</v>
      </c>
      <c r="F226" s="160">
        <v>31</v>
      </c>
      <c r="G226" s="161">
        <v>5.9939999999999998</v>
      </c>
      <c r="H226" s="161">
        <v>2.0794000000000001</v>
      </c>
      <c r="I226" s="160">
        <v>12411</v>
      </c>
      <c r="J226" s="161">
        <v>9.4262999999999995</v>
      </c>
      <c r="K226" s="162">
        <v>6.48</v>
      </c>
      <c r="L226" s="163">
        <v>0</v>
      </c>
      <c r="M226" s="163">
        <v>0</v>
      </c>
      <c r="N226" s="161">
        <v>325.67860000000002</v>
      </c>
      <c r="O226" s="160">
        <v>2265813</v>
      </c>
    </row>
    <row r="227" spans="2:15" ht="12.75" customHeight="1" x14ac:dyDescent="0.35">
      <c r="B227" s="164" t="s">
        <v>26</v>
      </c>
      <c r="C227" s="165">
        <v>2008</v>
      </c>
      <c r="D227" s="166">
        <v>16.649999999999999</v>
      </c>
      <c r="E227" s="166">
        <v>0.43</v>
      </c>
      <c r="F227" s="167">
        <v>41</v>
      </c>
      <c r="G227" s="168">
        <v>5.9635999999999996</v>
      </c>
      <c r="H227" s="168">
        <v>2.3026</v>
      </c>
      <c r="I227" s="167">
        <v>14188</v>
      </c>
      <c r="J227" s="168">
        <v>9.5602</v>
      </c>
      <c r="K227" s="169">
        <v>7.87</v>
      </c>
      <c r="L227" s="170">
        <v>0</v>
      </c>
      <c r="M227" s="170">
        <v>0</v>
      </c>
      <c r="N227" s="168">
        <v>325.67860000000002</v>
      </c>
      <c r="O227" s="167">
        <v>2336060</v>
      </c>
    </row>
    <row r="228" spans="2:15" ht="12.75" customHeight="1" x14ac:dyDescent="0.35">
      <c r="B228" s="157" t="s">
        <v>26</v>
      </c>
      <c r="C228" s="158">
        <v>2009</v>
      </c>
      <c r="D228" s="159">
        <v>18.34</v>
      </c>
      <c r="E228" s="159">
        <v>1.1399999999999999</v>
      </c>
      <c r="F228" s="160">
        <v>68</v>
      </c>
      <c r="G228" s="161">
        <v>6.0707000000000004</v>
      </c>
      <c r="H228" s="161">
        <v>3.2957999999999998</v>
      </c>
      <c r="I228" s="160">
        <v>15407</v>
      </c>
      <c r="J228" s="161">
        <v>9.6425999999999998</v>
      </c>
      <c r="K228" s="162">
        <v>7.21</v>
      </c>
      <c r="L228" s="163">
        <v>0</v>
      </c>
      <c r="M228" s="163">
        <v>0</v>
      </c>
      <c r="N228" s="161">
        <v>325.67860000000002</v>
      </c>
      <c r="O228" s="160">
        <v>2360498</v>
      </c>
    </row>
    <row r="229" spans="2:15" ht="12.75" customHeight="1" x14ac:dyDescent="0.35">
      <c r="B229" s="164" t="s">
        <v>26</v>
      </c>
      <c r="C229" s="165">
        <v>2010</v>
      </c>
      <c r="D229" s="166">
        <v>13.84</v>
      </c>
      <c r="E229" s="166">
        <v>0.78</v>
      </c>
      <c r="F229" s="167">
        <v>87</v>
      </c>
      <c r="G229" s="168">
        <v>5.8259999999999996</v>
      </c>
      <c r="H229" s="168">
        <v>2.9443999999999999</v>
      </c>
      <c r="I229" s="167">
        <v>19302</v>
      </c>
      <c r="J229" s="168">
        <v>9.8680000000000003</v>
      </c>
      <c r="K229" s="169">
        <v>6.04</v>
      </c>
      <c r="L229" s="170">
        <v>0</v>
      </c>
      <c r="M229" s="170">
        <v>0</v>
      </c>
      <c r="N229" s="168">
        <v>325.67860000000002</v>
      </c>
      <c r="O229" s="167">
        <v>2449024</v>
      </c>
    </row>
    <row r="230" spans="2:15" ht="12.75" customHeight="1" x14ac:dyDescent="0.35">
      <c r="B230" s="157" t="s">
        <v>26</v>
      </c>
      <c r="C230" s="158">
        <v>2011</v>
      </c>
      <c r="D230" s="159">
        <v>14.69</v>
      </c>
      <c r="E230" s="159">
        <v>2.1800000000000002</v>
      </c>
      <c r="F230" s="160">
        <v>141</v>
      </c>
      <c r="G230" s="161">
        <v>5.8971999999999998</v>
      </c>
      <c r="H230" s="161">
        <v>3.9889999999999999</v>
      </c>
      <c r="I230" s="160">
        <v>22253</v>
      </c>
      <c r="J230" s="161">
        <v>10.010199999999999</v>
      </c>
      <c r="K230" s="162">
        <v>4.8600000000000003</v>
      </c>
      <c r="L230" s="163">
        <v>0</v>
      </c>
      <c r="M230" s="163">
        <v>0</v>
      </c>
      <c r="N230" s="161">
        <v>325.67860000000002</v>
      </c>
      <c r="O230" s="160">
        <v>2477542</v>
      </c>
    </row>
    <row r="231" spans="2:15" ht="12.75" customHeight="1" x14ac:dyDescent="0.35">
      <c r="B231" s="164" t="s">
        <v>26</v>
      </c>
      <c r="C231" s="165">
        <v>2012</v>
      </c>
      <c r="D231" s="166">
        <v>13.4</v>
      </c>
      <c r="E231" s="166">
        <v>1.48</v>
      </c>
      <c r="F231" s="167">
        <v>178</v>
      </c>
      <c r="G231" s="168">
        <v>5.8140999999999998</v>
      </c>
      <c r="H231" s="168">
        <v>3.6109</v>
      </c>
      <c r="I231" s="167">
        <v>24802</v>
      </c>
      <c r="J231" s="168">
        <v>10.1187</v>
      </c>
      <c r="K231" s="169">
        <v>3.73</v>
      </c>
      <c r="L231" s="170">
        <v>0</v>
      </c>
      <c r="M231" s="170">
        <v>0</v>
      </c>
      <c r="N231" s="168">
        <v>325.67860000000002</v>
      </c>
      <c r="O231" s="167">
        <v>2500365</v>
      </c>
    </row>
    <row r="232" spans="2:15" ht="12.75" customHeight="1" x14ac:dyDescent="0.35">
      <c r="B232" s="157" t="s">
        <v>26</v>
      </c>
      <c r="C232" s="158">
        <v>2013</v>
      </c>
      <c r="D232" s="159">
        <v>12.14</v>
      </c>
      <c r="E232" s="159">
        <v>0.5</v>
      </c>
      <c r="F232" s="160">
        <v>191</v>
      </c>
      <c r="G232" s="161">
        <v>5.7493999999999996</v>
      </c>
      <c r="H232" s="161">
        <v>2.5649000000000002</v>
      </c>
      <c r="I232" s="160">
        <v>26748</v>
      </c>
      <c r="J232" s="161">
        <v>10.1942</v>
      </c>
      <c r="K232" s="162">
        <v>3.87</v>
      </c>
      <c r="L232" s="163">
        <v>0</v>
      </c>
      <c r="M232" s="163">
        <v>0</v>
      </c>
      <c r="N232" s="161">
        <v>325.67860000000002</v>
      </c>
      <c r="O232" s="160">
        <v>2587269</v>
      </c>
    </row>
    <row r="233" spans="2:15" ht="12.75" customHeight="1" x14ac:dyDescent="0.35">
      <c r="B233" s="164" t="s">
        <v>26</v>
      </c>
      <c r="C233" s="165">
        <v>2014</v>
      </c>
      <c r="D233" s="166">
        <v>13.55</v>
      </c>
      <c r="E233" s="166">
        <v>0.92</v>
      </c>
      <c r="F233" s="167">
        <v>215</v>
      </c>
      <c r="G233" s="168">
        <v>5.8720999999999997</v>
      </c>
      <c r="H233" s="168">
        <v>3.1781000000000001</v>
      </c>
      <c r="I233" s="167">
        <v>30138</v>
      </c>
      <c r="J233" s="168">
        <v>10.313499999999999</v>
      </c>
      <c r="K233" s="169">
        <v>4.49</v>
      </c>
      <c r="L233" s="170">
        <v>0</v>
      </c>
      <c r="M233" s="170">
        <v>0</v>
      </c>
      <c r="N233" s="168">
        <v>325.67860000000002</v>
      </c>
      <c r="O233" s="167">
        <v>2619657</v>
      </c>
    </row>
    <row r="234" spans="2:15" ht="12.75" customHeight="1" x14ac:dyDescent="0.35">
      <c r="B234" s="157" t="s">
        <v>26</v>
      </c>
      <c r="C234" s="158">
        <v>2015</v>
      </c>
      <c r="D234" s="159">
        <v>11.96</v>
      </c>
      <c r="E234" s="159">
        <v>0.56999999999999995</v>
      </c>
      <c r="F234" s="160">
        <v>230</v>
      </c>
      <c r="G234" s="161">
        <v>5.7588999999999997</v>
      </c>
      <c r="H234" s="161">
        <v>2.7081</v>
      </c>
      <c r="I234" s="160">
        <v>31337</v>
      </c>
      <c r="J234" s="161">
        <v>10.352600000000001</v>
      </c>
      <c r="K234" s="162">
        <v>6.2</v>
      </c>
      <c r="L234" s="163">
        <v>0</v>
      </c>
      <c r="M234" s="163">
        <v>0</v>
      </c>
      <c r="N234" s="161">
        <v>325.67860000000002</v>
      </c>
      <c r="O234" s="160">
        <v>2651235</v>
      </c>
    </row>
    <row r="235" spans="2:15" ht="12.75" customHeight="1" x14ac:dyDescent="0.35">
      <c r="B235" s="171" t="s">
        <v>26</v>
      </c>
      <c r="C235" s="172">
        <v>2016</v>
      </c>
      <c r="D235" s="173">
        <v>12.23</v>
      </c>
      <c r="E235" s="173">
        <v>4.3600000000000003</v>
      </c>
      <c r="F235" s="174">
        <v>347</v>
      </c>
      <c r="G235" s="175">
        <v>5.7930000000000001</v>
      </c>
      <c r="H235" s="175">
        <v>4.7622</v>
      </c>
      <c r="I235" s="174">
        <v>34258</v>
      </c>
      <c r="J235" s="175">
        <v>10.441700000000001</v>
      </c>
      <c r="K235" s="176">
        <v>7.7</v>
      </c>
      <c r="L235" s="177">
        <v>0</v>
      </c>
      <c r="M235" s="177">
        <v>0</v>
      </c>
      <c r="N235" s="175">
        <v>325.67860000000002</v>
      </c>
      <c r="O235" s="174">
        <v>2682386</v>
      </c>
    </row>
    <row r="236" spans="2:15" ht="12.75" customHeight="1" x14ac:dyDescent="0.35">
      <c r="B236" s="178" t="s">
        <v>26</v>
      </c>
      <c r="C236" s="179">
        <v>2017</v>
      </c>
      <c r="D236" s="180">
        <v>11.72</v>
      </c>
      <c r="E236" s="180">
        <v>7</v>
      </c>
      <c r="F236" s="181">
        <v>537</v>
      </c>
      <c r="G236" s="182">
        <v>5.7621000000000002</v>
      </c>
      <c r="H236" s="182">
        <v>5.2469999999999999</v>
      </c>
      <c r="I236" s="181">
        <v>35529</v>
      </c>
      <c r="J236" s="182">
        <v>10.4781</v>
      </c>
      <c r="K236" s="183">
        <v>8.6</v>
      </c>
      <c r="L236" s="184">
        <v>0</v>
      </c>
      <c r="M236" s="184">
        <v>0</v>
      </c>
      <c r="N236" s="182">
        <v>325.67860000000002</v>
      </c>
      <c r="O236" s="181">
        <v>2713147</v>
      </c>
    </row>
    <row r="237" spans="2:15" ht="12.75" customHeight="1" x14ac:dyDescent="0.35">
      <c r="B237" s="171" t="s">
        <v>26</v>
      </c>
      <c r="C237" s="172">
        <v>2018</v>
      </c>
      <c r="D237" s="173">
        <v>8.9499999999999993</v>
      </c>
      <c r="E237" s="173">
        <v>6.8</v>
      </c>
      <c r="F237" s="174">
        <v>724</v>
      </c>
      <c r="G237" s="175">
        <v>5.5053000000000001</v>
      </c>
      <c r="H237" s="175">
        <v>5.2310999999999996</v>
      </c>
      <c r="I237" s="174">
        <v>38926</v>
      </c>
      <c r="J237" s="175">
        <v>10.5694</v>
      </c>
      <c r="K237" s="176">
        <v>7.6</v>
      </c>
      <c r="L237" s="177">
        <v>0</v>
      </c>
      <c r="M237" s="177">
        <v>0</v>
      </c>
      <c r="N237" s="175">
        <v>325.67860000000002</v>
      </c>
      <c r="O237" s="174">
        <v>2748023</v>
      </c>
    </row>
    <row r="238" spans="2:15" ht="12.75" customHeight="1" x14ac:dyDescent="0.35">
      <c r="B238" s="178" t="s">
        <v>26</v>
      </c>
      <c r="C238" s="179">
        <v>2019</v>
      </c>
      <c r="D238" s="180">
        <v>8.31</v>
      </c>
      <c r="E238" s="180">
        <v>37.89</v>
      </c>
      <c r="F238" s="181">
        <v>1777</v>
      </c>
      <c r="G238" s="182">
        <v>5.4424000000000001</v>
      </c>
      <c r="H238" s="182">
        <v>6.9593999999999996</v>
      </c>
      <c r="I238" s="181">
        <v>38483</v>
      </c>
      <c r="J238" s="182">
        <v>10.558</v>
      </c>
      <c r="K238" s="183">
        <v>8.1</v>
      </c>
      <c r="L238" s="184">
        <v>0</v>
      </c>
      <c r="M238" s="184">
        <v>0</v>
      </c>
      <c r="N238" s="182">
        <v>325.67860000000002</v>
      </c>
      <c r="O238" s="181">
        <v>2778986</v>
      </c>
    </row>
    <row r="239" spans="2:15" ht="12.75" customHeight="1" x14ac:dyDescent="0.35">
      <c r="B239" s="171" t="s">
        <v>26</v>
      </c>
      <c r="C239" s="172">
        <v>2020</v>
      </c>
      <c r="D239" s="173">
        <v>7.65</v>
      </c>
      <c r="E239" s="173">
        <v>84.15</v>
      </c>
      <c r="F239" s="174">
        <v>4141</v>
      </c>
      <c r="G239" s="175">
        <v>5.3705999999999996</v>
      </c>
      <c r="H239" s="175">
        <v>7.7680999999999996</v>
      </c>
      <c r="I239" s="174">
        <v>43649</v>
      </c>
      <c r="J239" s="175">
        <v>10.6839</v>
      </c>
      <c r="K239" s="176">
        <v>10.199999999999999</v>
      </c>
      <c r="L239" s="177">
        <v>0</v>
      </c>
      <c r="M239" s="177">
        <v>1</v>
      </c>
      <c r="N239" s="175">
        <v>325.67860000000002</v>
      </c>
      <c r="O239" s="174">
        <v>2809394</v>
      </c>
    </row>
    <row r="240" spans="2:15" ht="12.75" customHeight="1" x14ac:dyDescent="0.35">
      <c r="B240" s="178" t="s">
        <v>26</v>
      </c>
      <c r="C240" s="179">
        <v>2021</v>
      </c>
      <c r="D240" s="180">
        <v>9.4700000000000006</v>
      </c>
      <c r="E240" s="180">
        <v>167.3</v>
      </c>
      <c r="F240" s="181">
        <v>8891</v>
      </c>
      <c r="G240" s="182">
        <v>5.5946999999999996</v>
      </c>
      <c r="H240" s="182">
        <v>8.4658999999999995</v>
      </c>
      <c r="I240" s="181">
        <v>50086</v>
      </c>
      <c r="J240" s="182">
        <v>10.8215</v>
      </c>
      <c r="K240" s="183">
        <v>8.6999999999999993</v>
      </c>
      <c r="L240" s="184">
        <v>0</v>
      </c>
      <c r="M240" s="184">
        <v>1</v>
      </c>
      <c r="N240" s="182">
        <v>325.67860000000002</v>
      </c>
      <c r="O240" s="181">
        <v>2839188</v>
      </c>
    </row>
    <row r="241" spans="2:15" ht="12.75" customHeight="1" x14ac:dyDescent="0.35">
      <c r="B241" s="171" t="s">
        <v>26</v>
      </c>
      <c r="C241" s="172">
        <v>2022</v>
      </c>
      <c r="D241" s="173">
        <v>9.0299999999999994</v>
      </c>
      <c r="E241" s="173">
        <v>325.68</v>
      </c>
      <c r="F241" s="174">
        <v>17870</v>
      </c>
      <c r="G241" s="175">
        <v>5.5175000000000001</v>
      </c>
      <c r="H241" s="175">
        <v>9.1026000000000007</v>
      </c>
      <c r="I241" s="174">
        <v>60358</v>
      </c>
      <c r="J241" s="175">
        <v>11.007999999999999</v>
      </c>
      <c r="K241" s="176">
        <v>5</v>
      </c>
      <c r="L241" s="177">
        <v>0</v>
      </c>
      <c r="M241" s="177">
        <v>0</v>
      </c>
      <c r="N241" s="175">
        <v>325.67860000000002</v>
      </c>
      <c r="O241" s="174">
        <v>2757013</v>
      </c>
    </row>
    <row r="242" spans="2:15" ht="12.75" customHeight="1" x14ac:dyDescent="0.35">
      <c r="B242" s="178" t="s">
        <v>26</v>
      </c>
      <c r="C242" s="179">
        <v>2023</v>
      </c>
      <c r="D242" s="180">
        <v>8.23</v>
      </c>
      <c r="E242" s="180">
        <v>0.65</v>
      </c>
      <c r="F242" s="181">
        <v>17888</v>
      </c>
      <c r="G242" s="182">
        <v>5.4249999999999998</v>
      </c>
      <c r="H242" s="182">
        <v>2.8904000000000001</v>
      </c>
      <c r="I242" s="181">
        <v>66885</v>
      </c>
      <c r="J242" s="182">
        <v>11.1107</v>
      </c>
      <c r="K242" s="183">
        <v>4.2</v>
      </c>
      <c r="L242" s="184">
        <v>1</v>
      </c>
      <c r="M242" s="184">
        <v>0</v>
      </c>
      <c r="N242" s="182">
        <v>325.67860000000002</v>
      </c>
      <c r="O242" s="181">
        <v>2757013</v>
      </c>
    </row>
    <row r="243" spans="2:15" ht="12.75" customHeight="1" x14ac:dyDescent="0.35">
      <c r="B243" s="171" t="s">
        <v>26</v>
      </c>
      <c r="C243" s="172">
        <v>2024</v>
      </c>
      <c r="D243" s="173">
        <v>7.48</v>
      </c>
      <c r="E243" s="173">
        <v>40.659999999999997</v>
      </c>
      <c r="F243" s="174">
        <v>19068</v>
      </c>
      <c r="G243" s="175">
        <v>5.3799000000000001</v>
      </c>
      <c r="H243" s="175">
        <v>7.0732999999999997</v>
      </c>
      <c r="I243" s="174">
        <v>69436</v>
      </c>
      <c r="J243" s="175">
        <v>11.148199999999999</v>
      </c>
      <c r="K243" s="176">
        <v>4</v>
      </c>
      <c r="L243" s="177">
        <v>1</v>
      </c>
      <c r="M243" s="177">
        <v>0</v>
      </c>
      <c r="N243" s="175">
        <v>325.67860000000002</v>
      </c>
      <c r="O243" s="174">
        <v>2901895</v>
      </c>
    </row>
    <row r="244" spans="2:15" ht="12.75" customHeight="1" x14ac:dyDescent="0.35">
      <c r="B244" s="157" t="s">
        <v>27</v>
      </c>
      <c r="C244" s="158">
        <v>2005</v>
      </c>
      <c r="D244" s="159">
        <v>17.27</v>
      </c>
      <c r="E244" s="159">
        <v>0.18</v>
      </c>
      <c r="F244" s="160">
        <v>5</v>
      </c>
      <c r="G244" s="161">
        <v>6.1821000000000002</v>
      </c>
      <c r="H244" s="161">
        <v>1.6093999999999999</v>
      </c>
      <c r="I244" s="160">
        <v>13365</v>
      </c>
      <c r="J244" s="161">
        <v>9.5004000000000008</v>
      </c>
      <c r="K244" s="162">
        <v>8.69</v>
      </c>
      <c r="L244" s="163">
        <v>0</v>
      </c>
      <c r="M244" s="163">
        <v>0</v>
      </c>
      <c r="N244" s="161">
        <v>362.75689999999997</v>
      </c>
      <c r="O244" s="160">
        <v>2803274</v>
      </c>
    </row>
    <row r="245" spans="2:15" ht="12.75" customHeight="1" x14ac:dyDescent="0.35">
      <c r="B245" s="164" t="s">
        <v>27</v>
      </c>
      <c r="C245" s="165">
        <v>2006</v>
      </c>
      <c r="D245" s="166">
        <v>17.47</v>
      </c>
      <c r="E245" s="166">
        <v>0</v>
      </c>
      <c r="F245" s="167">
        <v>5</v>
      </c>
      <c r="G245" s="168">
        <v>6.2126000000000001</v>
      </c>
      <c r="H245" s="168"/>
      <c r="I245" s="167">
        <v>12341</v>
      </c>
      <c r="J245" s="168">
        <v>9.4207000000000001</v>
      </c>
      <c r="K245" s="169">
        <v>9.1</v>
      </c>
      <c r="L245" s="170">
        <v>0</v>
      </c>
      <c r="M245" s="170">
        <v>0</v>
      </c>
      <c r="N245" s="168">
        <v>362.75689999999997</v>
      </c>
      <c r="O245" s="167">
        <v>2856999</v>
      </c>
    </row>
    <row r="246" spans="2:15" ht="12.75" customHeight="1" x14ac:dyDescent="0.35">
      <c r="B246" s="157" t="s">
        <v>27</v>
      </c>
      <c r="C246" s="158">
        <v>2007</v>
      </c>
      <c r="D246" s="159">
        <v>18.989999999999998</v>
      </c>
      <c r="E246" s="159">
        <v>0.21</v>
      </c>
      <c r="F246" s="160">
        <v>11</v>
      </c>
      <c r="G246" s="161">
        <v>6.2953000000000001</v>
      </c>
      <c r="H246" s="161">
        <v>1.7918000000000001</v>
      </c>
      <c r="I246" s="160">
        <v>14954</v>
      </c>
      <c r="J246" s="161">
        <v>9.6127000000000002</v>
      </c>
      <c r="K246" s="162">
        <v>8.42</v>
      </c>
      <c r="L246" s="163">
        <v>0</v>
      </c>
      <c r="M246" s="163">
        <v>0</v>
      </c>
      <c r="N246" s="161">
        <v>362.75689999999997</v>
      </c>
      <c r="O246" s="160">
        <v>2854642</v>
      </c>
    </row>
    <row r="247" spans="2:15" ht="12.75" customHeight="1" x14ac:dyDescent="0.35">
      <c r="B247" s="164" t="s">
        <v>27</v>
      </c>
      <c r="C247" s="165">
        <v>2008</v>
      </c>
      <c r="D247" s="166">
        <v>19.579999999999998</v>
      </c>
      <c r="E247" s="166">
        <v>0.51</v>
      </c>
      <c r="F247" s="167">
        <v>26</v>
      </c>
      <c r="G247" s="168">
        <v>6.3613</v>
      </c>
      <c r="H247" s="168">
        <v>2.7081</v>
      </c>
      <c r="I247" s="167">
        <v>18050</v>
      </c>
      <c r="J247" s="168">
        <v>9.8009000000000004</v>
      </c>
      <c r="K247" s="169">
        <v>6.22</v>
      </c>
      <c r="L247" s="170">
        <v>0</v>
      </c>
      <c r="M247" s="170">
        <v>0</v>
      </c>
      <c r="N247" s="168">
        <v>362.75689999999997</v>
      </c>
      <c r="O247" s="167">
        <v>2957735</v>
      </c>
    </row>
    <row r="248" spans="2:15" ht="12.75" customHeight="1" x14ac:dyDescent="0.35">
      <c r="B248" s="157" t="s">
        <v>27</v>
      </c>
      <c r="C248" s="158">
        <v>2009</v>
      </c>
      <c r="D248" s="159">
        <v>19.16</v>
      </c>
      <c r="E248" s="159">
        <v>1.07</v>
      </c>
      <c r="F248" s="160">
        <v>58</v>
      </c>
      <c r="G248" s="161">
        <v>6.3544</v>
      </c>
      <c r="H248" s="161">
        <v>3.4657</v>
      </c>
      <c r="I248" s="160">
        <v>19087</v>
      </c>
      <c r="J248" s="161">
        <v>9.8567999999999998</v>
      </c>
      <c r="K248" s="162">
        <v>6.87</v>
      </c>
      <c r="L248" s="163">
        <v>0</v>
      </c>
      <c r="M248" s="163">
        <v>0</v>
      </c>
      <c r="N248" s="161">
        <v>362.75689999999997</v>
      </c>
      <c r="O248" s="160">
        <v>3001692</v>
      </c>
    </row>
    <row r="249" spans="2:15" ht="12.75" customHeight="1" x14ac:dyDescent="0.35">
      <c r="B249" s="164" t="s">
        <v>27</v>
      </c>
      <c r="C249" s="165">
        <v>2010</v>
      </c>
      <c r="D249" s="166">
        <v>18.71</v>
      </c>
      <c r="E249" s="166">
        <v>1.61</v>
      </c>
      <c r="F249" s="167">
        <v>107</v>
      </c>
      <c r="G249" s="168">
        <v>6.3421000000000003</v>
      </c>
      <c r="H249" s="168">
        <v>3.8917999999999999</v>
      </c>
      <c r="I249" s="167">
        <v>18649</v>
      </c>
      <c r="J249" s="168">
        <v>9.8335000000000008</v>
      </c>
      <c r="K249" s="169">
        <v>7.25</v>
      </c>
      <c r="L249" s="170">
        <v>0</v>
      </c>
      <c r="M249" s="170">
        <v>0</v>
      </c>
      <c r="N249" s="168">
        <v>362.75689999999997</v>
      </c>
      <c r="O249" s="167">
        <v>3035122</v>
      </c>
    </row>
    <row r="250" spans="2:15" ht="12.75" customHeight="1" x14ac:dyDescent="0.35">
      <c r="B250" s="157" t="s">
        <v>27</v>
      </c>
      <c r="C250" s="158">
        <v>2011</v>
      </c>
      <c r="D250" s="159">
        <v>19.670000000000002</v>
      </c>
      <c r="E250" s="159">
        <v>1.89</v>
      </c>
      <c r="F250" s="160">
        <v>165</v>
      </c>
      <c r="G250" s="161">
        <v>6.4051999999999998</v>
      </c>
      <c r="H250" s="161">
        <v>4.0603999999999996</v>
      </c>
      <c r="I250" s="160">
        <v>22482</v>
      </c>
      <c r="J250" s="161">
        <v>10.0205</v>
      </c>
      <c r="K250" s="162">
        <v>7.63</v>
      </c>
      <c r="L250" s="163">
        <v>0</v>
      </c>
      <c r="M250" s="163">
        <v>0</v>
      </c>
      <c r="N250" s="161">
        <v>362.75689999999997</v>
      </c>
      <c r="O250" s="160">
        <v>3075936</v>
      </c>
    </row>
    <row r="251" spans="2:15" ht="12.75" customHeight="1" x14ac:dyDescent="0.35">
      <c r="B251" s="164" t="s">
        <v>27</v>
      </c>
      <c r="C251" s="165">
        <v>2012</v>
      </c>
      <c r="D251" s="166">
        <v>20.83</v>
      </c>
      <c r="E251" s="166">
        <v>3.31</v>
      </c>
      <c r="F251" s="167">
        <v>268</v>
      </c>
      <c r="G251" s="168">
        <v>6.4753999999999996</v>
      </c>
      <c r="H251" s="168">
        <v>4.6346999999999996</v>
      </c>
      <c r="I251" s="167">
        <v>25572</v>
      </c>
      <c r="J251" s="168">
        <v>10.1493</v>
      </c>
      <c r="K251" s="169">
        <v>5.26</v>
      </c>
      <c r="L251" s="170">
        <v>0</v>
      </c>
      <c r="M251" s="170">
        <v>0</v>
      </c>
      <c r="N251" s="168">
        <v>362.75689999999997</v>
      </c>
      <c r="O251" s="167">
        <v>3115336</v>
      </c>
    </row>
    <row r="252" spans="2:15" ht="12.75" customHeight="1" x14ac:dyDescent="0.35">
      <c r="B252" s="157" t="s">
        <v>27</v>
      </c>
      <c r="C252" s="158">
        <v>2013</v>
      </c>
      <c r="D252" s="159">
        <v>23.57</v>
      </c>
      <c r="E252" s="159">
        <v>0.91</v>
      </c>
      <c r="F252" s="160">
        <v>297</v>
      </c>
      <c r="G252" s="161">
        <v>6.6200999999999999</v>
      </c>
      <c r="H252" s="161">
        <v>3.3673000000000002</v>
      </c>
      <c r="I252" s="160">
        <v>28036</v>
      </c>
      <c r="J252" s="161">
        <v>10.241199999999999</v>
      </c>
      <c r="K252" s="162">
        <v>4.9000000000000004</v>
      </c>
      <c r="L252" s="163">
        <v>0</v>
      </c>
      <c r="M252" s="163">
        <v>0</v>
      </c>
      <c r="N252" s="161">
        <v>362.75689999999997</v>
      </c>
      <c r="O252" s="160">
        <v>3182113</v>
      </c>
    </row>
    <row r="253" spans="2:15" ht="12.75" customHeight="1" x14ac:dyDescent="0.35">
      <c r="B253" s="164" t="s">
        <v>27</v>
      </c>
      <c r="C253" s="165">
        <v>2014</v>
      </c>
      <c r="D253" s="166">
        <v>26.55</v>
      </c>
      <c r="E253" s="166">
        <v>2.02</v>
      </c>
      <c r="F253" s="167">
        <v>362</v>
      </c>
      <c r="G253" s="168">
        <v>6.7523</v>
      </c>
      <c r="H253" s="168">
        <v>4.1744000000000003</v>
      </c>
      <c r="I253" s="167">
        <v>31397</v>
      </c>
      <c r="J253" s="168">
        <v>10.3545</v>
      </c>
      <c r="K253" s="169">
        <v>4.8099999999999996</v>
      </c>
      <c r="L253" s="170">
        <v>0</v>
      </c>
      <c r="M253" s="170">
        <v>0</v>
      </c>
      <c r="N253" s="168">
        <v>362.75689999999997</v>
      </c>
      <c r="O253" s="167">
        <v>3224357</v>
      </c>
    </row>
    <row r="254" spans="2:15" ht="12.75" customHeight="1" x14ac:dyDescent="0.35">
      <c r="B254" s="157" t="s">
        <v>27</v>
      </c>
      <c r="C254" s="158">
        <v>2015</v>
      </c>
      <c r="D254" s="159">
        <v>23.89</v>
      </c>
      <c r="E254" s="159">
        <v>0.73</v>
      </c>
      <c r="F254" s="160">
        <v>386</v>
      </c>
      <c r="G254" s="161">
        <v>6.6593</v>
      </c>
      <c r="H254" s="161">
        <v>3.1781000000000001</v>
      </c>
      <c r="I254" s="160">
        <v>32895</v>
      </c>
      <c r="J254" s="161">
        <v>10.4011</v>
      </c>
      <c r="K254" s="162">
        <v>6.2</v>
      </c>
      <c r="L254" s="163">
        <v>0</v>
      </c>
      <c r="M254" s="163">
        <v>0</v>
      </c>
      <c r="N254" s="161">
        <v>362.75689999999997</v>
      </c>
      <c r="O254" s="160">
        <v>3265486</v>
      </c>
    </row>
    <row r="255" spans="2:15" ht="12.75" customHeight="1" x14ac:dyDescent="0.35">
      <c r="B255" s="171" t="s">
        <v>27</v>
      </c>
      <c r="C255" s="172">
        <v>2016</v>
      </c>
      <c r="D255" s="173">
        <v>22.9</v>
      </c>
      <c r="E255" s="173">
        <v>4.33</v>
      </c>
      <c r="F255" s="174">
        <v>529</v>
      </c>
      <c r="G255" s="175">
        <v>6.6294000000000004</v>
      </c>
      <c r="H255" s="175">
        <v>4.9627999999999997</v>
      </c>
      <c r="I255" s="174">
        <v>37477</v>
      </c>
      <c r="J255" s="175">
        <v>10.531499999999999</v>
      </c>
      <c r="K255" s="176">
        <v>9.5</v>
      </c>
      <c r="L255" s="177">
        <v>0</v>
      </c>
      <c r="M255" s="177">
        <v>0</v>
      </c>
      <c r="N255" s="175">
        <v>362.75689999999997</v>
      </c>
      <c r="O255" s="174">
        <v>3305531</v>
      </c>
    </row>
    <row r="256" spans="2:15" ht="12.75" customHeight="1" x14ac:dyDescent="0.35">
      <c r="B256" s="178" t="s">
        <v>27</v>
      </c>
      <c r="C256" s="179">
        <v>2017</v>
      </c>
      <c r="D256" s="180">
        <v>20.18</v>
      </c>
      <c r="E256" s="180">
        <v>6.76</v>
      </c>
      <c r="F256" s="181">
        <v>755</v>
      </c>
      <c r="G256" s="182">
        <v>6.5147000000000004</v>
      </c>
      <c r="H256" s="182">
        <v>5.4204999999999997</v>
      </c>
      <c r="I256" s="181">
        <v>37926</v>
      </c>
      <c r="J256" s="182">
        <v>10.5434</v>
      </c>
      <c r="K256" s="183">
        <v>9.1</v>
      </c>
      <c r="L256" s="184">
        <v>0</v>
      </c>
      <c r="M256" s="184">
        <v>0</v>
      </c>
      <c r="N256" s="182">
        <v>362.75689999999997</v>
      </c>
      <c r="O256" s="181">
        <v>3344544</v>
      </c>
    </row>
    <row r="257" spans="2:15" ht="12.75" customHeight="1" x14ac:dyDescent="0.35">
      <c r="B257" s="171" t="s">
        <v>27</v>
      </c>
      <c r="C257" s="172">
        <v>2018</v>
      </c>
      <c r="D257" s="173">
        <v>16.329999999999998</v>
      </c>
      <c r="E257" s="173">
        <v>9.44</v>
      </c>
      <c r="F257" s="174">
        <v>1080</v>
      </c>
      <c r="G257" s="175">
        <v>6.3315000000000001</v>
      </c>
      <c r="H257" s="175">
        <v>5.7838000000000003</v>
      </c>
      <c r="I257" s="174">
        <v>39931</v>
      </c>
      <c r="J257" s="175">
        <v>10.594900000000001</v>
      </c>
      <c r="K257" s="176">
        <v>8</v>
      </c>
      <c r="L257" s="177">
        <v>0</v>
      </c>
      <c r="M257" s="177">
        <v>0</v>
      </c>
      <c r="N257" s="175">
        <v>362.75689999999997</v>
      </c>
      <c r="O257" s="174">
        <v>3441998</v>
      </c>
    </row>
    <row r="258" spans="2:15" ht="12.75" customHeight="1" x14ac:dyDescent="0.35">
      <c r="B258" s="178" t="s">
        <v>27</v>
      </c>
      <c r="C258" s="179">
        <v>2019</v>
      </c>
      <c r="D258" s="180">
        <v>14.52</v>
      </c>
      <c r="E258" s="180">
        <v>47.47</v>
      </c>
      <c r="F258" s="181">
        <v>2734</v>
      </c>
      <c r="G258" s="182">
        <v>6.2264999999999997</v>
      </c>
      <c r="H258" s="182">
        <v>7.4109999999999996</v>
      </c>
      <c r="I258" s="181">
        <v>40787</v>
      </c>
      <c r="J258" s="182">
        <v>10.616099999999999</v>
      </c>
      <c r="K258" s="183">
        <v>8</v>
      </c>
      <c r="L258" s="184">
        <v>0</v>
      </c>
      <c r="M258" s="184">
        <v>0</v>
      </c>
      <c r="N258" s="182">
        <v>362.75689999999997</v>
      </c>
      <c r="O258" s="181">
        <v>3484466</v>
      </c>
    </row>
    <row r="259" spans="2:15" ht="12.75" customHeight="1" x14ac:dyDescent="0.35">
      <c r="B259" s="171" t="s">
        <v>27</v>
      </c>
      <c r="C259" s="172">
        <v>2020</v>
      </c>
      <c r="D259" s="173">
        <v>16.850000000000001</v>
      </c>
      <c r="E259" s="173">
        <v>64.349999999999994</v>
      </c>
      <c r="F259" s="174">
        <v>5003</v>
      </c>
      <c r="G259" s="175">
        <v>6.3868999999999998</v>
      </c>
      <c r="H259" s="175">
        <v>7.7271000000000001</v>
      </c>
      <c r="I259" s="174">
        <v>50663</v>
      </c>
      <c r="J259" s="175">
        <v>10.833</v>
      </c>
      <c r="K259" s="176">
        <v>9.9</v>
      </c>
      <c r="L259" s="177">
        <v>0</v>
      </c>
      <c r="M259" s="177">
        <v>1</v>
      </c>
      <c r="N259" s="175">
        <v>362.75689999999997</v>
      </c>
      <c r="O259" s="174">
        <v>3526220</v>
      </c>
    </row>
    <row r="260" spans="2:15" ht="12.75" customHeight="1" x14ac:dyDescent="0.35">
      <c r="B260" s="178" t="s">
        <v>27</v>
      </c>
      <c r="C260" s="179">
        <v>2021</v>
      </c>
      <c r="D260" s="180">
        <v>15.59</v>
      </c>
      <c r="E260" s="180">
        <v>169.43</v>
      </c>
      <c r="F260" s="181">
        <v>11047</v>
      </c>
      <c r="G260" s="182">
        <v>6.3208000000000002</v>
      </c>
      <c r="H260" s="182">
        <v>8.7067999999999994</v>
      </c>
      <c r="I260" s="181">
        <v>65426</v>
      </c>
      <c r="J260" s="182">
        <v>11.088699999999999</v>
      </c>
      <c r="K260" s="183">
        <v>8</v>
      </c>
      <c r="L260" s="184">
        <v>0</v>
      </c>
      <c r="M260" s="184">
        <v>1</v>
      </c>
      <c r="N260" s="182">
        <v>362.75689999999997</v>
      </c>
      <c r="O260" s="181">
        <v>3567234</v>
      </c>
    </row>
    <row r="261" spans="2:15" ht="12.75" customHeight="1" x14ac:dyDescent="0.35">
      <c r="B261" s="171" t="s">
        <v>27</v>
      </c>
      <c r="C261" s="172">
        <v>2022</v>
      </c>
      <c r="D261" s="173">
        <v>18.48</v>
      </c>
      <c r="E261" s="173">
        <v>362.76</v>
      </c>
      <c r="F261" s="174">
        <v>24319</v>
      </c>
      <c r="G261" s="175">
        <v>6.5162000000000004</v>
      </c>
      <c r="H261" s="175">
        <v>9.4933999999999994</v>
      </c>
      <c r="I261" s="174">
        <v>69842</v>
      </c>
      <c r="J261" s="175">
        <v>11.154</v>
      </c>
      <c r="K261" s="176">
        <v>4.3</v>
      </c>
      <c r="L261" s="177">
        <v>0</v>
      </c>
      <c r="M261" s="177">
        <v>0</v>
      </c>
      <c r="N261" s="175">
        <v>362.75689999999997</v>
      </c>
      <c r="O261" s="174">
        <v>3658649</v>
      </c>
    </row>
    <row r="262" spans="2:15" ht="12.75" customHeight="1" x14ac:dyDescent="0.35">
      <c r="B262" s="178" t="s">
        <v>27</v>
      </c>
      <c r="C262" s="179">
        <v>2023</v>
      </c>
      <c r="D262" s="180">
        <v>20.91</v>
      </c>
      <c r="E262" s="180">
        <v>1.01</v>
      </c>
      <c r="F262" s="181">
        <v>24356</v>
      </c>
      <c r="G262" s="182">
        <v>6.6398999999999999</v>
      </c>
      <c r="H262" s="182">
        <v>3.6109</v>
      </c>
      <c r="I262" s="181">
        <v>74620</v>
      </c>
      <c r="J262" s="182">
        <v>11.2202</v>
      </c>
      <c r="K262" s="183">
        <v>3.5</v>
      </c>
      <c r="L262" s="184">
        <v>1</v>
      </c>
      <c r="M262" s="184">
        <v>0</v>
      </c>
      <c r="N262" s="182">
        <v>362.75689999999997</v>
      </c>
      <c r="O262" s="181">
        <v>3658649</v>
      </c>
    </row>
    <row r="263" spans="2:15" ht="12.75" customHeight="1" x14ac:dyDescent="0.35">
      <c r="B263" s="171" t="s">
        <v>27</v>
      </c>
      <c r="C263" s="172">
        <v>2024</v>
      </c>
      <c r="D263" s="173">
        <v>18.059999999999999</v>
      </c>
      <c r="E263" s="173">
        <v>58.75</v>
      </c>
      <c r="F263" s="174">
        <v>26610</v>
      </c>
      <c r="G263" s="175">
        <v>6.5410000000000004</v>
      </c>
      <c r="H263" s="175">
        <v>7.7205000000000004</v>
      </c>
      <c r="I263" s="174">
        <v>75843</v>
      </c>
      <c r="J263" s="175">
        <v>11.2364</v>
      </c>
      <c r="K263" s="176">
        <v>2.9</v>
      </c>
      <c r="L263" s="177">
        <v>1</v>
      </c>
      <c r="M263" s="177">
        <v>0</v>
      </c>
      <c r="N263" s="175">
        <v>362.75689999999997</v>
      </c>
      <c r="O263" s="174">
        <v>3836399</v>
      </c>
    </row>
    <row r="264" spans="2:15" ht="12.75" customHeight="1" x14ac:dyDescent="0.35">
      <c r="B264" s="157" t="s">
        <v>28</v>
      </c>
      <c r="C264" s="158">
        <v>2005</v>
      </c>
      <c r="D264" s="159">
        <v>17.2</v>
      </c>
      <c r="E264" s="159">
        <v>0.09</v>
      </c>
      <c r="F264" s="160">
        <v>6</v>
      </c>
      <c r="G264" s="161">
        <v>7.0891999999999999</v>
      </c>
      <c r="H264" s="161">
        <v>1.7918000000000001</v>
      </c>
      <c r="I264" s="160">
        <v>5612</v>
      </c>
      <c r="J264" s="161">
        <v>8.6326999999999998</v>
      </c>
      <c r="K264" s="162">
        <v>9.6999999999999993</v>
      </c>
      <c r="L264" s="163">
        <v>0</v>
      </c>
      <c r="M264" s="163">
        <v>0</v>
      </c>
      <c r="N264" s="161">
        <v>75.466800000000006</v>
      </c>
      <c r="O264" s="160">
        <v>6970586</v>
      </c>
    </row>
    <row r="265" spans="2:15" ht="12.75" customHeight="1" x14ac:dyDescent="0.35">
      <c r="B265" s="164" t="s">
        <v>28</v>
      </c>
      <c r="C265" s="165">
        <v>2006</v>
      </c>
      <c r="D265" s="166">
        <v>18.23</v>
      </c>
      <c r="E265" s="166">
        <v>0.04</v>
      </c>
      <c r="F265" s="167">
        <v>9</v>
      </c>
      <c r="G265" s="168">
        <v>7.1669999999999998</v>
      </c>
      <c r="H265" s="168">
        <v>1.0986</v>
      </c>
      <c r="I265" s="167">
        <v>6240</v>
      </c>
      <c r="J265" s="168">
        <v>8.7386999999999997</v>
      </c>
      <c r="K265" s="169">
        <v>9.26</v>
      </c>
      <c r="L265" s="170">
        <v>0</v>
      </c>
      <c r="M265" s="170">
        <v>0</v>
      </c>
      <c r="N265" s="168">
        <v>75.466800000000006</v>
      </c>
      <c r="O265" s="167">
        <v>7110465</v>
      </c>
    </row>
    <row r="266" spans="2:15" ht="12.75" customHeight="1" x14ac:dyDescent="0.35">
      <c r="B266" s="157" t="s">
        <v>28</v>
      </c>
      <c r="C266" s="158">
        <v>2007</v>
      </c>
      <c r="D266" s="159">
        <v>19.670000000000002</v>
      </c>
      <c r="E266" s="159">
        <v>0.11</v>
      </c>
      <c r="F266" s="160">
        <v>17</v>
      </c>
      <c r="G266" s="161">
        <v>7.2370999999999999</v>
      </c>
      <c r="H266" s="161">
        <v>2.0794000000000001</v>
      </c>
      <c r="I266" s="160">
        <v>7007</v>
      </c>
      <c r="J266" s="161">
        <v>8.8546999999999993</v>
      </c>
      <c r="K266" s="162">
        <v>8.7200000000000006</v>
      </c>
      <c r="L266" s="163">
        <v>0</v>
      </c>
      <c r="M266" s="163">
        <v>0</v>
      </c>
      <c r="N266" s="161">
        <v>75.466800000000006</v>
      </c>
      <c r="O266" s="160">
        <v>7065573</v>
      </c>
    </row>
    <row r="267" spans="2:15" ht="12.75" customHeight="1" x14ac:dyDescent="0.35">
      <c r="B267" s="164" t="s">
        <v>28</v>
      </c>
      <c r="C267" s="165">
        <v>2008</v>
      </c>
      <c r="D267" s="166">
        <v>26.43</v>
      </c>
      <c r="E267" s="166">
        <v>0.28999999999999998</v>
      </c>
      <c r="F267" s="167">
        <v>38</v>
      </c>
      <c r="G267" s="168">
        <v>7.5678999999999998</v>
      </c>
      <c r="H267" s="168">
        <v>3.0445000000000002</v>
      </c>
      <c r="I267" s="167">
        <v>7993</v>
      </c>
      <c r="J267" s="168">
        <v>8.9863</v>
      </c>
      <c r="K267" s="169">
        <v>6.78</v>
      </c>
      <c r="L267" s="170">
        <v>0</v>
      </c>
      <c r="M267" s="170">
        <v>0</v>
      </c>
      <c r="N267" s="168">
        <v>75.466800000000006</v>
      </c>
      <c r="O267" s="167">
        <v>7321490</v>
      </c>
    </row>
    <row r="268" spans="2:15" ht="12.75" customHeight="1" x14ac:dyDescent="0.35">
      <c r="B268" s="157" t="s">
        <v>28</v>
      </c>
      <c r="C268" s="158">
        <v>2009</v>
      </c>
      <c r="D268" s="159">
        <v>27.48</v>
      </c>
      <c r="E268" s="159">
        <v>0.35</v>
      </c>
      <c r="F268" s="160">
        <v>64</v>
      </c>
      <c r="G268" s="161">
        <v>7.6216999999999997</v>
      </c>
      <c r="H268" s="161">
        <v>3.2581000000000002</v>
      </c>
      <c r="I268" s="160">
        <v>7859</v>
      </c>
      <c r="J268" s="161">
        <v>8.9694000000000003</v>
      </c>
      <c r="K268" s="162">
        <v>10.24</v>
      </c>
      <c r="L268" s="163">
        <v>0</v>
      </c>
      <c r="M268" s="163">
        <v>0</v>
      </c>
      <c r="N268" s="161">
        <v>75.466800000000006</v>
      </c>
      <c r="O268" s="160">
        <v>7431020</v>
      </c>
    </row>
    <row r="269" spans="2:15" ht="12.75" customHeight="1" x14ac:dyDescent="0.35">
      <c r="B269" s="164" t="s">
        <v>28</v>
      </c>
      <c r="C269" s="165">
        <v>2010</v>
      </c>
      <c r="D269" s="166">
        <v>33.24</v>
      </c>
      <c r="E269" s="166">
        <v>0.16</v>
      </c>
      <c r="F269" s="167">
        <v>76</v>
      </c>
      <c r="G269" s="168">
        <v>7.8319999999999999</v>
      </c>
      <c r="H269" s="168">
        <v>2.4849000000000001</v>
      </c>
      <c r="I269" s="167">
        <v>10907</v>
      </c>
      <c r="J269" s="168">
        <v>9.2972000000000001</v>
      </c>
      <c r="K269" s="169">
        <v>9.93</v>
      </c>
      <c r="L269" s="170">
        <v>0</v>
      </c>
      <c r="M269" s="170">
        <v>0</v>
      </c>
      <c r="N269" s="168">
        <v>75.466800000000006</v>
      </c>
      <c r="O269" s="167">
        <v>7581051</v>
      </c>
    </row>
    <row r="270" spans="2:15" ht="12.75" customHeight="1" x14ac:dyDescent="0.35">
      <c r="B270" s="157" t="s">
        <v>28</v>
      </c>
      <c r="C270" s="158">
        <v>2011</v>
      </c>
      <c r="D270" s="159">
        <v>27.08</v>
      </c>
      <c r="E270" s="159">
        <v>0.26</v>
      </c>
      <c r="F270" s="160">
        <v>96</v>
      </c>
      <c r="G270" s="161">
        <v>7.6410999999999998</v>
      </c>
      <c r="H270" s="161">
        <v>2.9956999999999998</v>
      </c>
      <c r="I270" s="160">
        <v>12839</v>
      </c>
      <c r="J270" s="161">
        <v>9.4602000000000004</v>
      </c>
      <c r="K270" s="162">
        <v>9.6199999999999992</v>
      </c>
      <c r="L270" s="163">
        <v>0</v>
      </c>
      <c r="M270" s="163">
        <v>0</v>
      </c>
      <c r="N270" s="161">
        <v>75.466800000000006</v>
      </c>
      <c r="O270" s="160">
        <v>7688593</v>
      </c>
    </row>
    <row r="271" spans="2:15" ht="12.75" customHeight="1" x14ac:dyDescent="0.35">
      <c r="B271" s="164" t="s">
        <v>28</v>
      </c>
      <c r="C271" s="165">
        <v>2012</v>
      </c>
      <c r="D271" s="166">
        <v>27.64</v>
      </c>
      <c r="E271" s="166">
        <v>0.32</v>
      </c>
      <c r="F271" s="167">
        <v>121</v>
      </c>
      <c r="G271" s="168">
        <v>7.6731999999999996</v>
      </c>
      <c r="H271" s="168">
        <v>3.2189000000000001</v>
      </c>
      <c r="I271" s="167">
        <v>13768</v>
      </c>
      <c r="J271" s="168">
        <v>9.5300999999999991</v>
      </c>
      <c r="K271" s="169">
        <v>7.8</v>
      </c>
      <c r="L271" s="170">
        <v>0</v>
      </c>
      <c r="M271" s="170">
        <v>0</v>
      </c>
      <c r="N271" s="168">
        <v>75.466800000000006</v>
      </c>
      <c r="O271" s="167">
        <v>7777543</v>
      </c>
    </row>
    <row r="272" spans="2:15" ht="12.75" customHeight="1" x14ac:dyDescent="0.35">
      <c r="B272" s="157" t="s">
        <v>28</v>
      </c>
      <c r="C272" s="158">
        <v>2013</v>
      </c>
      <c r="D272" s="159">
        <v>28.28</v>
      </c>
      <c r="E272" s="159">
        <v>0.28000000000000003</v>
      </c>
      <c r="F272" s="160">
        <v>143</v>
      </c>
      <c r="G272" s="161">
        <v>7.7205000000000004</v>
      </c>
      <c r="H272" s="161">
        <v>3.0910000000000002</v>
      </c>
      <c r="I272" s="160">
        <v>15211</v>
      </c>
      <c r="J272" s="161">
        <v>9.6297999999999995</v>
      </c>
      <c r="K272" s="162">
        <v>9.59</v>
      </c>
      <c r="L272" s="163">
        <v>0</v>
      </c>
      <c r="M272" s="163">
        <v>0</v>
      </c>
      <c r="N272" s="161">
        <v>75.466800000000006</v>
      </c>
      <c r="O272" s="160">
        <v>7969654</v>
      </c>
    </row>
    <row r="273" spans="2:15" ht="12.75" customHeight="1" x14ac:dyDescent="0.35">
      <c r="B273" s="164" t="s">
        <v>28</v>
      </c>
      <c r="C273" s="165">
        <v>2014</v>
      </c>
      <c r="D273" s="166">
        <v>28.82</v>
      </c>
      <c r="E273" s="166">
        <v>0.25</v>
      </c>
      <c r="F273" s="167">
        <v>163</v>
      </c>
      <c r="G273" s="168">
        <v>7.7523</v>
      </c>
      <c r="H273" s="168">
        <v>2.9956999999999998</v>
      </c>
      <c r="I273" s="167">
        <v>15431</v>
      </c>
      <c r="J273" s="168">
        <v>9.6440999999999999</v>
      </c>
      <c r="K273" s="169">
        <v>9.7100000000000009</v>
      </c>
      <c r="L273" s="170">
        <v>0</v>
      </c>
      <c r="M273" s="170">
        <v>0</v>
      </c>
      <c r="N273" s="168">
        <v>75.466800000000006</v>
      </c>
      <c r="O273" s="167">
        <v>8073924</v>
      </c>
    </row>
    <row r="274" spans="2:15" ht="12.75" customHeight="1" x14ac:dyDescent="0.35">
      <c r="B274" s="157" t="s">
        <v>28</v>
      </c>
      <c r="C274" s="158">
        <v>2015</v>
      </c>
      <c r="D274" s="159">
        <v>31.14</v>
      </c>
      <c r="E274" s="159">
        <v>0.21</v>
      </c>
      <c r="F274" s="160">
        <v>180</v>
      </c>
      <c r="G274" s="161">
        <v>7.8422999999999998</v>
      </c>
      <c r="H274" s="161">
        <v>2.8332000000000002</v>
      </c>
      <c r="I274" s="160">
        <v>16012</v>
      </c>
      <c r="J274" s="161">
        <v>9.6811000000000007</v>
      </c>
      <c r="K274" s="162">
        <v>8.9</v>
      </c>
      <c r="L274" s="163">
        <v>0</v>
      </c>
      <c r="M274" s="163">
        <v>0</v>
      </c>
      <c r="N274" s="161">
        <v>75.466800000000006</v>
      </c>
      <c r="O274" s="160">
        <v>8175113</v>
      </c>
    </row>
    <row r="275" spans="2:15" ht="12.75" customHeight="1" x14ac:dyDescent="0.35">
      <c r="B275" s="171" t="s">
        <v>28</v>
      </c>
      <c r="C275" s="172">
        <v>2016</v>
      </c>
      <c r="D275" s="173">
        <v>37</v>
      </c>
      <c r="E275" s="173">
        <v>0.62</v>
      </c>
      <c r="F275" s="174">
        <v>231</v>
      </c>
      <c r="G275" s="175">
        <v>8.0265000000000004</v>
      </c>
      <c r="H275" s="175">
        <v>3.9318</v>
      </c>
      <c r="I275" s="174">
        <v>16694</v>
      </c>
      <c r="J275" s="175">
        <v>9.7227999999999994</v>
      </c>
      <c r="K275" s="176">
        <v>11.2</v>
      </c>
      <c r="L275" s="177">
        <v>0</v>
      </c>
      <c r="M275" s="177">
        <v>0</v>
      </c>
      <c r="N275" s="175">
        <v>75.466800000000006</v>
      </c>
      <c r="O275" s="174">
        <v>8272724</v>
      </c>
    </row>
    <row r="276" spans="2:15" ht="12.75" customHeight="1" x14ac:dyDescent="0.35">
      <c r="B276" s="178" t="s">
        <v>28</v>
      </c>
      <c r="C276" s="179">
        <v>2017</v>
      </c>
      <c r="D276" s="180">
        <v>40.369999999999997</v>
      </c>
      <c r="E276" s="180">
        <v>0.81</v>
      </c>
      <c r="F276" s="181">
        <v>299</v>
      </c>
      <c r="G276" s="182">
        <v>8.125</v>
      </c>
      <c r="H276" s="182">
        <v>4.2195</v>
      </c>
      <c r="I276" s="181">
        <v>18554</v>
      </c>
      <c r="J276" s="182">
        <v>9.8284000000000002</v>
      </c>
      <c r="K276" s="183">
        <v>11.8</v>
      </c>
      <c r="L276" s="184">
        <v>0</v>
      </c>
      <c r="M276" s="184">
        <v>0</v>
      </c>
      <c r="N276" s="182">
        <v>75.466800000000006</v>
      </c>
      <c r="O276" s="181">
        <v>8366628</v>
      </c>
    </row>
    <row r="277" spans="2:15" ht="12.75" customHeight="1" x14ac:dyDescent="0.35">
      <c r="B277" s="171" t="s">
        <v>28</v>
      </c>
      <c r="C277" s="172">
        <v>2018</v>
      </c>
      <c r="D277" s="173">
        <v>40.65</v>
      </c>
      <c r="E277" s="173">
        <v>0.99</v>
      </c>
      <c r="F277" s="174">
        <v>383</v>
      </c>
      <c r="G277" s="175">
        <v>8.1493000000000002</v>
      </c>
      <c r="H277" s="175">
        <v>4.4307999999999996</v>
      </c>
      <c r="I277" s="174">
        <v>18952</v>
      </c>
      <c r="J277" s="175">
        <v>9.8497000000000003</v>
      </c>
      <c r="K277" s="176">
        <v>11.2</v>
      </c>
      <c r="L277" s="177">
        <v>0</v>
      </c>
      <c r="M277" s="177">
        <v>0</v>
      </c>
      <c r="N277" s="175">
        <v>75.466800000000006</v>
      </c>
      <c r="O277" s="174">
        <v>8513497</v>
      </c>
    </row>
    <row r="278" spans="2:15" ht="12.75" customHeight="1" x14ac:dyDescent="0.35">
      <c r="B278" s="178" t="s">
        <v>28</v>
      </c>
      <c r="C278" s="179">
        <v>2019</v>
      </c>
      <c r="D278" s="180">
        <v>27.39</v>
      </c>
      <c r="E278" s="180">
        <v>5.7</v>
      </c>
      <c r="F278" s="181">
        <v>873</v>
      </c>
      <c r="G278" s="182">
        <v>7.7647000000000004</v>
      </c>
      <c r="H278" s="182">
        <v>6.1943999999999999</v>
      </c>
      <c r="I278" s="181">
        <v>20735</v>
      </c>
      <c r="J278" s="182">
        <v>9.9396000000000004</v>
      </c>
      <c r="K278" s="183">
        <v>10.8</v>
      </c>
      <c r="L278" s="184">
        <v>0</v>
      </c>
      <c r="M278" s="184">
        <v>0</v>
      </c>
      <c r="N278" s="182">
        <v>75.466800000000006</v>
      </c>
      <c r="O278" s="181">
        <v>8602865</v>
      </c>
    </row>
    <row r="279" spans="2:15" ht="12.75" customHeight="1" x14ac:dyDescent="0.35">
      <c r="B279" s="171" t="s">
        <v>28</v>
      </c>
      <c r="C279" s="172">
        <v>2020</v>
      </c>
      <c r="D279" s="173">
        <v>21.85</v>
      </c>
      <c r="E279" s="173">
        <v>22.29</v>
      </c>
      <c r="F279" s="174">
        <v>2810</v>
      </c>
      <c r="G279" s="175">
        <v>7.5491000000000001</v>
      </c>
      <c r="H279" s="175">
        <v>7.5689000000000002</v>
      </c>
      <c r="I279" s="174">
        <v>24847</v>
      </c>
      <c r="J279" s="175">
        <v>10.1205</v>
      </c>
      <c r="K279" s="176">
        <v>10.5</v>
      </c>
      <c r="L279" s="177">
        <v>0</v>
      </c>
      <c r="M279" s="177">
        <v>1</v>
      </c>
      <c r="N279" s="175">
        <v>75.466800000000006</v>
      </c>
      <c r="O279" s="174">
        <v>8690745</v>
      </c>
    </row>
    <row r="280" spans="2:15" ht="12.75" customHeight="1" x14ac:dyDescent="0.35">
      <c r="B280" s="178" t="s">
        <v>28</v>
      </c>
      <c r="C280" s="179">
        <v>2021</v>
      </c>
      <c r="D280" s="180">
        <v>22.32</v>
      </c>
      <c r="E280" s="180">
        <v>46.17</v>
      </c>
      <c r="F280" s="181">
        <v>6862</v>
      </c>
      <c r="G280" s="182">
        <v>7.5801999999999996</v>
      </c>
      <c r="H280" s="182">
        <v>8.3070000000000004</v>
      </c>
      <c r="I280" s="181">
        <v>29953</v>
      </c>
      <c r="J280" s="182">
        <v>10.307399999999999</v>
      </c>
      <c r="K280" s="183">
        <v>12.5</v>
      </c>
      <c r="L280" s="184">
        <v>0</v>
      </c>
      <c r="M280" s="184">
        <v>1</v>
      </c>
      <c r="N280" s="182">
        <v>75.466800000000006</v>
      </c>
      <c r="O280" s="181">
        <v>8777124</v>
      </c>
    </row>
    <row r="281" spans="2:15" ht="12.75" customHeight="1" x14ac:dyDescent="0.35">
      <c r="B281" s="171" t="s">
        <v>28</v>
      </c>
      <c r="C281" s="172">
        <v>2022</v>
      </c>
      <c r="D281" s="173">
        <v>25.11</v>
      </c>
      <c r="E281" s="173">
        <v>75.47</v>
      </c>
      <c r="F281" s="174">
        <v>12990</v>
      </c>
      <c r="G281" s="175">
        <v>7.6201999999999996</v>
      </c>
      <c r="H281" s="175">
        <v>8.7205999999999992</v>
      </c>
      <c r="I281" s="174">
        <v>29081</v>
      </c>
      <c r="J281" s="175">
        <v>10.277799999999999</v>
      </c>
      <c r="K281" s="176">
        <v>9.6</v>
      </c>
      <c r="L281" s="177">
        <v>0</v>
      </c>
      <c r="M281" s="177">
        <v>0</v>
      </c>
      <c r="N281" s="175">
        <v>75.466800000000006</v>
      </c>
      <c r="O281" s="174">
        <v>8120131</v>
      </c>
    </row>
    <row r="282" spans="2:15" ht="12.75" customHeight="1" x14ac:dyDescent="0.35">
      <c r="B282" s="178" t="s">
        <v>28</v>
      </c>
      <c r="C282" s="179">
        <v>2023</v>
      </c>
      <c r="D282" s="180">
        <v>21.74</v>
      </c>
      <c r="E282" s="180">
        <v>0.22</v>
      </c>
      <c r="F282" s="181">
        <v>13008</v>
      </c>
      <c r="G282" s="182">
        <v>7.4759000000000002</v>
      </c>
      <c r="H282" s="182">
        <v>2.8904000000000001</v>
      </c>
      <c r="I282" s="181">
        <v>31348</v>
      </c>
      <c r="J282" s="182">
        <v>10.3529</v>
      </c>
      <c r="K282" s="183">
        <v>8.5</v>
      </c>
      <c r="L282" s="184">
        <v>1</v>
      </c>
      <c r="M282" s="184">
        <v>0</v>
      </c>
      <c r="N282" s="182">
        <v>75.466800000000006</v>
      </c>
      <c r="O282" s="181">
        <v>8120131</v>
      </c>
    </row>
    <row r="283" spans="2:15" ht="12.75" customHeight="1" x14ac:dyDescent="0.35">
      <c r="B283" s="171" t="s">
        <v>28</v>
      </c>
      <c r="C283" s="172">
        <v>2024</v>
      </c>
      <c r="D283" s="173">
        <v>18</v>
      </c>
      <c r="E283" s="173">
        <v>11.15</v>
      </c>
      <c r="F283" s="174">
        <v>13974</v>
      </c>
      <c r="G283" s="175">
        <v>7.3524000000000003</v>
      </c>
      <c r="H283" s="175">
        <v>6.8731999999999998</v>
      </c>
      <c r="I283" s="174">
        <v>30179</v>
      </c>
      <c r="J283" s="175">
        <v>10.3149</v>
      </c>
      <c r="K283" s="176">
        <v>7.5</v>
      </c>
      <c r="L283" s="177">
        <v>1</v>
      </c>
      <c r="M283" s="177">
        <v>0</v>
      </c>
      <c r="N283" s="175">
        <v>75.466800000000006</v>
      </c>
      <c r="O283" s="174">
        <v>8664306</v>
      </c>
    </row>
    <row r="284" spans="2:15" ht="12.75" customHeight="1" x14ac:dyDescent="0.35">
      <c r="B284" s="157" t="s">
        <v>29</v>
      </c>
      <c r="C284" s="158">
        <v>2005</v>
      </c>
      <c r="D284" s="159">
        <v>15.04</v>
      </c>
      <c r="E284" s="159">
        <v>0.22</v>
      </c>
      <c r="F284" s="160">
        <v>8</v>
      </c>
      <c r="G284" s="161">
        <v>6.2934000000000001</v>
      </c>
      <c r="H284" s="161">
        <v>2.0794000000000001</v>
      </c>
      <c r="I284" s="160">
        <v>4691</v>
      </c>
      <c r="J284" s="161">
        <v>8.4534000000000002</v>
      </c>
      <c r="K284" s="162">
        <v>8.69</v>
      </c>
      <c r="L284" s="163">
        <v>0</v>
      </c>
      <c r="M284" s="163">
        <v>0</v>
      </c>
      <c r="N284" s="161">
        <v>93.391000000000005</v>
      </c>
      <c r="O284" s="160">
        <v>3595886</v>
      </c>
    </row>
    <row r="285" spans="2:15" ht="12.75" customHeight="1" x14ac:dyDescent="0.35">
      <c r="B285" s="164" t="s">
        <v>29</v>
      </c>
      <c r="C285" s="165">
        <v>2006</v>
      </c>
      <c r="D285" s="166">
        <v>17.309999999999999</v>
      </c>
      <c r="E285" s="166">
        <v>0.06</v>
      </c>
      <c r="F285" s="167">
        <v>10</v>
      </c>
      <c r="G285" s="168">
        <v>6.4409000000000001</v>
      </c>
      <c r="H285" s="168">
        <v>0.69310000000000005</v>
      </c>
      <c r="I285" s="167">
        <v>5506</v>
      </c>
      <c r="J285" s="168">
        <v>8.6135999999999999</v>
      </c>
      <c r="K285" s="169">
        <v>8.69</v>
      </c>
      <c r="L285" s="170">
        <v>0</v>
      </c>
      <c r="M285" s="170">
        <v>0</v>
      </c>
      <c r="N285" s="168">
        <v>93.391000000000005</v>
      </c>
      <c r="O285" s="167">
        <v>3623215</v>
      </c>
    </row>
    <row r="286" spans="2:15" ht="12.75" customHeight="1" x14ac:dyDescent="0.35">
      <c r="B286" s="157" t="s">
        <v>29</v>
      </c>
      <c r="C286" s="158">
        <v>2007</v>
      </c>
      <c r="D286" s="159">
        <v>18.100000000000001</v>
      </c>
      <c r="E286" s="159">
        <v>0.03</v>
      </c>
      <c r="F286" s="160">
        <v>11</v>
      </c>
      <c r="G286" s="161">
        <v>6.4907000000000004</v>
      </c>
      <c r="H286" s="161">
        <v>0</v>
      </c>
      <c r="I286" s="160">
        <v>6097</v>
      </c>
      <c r="J286" s="161">
        <v>8.7156000000000002</v>
      </c>
      <c r="K286" s="162">
        <v>8.5</v>
      </c>
      <c r="L286" s="163">
        <v>0</v>
      </c>
      <c r="M286" s="163">
        <v>0</v>
      </c>
      <c r="N286" s="161">
        <v>93.391000000000005</v>
      </c>
      <c r="O286" s="160">
        <v>3641397</v>
      </c>
    </row>
    <row r="287" spans="2:15" ht="12.75" customHeight="1" x14ac:dyDescent="0.35">
      <c r="B287" s="164" t="s">
        <v>29</v>
      </c>
      <c r="C287" s="165">
        <v>2008</v>
      </c>
      <c r="D287" s="166">
        <v>19.91</v>
      </c>
      <c r="E287" s="166">
        <v>0.32</v>
      </c>
      <c r="F287" s="167">
        <v>23</v>
      </c>
      <c r="G287" s="168">
        <v>6.6134000000000004</v>
      </c>
      <c r="H287" s="168">
        <v>2.4849000000000001</v>
      </c>
      <c r="I287" s="167">
        <v>6866</v>
      </c>
      <c r="J287" s="168">
        <v>8.8343000000000007</v>
      </c>
      <c r="K287" s="169">
        <v>7.86</v>
      </c>
      <c r="L287" s="170">
        <v>0</v>
      </c>
      <c r="M287" s="170">
        <v>0</v>
      </c>
      <c r="N287" s="168">
        <v>93.391000000000005</v>
      </c>
      <c r="O287" s="167">
        <v>3742604</v>
      </c>
    </row>
    <row r="288" spans="2:15" ht="12.75" customHeight="1" x14ac:dyDescent="0.35">
      <c r="B288" s="157" t="s">
        <v>29</v>
      </c>
      <c r="C288" s="158">
        <v>2009</v>
      </c>
      <c r="D288" s="159">
        <v>27.11</v>
      </c>
      <c r="E288" s="159">
        <v>0.45</v>
      </c>
      <c r="F288" s="160">
        <v>40</v>
      </c>
      <c r="G288" s="161">
        <v>6.9295</v>
      </c>
      <c r="H288" s="161">
        <v>2.8332000000000002</v>
      </c>
      <c r="I288" s="160">
        <v>7618</v>
      </c>
      <c r="J288" s="161">
        <v>8.9382999999999999</v>
      </c>
      <c r="K288" s="162">
        <v>9.84</v>
      </c>
      <c r="L288" s="163">
        <v>0</v>
      </c>
      <c r="M288" s="163">
        <v>0</v>
      </c>
      <c r="N288" s="161">
        <v>93.391000000000005</v>
      </c>
      <c r="O288" s="160">
        <v>3769977</v>
      </c>
    </row>
    <row r="289" spans="2:15" ht="12.75" customHeight="1" x14ac:dyDescent="0.35">
      <c r="B289" s="164" t="s">
        <v>29</v>
      </c>
      <c r="C289" s="165">
        <v>2010</v>
      </c>
      <c r="D289" s="166">
        <v>32.26</v>
      </c>
      <c r="E289" s="166">
        <v>0.77</v>
      </c>
      <c r="F289" s="167">
        <v>69</v>
      </c>
      <c r="G289" s="168">
        <v>7.1025</v>
      </c>
      <c r="H289" s="168">
        <v>3.3673000000000002</v>
      </c>
      <c r="I289" s="167">
        <v>8900</v>
      </c>
      <c r="J289" s="168">
        <v>9.0937999999999999</v>
      </c>
      <c r="K289" s="169">
        <v>10.11</v>
      </c>
      <c r="L289" s="170">
        <v>0</v>
      </c>
      <c r="M289" s="170">
        <v>0</v>
      </c>
      <c r="N289" s="168">
        <v>93.391000000000005</v>
      </c>
      <c r="O289" s="167">
        <v>3766528</v>
      </c>
    </row>
    <row r="290" spans="2:15" ht="12.75" customHeight="1" x14ac:dyDescent="0.35">
      <c r="B290" s="157" t="s">
        <v>29</v>
      </c>
      <c r="C290" s="158">
        <v>2011</v>
      </c>
      <c r="D290" s="159">
        <v>36.450000000000003</v>
      </c>
      <c r="E290" s="159">
        <v>0.42</v>
      </c>
      <c r="F290" s="160">
        <v>85</v>
      </c>
      <c r="G290" s="161">
        <v>7.2313000000000001</v>
      </c>
      <c r="H290" s="161">
        <v>2.7726000000000002</v>
      </c>
      <c r="I290" s="160">
        <v>9788</v>
      </c>
      <c r="J290" s="161">
        <v>9.1889000000000003</v>
      </c>
      <c r="K290" s="162">
        <v>10.37</v>
      </c>
      <c r="L290" s="163">
        <v>0</v>
      </c>
      <c r="M290" s="163">
        <v>0</v>
      </c>
      <c r="N290" s="161">
        <v>93.391000000000005</v>
      </c>
      <c r="O290" s="160">
        <v>3791315</v>
      </c>
    </row>
    <row r="291" spans="2:15" ht="12.75" customHeight="1" x14ac:dyDescent="0.35">
      <c r="B291" s="164" t="s">
        <v>29</v>
      </c>
      <c r="C291" s="165">
        <v>2012</v>
      </c>
      <c r="D291" s="166">
        <v>32.24</v>
      </c>
      <c r="E291" s="166">
        <v>0.45</v>
      </c>
      <c r="F291" s="167">
        <v>102</v>
      </c>
      <c r="G291" s="168">
        <v>7.1147999999999998</v>
      </c>
      <c r="H291" s="168">
        <v>2.8332000000000002</v>
      </c>
      <c r="I291" s="167">
        <v>11137</v>
      </c>
      <c r="J291" s="168">
        <v>9.3179999999999996</v>
      </c>
      <c r="K291" s="169">
        <v>8.98</v>
      </c>
      <c r="L291" s="170">
        <v>0</v>
      </c>
      <c r="M291" s="170">
        <v>0</v>
      </c>
      <c r="N291" s="168">
        <v>93.391000000000005</v>
      </c>
      <c r="O291" s="167">
        <v>3815171</v>
      </c>
    </row>
    <row r="292" spans="2:15" ht="12.75" customHeight="1" x14ac:dyDescent="0.35">
      <c r="B292" s="157" t="s">
        <v>29</v>
      </c>
      <c r="C292" s="158">
        <v>2013</v>
      </c>
      <c r="D292" s="159">
        <v>31.96</v>
      </c>
      <c r="E292" s="159">
        <v>0.31</v>
      </c>
      <c r="F292" s="160">
        <v>114</v>
      </c>
      <c r="G292" s="161">
        <v>7.1317000000000004</v>
      </c>
      <c r="H292" s="161">
        <v>2.4849000000000001</v>
      </c>
      <c r="I292" s="160">
        <v>11848</v>
      </c>
      <c r="J292" s="161">
        <v>9.3798999999999992</v>
      </c>
      <c r="K292" s="162">
        <v>9.83</v>
      </c>
      <c r="L292" s="163">
        <v>0</v>
      </c>
      <c r="M292" s="163">
        <v>0</v>
      </c>
      <c r="N292" s="161">
        <v>93.391000000000005</v>
      </c>
      <c r="O292" s="160">
        <v>3914421</v>
      </c>
    </row>
    <row r="293" spans="2:15" ht="12.75" customHeight="1" x14ac:dyDescent="0.35">
      <c r="B293" s="164" t="s">
        <v>29</v>
      </c>
      <c r="C293" s="165">
        <v>2014</v>
      </c>
      <c r="D293" s="166">
        <v>31.69</v>
      </c>
      <c r="E293" s="166">
        <v>0.15</v>
      </c>
      <c r="F293" s="167">
        <v>120</v>
      </c>
      <c r="G293" s="168">
        <v>7.1308999999999996</v>
      </c>
      <c r="H293" s="168">
        <v>1.7918000000000001</v>
      </c>
      <c r="I293" s="167">
        <v>13422</v>
      </c>
      <c r="J293" s="168">
        <v>9.5046999999999997</v>
      </c>
      <c r="K293" s="169">
        <v>8.5</v>
      </c>
      <c r="L293" s="170">
        <v>0</v>
      </c>
      <c r="M293" s="170">
        <v>0</v>
      </c>
      <c r="N293" s="168">
        <v>93.391000000000005</v>
      </c>
      <c r="O293" s="167">
        <v>3943885</v>
      </c>
    </row>
    <row r="294" spans="2:15" ht="12.75" customHeight="1" x14ac:dyDescent="0.35">
      <c r="B294" s="157" t="s">
        <v>29</v>
      </c>
      <c r="C294" s="158">
        <v>2015</v>
      </c>
      <c r="D294" s="159">
        <v>31.85</v>
      </c>
      <c r="E294" s="159">
        <v>0.08</v>
      </c>
      <c r="F294" s="160">
        <v>123</v>
      </c>
      <c r="G294" s="161">
        <v>7.1428000000000003</v>
      </c>
      <c r="H294" s="161">
        <v>1.0986</v>
      </c>
      <c r="I294" s="160">
        <v>14134</v>
      </c>
      <c r="J294" s="161">
        <v>9.5563000000000002</v>
      </c>
      <c r="K294" s="162">
        <v>9.6999999999999993</v>
      </c>
      <c r="L294" s="163">
        <v>0</v>
      </c>
      <c r="M294" s="163">
        <v>0</v>
      </c>
      <c r="N294" s="161">
        <v>93.391000000000005</v>
      </c>
      <c r="O294" s="160">
        <v>3972202</v>
      </c>
    </row>
    <row r="295" spans="2:15" ht="12.75" customHeight="1" x14ac:dyDescent="0.35">
      <c r="B295" s="171" t="s">
        <v>29</v>
      </c>
      <c r="C295" s="172">
        <v>2016</v>
      </c>
      <c r="D295" s="173">
        <v>26.6</v>
      </c>
      <c r="E295" s="173">
        <v>1.5</v>
      </c>
      <c r="F295" s="174">
        <v>183</v>
      </c>
      <c r="G295" s="175">
        <v>6.9698000000000002</v>
      </c>
      <c r="H295" s="175">
        <v>4.0942999999999996</v>
      </c>
      <c r="I295" s="174">
        <v>14778</v>
      </c>
      <c r="J295" s="175">
        <v>9.6008999999999993</v>
      </c>
      <c r="K295" s="176">
        <v>11.6</v>
      </c>
      <c r="L295" s="177">
        <v>0</v>
      </c>
      <c r="M295" s="177">
        <v>0</v>
      </c>
      <c r="N295" s="175">
        <v>93.391000000000005</v>
      </c>
      <c r="O295" s="174">
        <v>3999415</v>
      </c>
    </row>
    <row r="296" spans="2:15" ht="12.75" customHeight="1" x14ac:dyDescent="0.35">
      <c r="B296" s="178" t="s">
        <v>29</v>
      </c>
      <c r="C296" s="179">
        <v>2017</v>
      </c>
      <c r="D296" s="180">
        <v>25.79</v>
      </c>
      <c r="E296" s="180">
        <v>2.58</v>
      </c>
      <c r="F296" s="181">
        <v>287</v>
      </c>
      <c r="G296" s="182">
        <v>6.9451000000000001</v>
      </c>
      <c r="H296" s="182">
        <v>4.6444000000000001</v>
      </c>
      <c r="I296" s="181">
        <v>15500</v>
      </c>
      <c r="J296" s="182">
        <v>9.6486000000000001</v>
      </c>
      <c r="K296" s="183">
        <v>11.5</v>
      </c>
      <c r="L296" s="184">
        <v>0</v>
      </c>
      <c r="M296" s="184">
        <v>0</v>
      </c>
      <c r="N296" s="182">
        <v>93.391000000000005</v>
      </c>
      <c r="O296" s="181">
        <v>4025558</v>
      </c>
    </row>
    <row r="297" spans="2:15" ht="12.75" customHeight="1" x14ac:dyDescent="0.35">
      <c r="B297" s="171" t="s">
        <v>29</v>
      </c>
      <c r="C297" s="172">
        <v>2018</v>
      </c>
      <c r="D297" s="173">
        <v>24.9</v>
      </c>
      <c r="E297" s="173">
        <v>15.99</v>
      </c>
      <c r="F297" s="174">
        <v>926</v>
      </c>
      <c r="G297" s="175">
        <v>6.9027000000000003</v>
      </c>
      <c r="H297" s="175">
        <v>6.4599000000000002</v>
      </c>
      <c r="I297" s="174">
        <v>16108</v>
      </c>
      <c r="J297" s="175">
        <v>9.6870999999999992</v>
      </c>
      <c r="K297" s="176">
        <v>11.3</v>
      </c>
      <c r="L297" s="177">
        <v>0</v>
      </c>
      <c r="M297" s="177">
        <v>0</v>
      </c>
      <c r="N297" s="175">
        <v>93.391000000000005</v>
      </c>
      <c r="O297" s="174">
        <v>3996496</v>
      </c>
    </row>
    <row r="298" spans="2:15" ht="12.75" customHeight="1" x14ac:dyDescent="0.35">
      <c r="B298" s="178" t="s">
        <v>29</v>
      </c>
      <c r="C298" s="179">
        <v>2019</v>
      </c>
      <c r="D298" s="180">
        <v>17.87</v>
      </c>
      <c r="E298" s="180">
        <v>29.34</v>
      </c>
      <c r="F298" s="181">
        <v>2105</v>
      </c>
      <c r="G298" s="182">
        <v>6.5765000000000002</v>
      </c>
      <c r="H298" s="182">
        <v>7.0724</v>
      </c>
      <c r="I298" s="181">
        <v>16920</v>
      </c>
      <c r="J298" s="182">
        <v>9.7363</v>
      </c>
      <c r="K298" s="183">
        <v>11.8</v>
      </c>
      <c r="L298" s="184">
        <v>0</v>
      </c>
      <c r="M298" s="184">
        <v>0</v>
      </c>
      <c r="N298" s="182">
        <v>93.391000000000005</v>
      </c>
      <c r="O298" s="181">
        <v>4018127</v>
      </c>
    </row>
    <row r="299" spans="2:15" ht="12.75" customHeight="1" x14ac:dyDescent="0.35">
      <c r="B299" s="171" t="s">
        <v>29</v>
      </c>
      <c r="C299" s="172">
        <v>2020</v>
      </c>
      <c r="D299" s="173">
        <v>22.85</v>
      </c>
      <c r="E299" s="173">
        <v>40.5</v>
      </c>
      <c r="F299" s="174">
        <v>3741</v>
      </c>
      <c r="G299" s="175">
        <v>6.8276000000000003</v>
      </c>
      <c r="H299" s="175">
        <v>7.4</v>
      </c>
      <c r="I299" s="174">
        <v>17402</v>
      </c>
      <c r="J299" s="175">
        <v>9.7643000000000004</v>
      </c>
      <c r="K299" s="176">
        <v>15</v>
      </c>
      <c r="L299" s="177">
        <v>0</v>
      </c>
      <c r="M299" s="177">
        <v>1</v>
      </c>
      <c r="N299" s="175">
        <v>93.391000000000005</v>
      </c>
      <c r="O299" s="174">
        <v>4039277</v>
      </c>
    </row>
    <row r="300" spans="2:15" ht="12.75" customHeight="1" x14ac:dyDescent="0.35">
      <c r="B300" s="178" t="s">
        <v>29</v>
      </c>
      <c r="C300" s="179">
        <v>2021</v>
      </c>
      <c r="D300" s="180">
        <v>23.15</v>
      </c>
      <c r="E300" s="180">
        <v>71.75</v>
      </c>
      <c r="F300" s="181">
        <v>6654</v>
      </c>
      <c r="G300" s="182">
        <v>6.8459000000000003</v>
      </c>
      <c r="H300" s="182">
        <v>7.9768999999999997</v>
      </c>
      <c r="I300" s="181">
        <v>19082</v>
      </c>
      <c r="J300" s="182">
        <v>9.8565000000000005</v>
      </c>
      <c r="K300" s="183">
        <v>14.8</v>
      </c>
      <c r="L300" s="184">
        <v>0</v>
      </c>
      <c r="M300" s="184">
        <v>1</v>
      </c>
      <c r="N300" s="182">
        <v>93.391000000000005</v>
      </c>
      <c r="O300" s="181">
        <v>4059905</v>
      </c>
    </row>
    <row r="301" spans="2:15" ht="12.75" customHeight="1" x14ac:dyDescent="0.35">
      <c r="B301" s="171" t="s">
        <v>29</v>
      </c>
      <c r="C301" s="172">
        <v>2022</v>
      </c>
      <c r="D301" s="173">
        <v>22.69</v>
      </c>
      <c r="E301" s="173">
        <v>93.39</v>
      </c>
      <c r="F301" s="174">
        <v>10366</v>
      </c>
      <c r="G301" s="175">
        <v>6.8045999999999998</v>
      </c>
      <c r="H301" s="175">
        <v>8.2193000000000005</v>
      </c>
      <c r="I301" s="174">
        <v>21661</v>
      </c>
      <c r="J301" s="175">
        <v>9.9832999999999998</v>
      </c>
      <c r="K301" s="176">
        <v>12</v>
      </c>
      <c r="L301" s="177">
        <v>0</v>
      </c>
      <c r="M301" s="177">
        <v>0</v>
      </c>
      <c r="N301" s="175">
        <v>93.391000000000005</v>
      </c>
      <c r="O301" s="174">
        <v>3974687</v>
      </c>
    </row>
    <row r="302" spans="2:15" ht="12.75" customHeight="1" x14ac:dyDescent="0.35">
      <c r="B302" s="178" t="s">
        <v>29</v>
      </c>
      <c r="C302" s="179">
        <v>2023</v>
      </c>
      <c r="D302" s="180">
        <v>22.54</v>
      </c>
      <c r="E302" s="180">
        <v>0.1</v>
      </c>
      <c r="F302" s="181">
        <v>10370</v>
      </c>
      <c r="G302" s="182">
        <v>6.7979000000000003</v>
      </c>
      <c r="H302" s="182">
        <v>1.3863000000000001</v>
      </c>
      <c r="I302" s="181">
        <v>24395</v>
      </c>
      <c r="J302" s="182">
        <v>10.1021</v>
      </c>
      <c r="K302" s="183">
        <v>10.1</v>
      </c>
      <c r="L302" s="184">
        <v>1</v>
      </c>
      <c r="M302" s="184">
        <v>0</v>
      </c>
      <c r="N302" s="182">
        <v>93.391000000000005</v>
      </c>
      <c r="O302" s="181">
        <v>3974687</v>
      </c>
    </row>
    <row r="303" spans="2:15" ht="12.75" customHeight="1" x14ac:dyDescent="0.35">
      <c r="B303" s="171" t="s">
        <v>29</v>
      </c>
      <c r="C303" s="172">
        <v>2024</v>
      </c>
      <c r="D303" s="173">
        <v>21.52</v>
      </c>
      <c r="E303" s="173">
        <v>13.05</v>
      </c>
      <c r="F303" s="174">
        <v>10911</v>
      </c>
      <c r="G303" s="175">
        <v>6.7934999999999999</v>
      </c>
      <c r="H303" s="175">
        <v>6.2934000000000001</v>
      </c>
      <c r="I303" s="174">
        <v>25683</v>
      </c>
      <c r="J303" s="175">
        <v>10.153600000000001</v>
      </c>
      <c r="K303" s="176">
        <v>8.6999999999999993</v>
      </c>
      <c r="L303" s="177">
        <v>1</v>
      </c>
      <c r="M303" s="177">
        <v>0</v>
      </c>
      <c r="N303" s="175">
        <v>93.391000000000005</v>
      </c>
      <c r="O303" s="174">
        <v>4145040</v>
      </c>
    </row>
    <row r="304" spans="2:15" ht="12.75" customHeight="1" x14ac:dyDescent="0.35">
      <c r="B304" s="157" t="s">
        <v>30</v>
      </c>
      <c r="C304" s="158">
        <v>2005</v>
      </c>
      <c r="D304" s="159">
        <v>41.5</v>
      </c>
      <c r="E304" s="159">
        <v>0.4</v>
      </c>
      <c r="F304" s="160">
        <v>34</v>
      </c>
      <c r="G304" s="161">
        <v>8.1582000000000008</v>
      </c>
      <c r="H304" s="161">
        <v>3.5264000000000002</v>
      </c>
      <c r="I304" s="160">
        <v>5933</v>
      </c>
      <c r="J304" s="161">
        <v>8.6882999999999999</v>
      </c>
      <c r="K304" s="162">
        <v>12.69</v>
      </c>
      <c r="L304" s="163">
        <v>0</v>
      </c>
      <c r="M304" s="163">
        <v>0</v>
      </c>
      <c r="N304" s="161">
        <v>91.699600000000004</v>
      </c>
      <c r="O304" s="160">
        <v>8413593</v>
      </c>
    </row>
    <row r="305" spans="2:15" ht="12.75" customHeight="1" x14ac:dyDescent="0.35">
      <c r="B305" s="164" t="s">
        <v>30</v>
      </c>
      <c r="C305" s="165">
        <v>2006</v>
      </c>
      <c r="D305" s="166">
        <v>42.27</v>
      </c>
      <c r="E305" s="166">
        <v>7.0000000000000007E-2</v>
      </c>
      <c r="F305" s="167">
        <v>40</v>
      </c>
      <c r="G305" s="168">
        <v>8.1869999999999994</v>
      </c>
      <c r="H305" s="168">
        <v>1.7918000000000001</v>
      </c>
      <c r="I305" s="167">
        <v>6527</v>
      </c>
      <c r="J305" s="168">
        <v>8.7836999999999996</v>
      </c>
      <c r="K305" s="169">
        <v>11.3</v>
      </c>
      <c r="L305" s="170">
        <v>0</v>
      </c>
      <c r="M305" s="170">
        <v>0</v>
      </c>
      <c r="N305" s="168">
        <v>91.699600000000004</v>
      </c>
      <c r="O305" s="167">
        <v>8502603</v>
      </c>
    </row>
    <row r="306" spans="2:15" ht="12.75" customHeight="1" x14ac:dyDescent="0.35">
      <c r="B306" s="157" t="s">
        <v>30</v>
      </c>
      <c r="C306" s="158">
        <v>2007</v>
      </c>
      <c r="D306" s="159">
        <v>43.68</v>
      </c>
      <c r="E306" s="159">
        <v>0.06</v>
      </c>
      <c r="F306" s="160">
        <v>45</v>
      </c>
      <c r="G306" s="161">
        <v>8.218</v>
      </c>
      <c r="H306" s="161">
        <v>1.6093999999999999</v>
      </c>
      <c r="I306" s="160">
        <v>7336</v>
      </c>
      <c r="J306" s="161">
        <v>8.9004999999999992</v>
      </c>
      <c r="K306" s="162">
        <v>12.98</v>
      </c>
      <c r="L306" s="163">
        <v>0</v>
      </c>
      <c r="M306" s="163">
        <v>0</v>
      </c>
      <c r="N306" s="161">
        <v>91.699600000000004</v>
      </c>
      <c r="O306" s="160">
        <v>8486638</v>
      </c>
    </row>
    <row r="307" spans="2:15" ht="12.75" customHeight="1" x14ac:dyDescent="0.35">
      <c r="B307" s="164" t="s">
        <v>30</v>
      </c>
      <c r="C307" s="165">
        <v>2008</v>
      </c>
      <c r="D307" s="166">
        <v>39.35</v>
      </c>
      <c r="E307" s="166">
        <v>0.11</v>
      </c>
      <c r="F307" s="167">
        <v>55</v>
      </c>
      <c r="G307" s="168">
        <v>8.1424000000000003</v>
      </c>
      <c r="H307" s="168">
        <v>2.3026</v>
      </c>
      <c r="I307" s="167">
        <v>8065</v>
      </c>
      <c r="J307" s="168">
        <v>8.9953000000000003</v>
      </c>
      <c r="K307" s="169">
        <v>10.74</v>
      </c>
      <c r="L307" s="170">
        <v>0</v>
      </c>
      <c r="M307" s="170">
        <v>0</v>
      </c>
      <c r="N307" s="168">
        <v>91.699600000000004</v>
      </c>
      <c r="O307" s="167">
        <v>8734196</v>
      </c>
    </row>
    <row r="308" spans="2:15" ht="12.75" customHeight="1" x14ac:dyDescent="0.35">
      <c r="B308" s="157" t="s">
        <v>30</v>
      </c>
      <c r="C308" s="158">
        <v>2009</v>
      </c>
      <c r="D308" s="159">
        <v>35.25</v>
      </c>
      <c r="E308" s="159">
        <v>0.25</v>
      </c>
      <c r="F308" s="160">
        <v>77</v>
      </c>
      <c r="G308" s="161">
        <v>8.0411000000000001</v>
      </c>
      <c r="H308" s="161">
        <v>3.0910000000000002</v>
      </c>
      <c r="I308" s="160">
        <v>8902</v>
      </c>
      <c r="J308" s="161">
        <v>9.0939999999999994</v>
      </c>
      <c r="K308" s="162">
        <v>13.09</v>
      </c>
      <c r="L308" s="163">
        <v>0</v>
      </c>
      <c r="M308" s="163">
        <v>0</v>
      </c>
      <c r="N308" s="161">
        <v>91.699600000000004</v>
      </c>
      <c r="O308" s="160">
        <v>8810256</v>
      </c>
    </row>
    <row r="309" spans="2:15" ht="12.75" customHeight="1" x14ac:dyDescent="0.35">
      <c r="B309" s="164" t="s">
        <v>30</v>
      </c>
      <c r="C309" s="165">
        <v>2010</v>
      </c>
      <c r="D309" s="166">
        <v>29.9</v>
      </c>
      <c r="E309" s="166">
        <v>0.45</v>
      </c>
      <c r="F309" s="167">
        <v>117</v>
      </c>
      <c r="G309" s="168">
        <v>7.8746999999999998</v>
      </c>
      <c r="H309" s="168">
        <v>3.6888999999999998</v>
      </c>
      <c r="I309" s="167">
        <v>11049</v>
      </c>
      <c r="J309" s="168">
        <v>9.3101000000000003</v>
      </c>
      <c r="K309" s="169">
        <v>11.31</v>
      </c>
      <c r="L309" s="170">
        <v>0</v>
      </c>
      <c r="M309" s="170">
        <v>0</v>
      </c>
      <c r="N309" s="168">
        <v>91.699600000000004</v>
      </c>
      <c r="O309" s="167">
        <v>8796448</v>
      </c>
    </row>
    <row r="310" spans="2:15" ht="12.75" customHeight="1" x14ac:dyDescent="0.35">
      <c r="B310" s="157" t="s">
        <v>30</v>
      </c>
      <c r="C310" s="158">
        <v>2011</v>
      </c>
      <c r="D310" s="159">
        <v>28.57</v>
      </c>
      <c r="E310" s="159">
        <v>1.1599999999999999</v>
      </c>
      <c r="F310" s="160">
        <v>220</v>
      </c>
      <c r="G310" s="161">
        <v>7.8372000000000002</v>
      </c>
      <c r="H310" s="161">
        <v>4.6346999999999996</v>
      </c>
      <c r="I310" s="160">
        <v>12427</v>
      </c>
      <c r="J310" s="161">
        <v>9.4276</v>
      </c>
      <c r="K310" s="162">
        <v>9.5399999999999991</v>
      </c>
      <c r="L310" s="163">
        <v>0</v>
      </c>
      <c r="M310" s="163">
        <v>0</v>
      </c>
      <c r="N310" s="161">
        <v>91.699600000000004</v>
      </c>
      <c r="O310" s="160">
        <v>8864906</v>
      </c>
    </row>
    <row r="311" spans="2:15" ht="12.75" customHeight="1" x14ac:dyDescent="0.35">
      <c r="B311" s="164" t="s">
        <v>30</v>
      </c>
      <c r="C311" s="165">
        <v>2012</v>
      </c>
      <c r="D311" s="166">
        <v>27.62</v>
      </c>
      <c r="E311" s="166">
        <v>0.99</v>
      </c>
      <c r="F311" s="167">
        <v>308</v>
      </c>
      <c r="G311" s="168">
        <v>7.8108000000000004</v>
      </c>
      <c r="H311" s="168">
        <v>4.4772999999999996</v>
      </c>
      <c r="I311" s="167">
        <v>14331</v>
      </c>
      <c r="J311" s="168">
        <v>9.5701999999999998</v>
      </c>
      <c r="K311" s="169">
        <v>10.29</v>
      </c>
      <c r="L311" s="170">
        <v>0</v>
      </c>
      <c r="M311" s="170">
        <v>0</v>
      </c>
      <c r="N311" s="168">
        <v>91.699600000000004</v>
      </c>
      <c r="O311" s="167">
        <v>8931028</v>
      </c>
    </row>
    <row r="312" spans="2:15" ht="12.75" customHeight="1" x14ac:dyDescent="0.35">
      <c r="B312" s="157" t="s">
        <v>30</v>
      </c>
      <c r="C312" s="158">
        <v>2013</v>
      </c>
      <c r="D312" s="159">
        <v>24.99</v>
      </c>
      <c r="E312" s="159">
        <v>0.5</v>
      </c>
      <c r="F312" s="160">
        <v>354</v>
      </c>
      <c r="G312" s="161">
        <v>7.7411000000000003</v>
      </c>
      <c r="H312" s="161">
        <v>3.8285999999999998</v>
      </c>
      <c r="I312" s="160">
        <v>15328</v>
      </c>
      <c r="J312" s="161">
        <v>9.6373999999999995</v>
      </c>
      <c r="K312" s="162">
        <v>9.09</v>
      </c>
      <c r="L312" s="163">
        <v>0</v>
      </c>
      <c r="M312" s="163">
        <v>0</v>
      </c>
      <c r="N312" s="161">
        <v>91.699600000000004</v>
      </c>
      <c r="O312" s="160">
        <v>9208550</v>
      </c>
    </row>
    <row r="313" spans="2:15" ht="12.75" customHeight="1" x14ac:dyDescent="0.35">
      <c r="B313" s="164" t="s">
        <v>30</v>
      </c>
      <c r="C313" s="165">
        <v>2014</v>
      </c>
      <c r="D313" s="166">
        <v>27.41</v>
      </c>
      <c r="E313" s="166">
        <v>0.43</v>
      </c>
      <c r="F313" s="167">
        <v>394</v>
      </c>
      <c r="G313" s="168">
        <v>7.8411</v>
      </c>
      <c r="H313" s="168">
        <v>3.6888999999999998</v>
      </c>
      <c r="I313" s="167">
        <v>16722</v>
      </c>
      <c r="J313" s="168">
        <v>9.7245000000000008</v>
      </c>
      <c r="K313" s="169">
        <v>9.4700000000000006</v>
      </c>
      <c r="L313" s="170">
        <v>0</v>
      </c>
      <c r="M313" s="170">
        <v>0</v>
      </c>
      <c r="N313" s="168">
        <v>91.699600000000004</v>
      </c>
      <c r="O313" s="167">
        <v>9277727</v>
      </c>
    </row>
    <row r="314" spans="2:15" ht="12.75" customHeight="1" x14ac:dyDescent="0.35">
      <c r="B314" s="157" t="s">
        <v>30</v>
      </c>
      <c r="C314" s="158">
        <v>2015</v>
      </c>
      <c r="D314" s="159">
        <v>32.880000000000003</v>
      </c>
      <c r="E314" s="159">
        <v>0.11</v>
      </c>
      <c r="F314" s="160">
        <v>404</v>
      </c>
      <c r="G314" s="161">
        <v>8.0304000000000002</v>
      </c>
      <c r="H314" s="161">
        <v>2.3026</v>
      </c>
      <c r="I314" s="160">
        <v>16796</v>
      </c>
      <c r="J314" s="161">
        <v>9.7288999999999994</v>
      </c>
      <c r="K314" s="162">
        <v>9.9</v>
      </c>
      <c r="L314" s="163">
        <v>0</v>
      </c>
      <c r="M314" s="163">
        <v>0</v>
      </c>
      <c r="N314" s="161">
        <v>91.699600000000004</v>
      </c>
      <c r="O314" s="160">
        <v>9345173</v>
      </c>
    </row>
    <row r="315" spans="2:15" ht="12.75" customHeight="1" x14ac:dyDescent="0.35">
      <c r="B315" s="171" t="s">
        <v>30</v>
      </c>
      <c r="C315" s="172">
        <v>2016</v>
      </c>
      <c r="D315" s="173">
        <v>37.090000000000003</v>
      </c>
      <c r="E315" s="173">
        <v>1.33</v>
      </c>
      <c r="F315" s="174">
        <v>529</v>
      </c>
      <c r="G315" s="175">
        <v>8.1577000000000002</v>
      </c>
      <c r="H315" s="175">
        <v>4.8282999999999996</v>
      </c>
      <c r="I315" s="174">
        <v>17783</v>
      </c>
      <c r="J315" s="175">
        <v>9.7859999999999996</v>
      </c>
      <c r="K315" s="176">
        <v>14.8</v>
      </c>
      <c r="L315" s="177">
        <v>0</v>
      </c>
      <c r="M315" s="177">
        <v>0</v>
      </c>
      <c r="N315" s="175">
        <v>91.699600000000004</v>
      </c>
      <c r="O315" s="174">
        <v>9410336</v>
      </c>
    </row>
    <row r="316" spans="2:15" ht="12.75" customHeight="1" x14ac:dyDescent="0.35">
      <c r="B316" s="178" t="s">
        <v>30</v>
      </c>
      <c r="C316" s="179">
        <v>2017</v>
      </c>
      <c r="D316" s="180">
        <v>47.45</v>
      </c>
      <c r="E316" s="180">
        <v>3.02</v>
      </c>
      <c r="F316" s="181">
        <v>815</v>
      </c>
      <c r="G316" s="182">
        <v>8.4107000000000003</v>
      </c>
      <c r="H316" s="182">
        <v>5.6559999999999997</v>
      </c>
      <c r="I316" s="181">
        <v>19171</v>
      </c>
      <c r="J316" s="182">
        <v>9.8612000000000002</v>
      </c>
      <c r="K316" s="183">
        <v>17.899999999999999</v>
      </c>
      <c r="L316" s="184">
        <v>0</v>
      </c>
      <c r="M316" s="184">
        <v>0</v>
      </c>
      <c r="N316" s="182">
        <v>91.699600000000004</v>
      </c>
      <c r="O316" s="181">
        <v>9473266</v>
      </c>
    </row>
    <row r="317" spans="2:15" ht="12.75" customHeight="1" x14ac:dyDescent="0.35">
      <c r="B317" s="171" t="s">
        <v>30</v>
      </c>
      <c r="C317" s="172">
        <v>2018</v>
      </c>
      <c r="D317" s="173">
        <v>35.57</v>
      </c>
      <c r="E317" s="173">
        <v>4.04</v>
      </c>
      <c r="F317" s="174">
        <v>1199</v>
      </c>
      <c r="G317" s="175">
        <v>8.125</v>
      </c>
      <c r="H317" s="175">
        <v>5.9505999999999997</v>
      </c>
      <c r="I317" s="174">
        <v>19624</v>
      </c>
      <c r="J317" s="175">
        <v>9.8844999999999992</v>
      </c>
      <c r="K317" s="176">
        <v>16.899999999999999</v>
      </c>
      <c r="L317" s="177">
        <v>0</v>
      </c>
      <c r="M317" s="177">
        <v>0</v>
      </c>
      <c r="N317" s="175">
        <v>91.699600000000004</v>
      </c>
      <c r="O317" s="174">
        <v>9496294</v>
      </c>
    </row>
    <row r="318" spans="2:15" ht="12.75" customHeight="1" x14ac:dyDescent="0.35">
      <c r="B318" s="178" t="s">
        <v>30</v>
      </c>
      <c r="C318" s="179">
        <v>2019</v>
      </c>
      <c r="D318" s="180">
        <v>28.24</v>
      </c>
      <c r="E318" s="180">
        <v>20.59</v>
      </c>
      <c r="F318" s="181">
        <v>3167</v>
      </c>
      <c r="G318" s="182">
        <v>7.9005999999999998</v>
      </c>
      <c r="H318" s="182">
        <v>7.5848000000000004</v>
      </c>
      <c r="I318" s="181">
        <v>20702</v>
      </c>
      <c r="J318" s="182">
        <v>9.9380000000000006</v>
      </c>
      <c r="K318" s="183">
        <v>15.7</v>
      </c>
      <c r="L318" s="184">
        <v>0</v>
      </c>
      <c r="M318" s="184">
        <v>0</v>
      </c>
      <c r="N318" s="182">
        <v>91.699600000000004</v>
      </c>
      <c r="O318" s="181">
        <v>9557071</v>
      </c>
    </row>
    <row r="319" spans="2:15" ht="12.75" customHeight="1" x14ac:dyDescent="0.35">
      <c r="B319" s="171" t="s">
        <v>30</v>
      </c>
      <c r="C319" s="172">
        <v>2020</v>
      </c>
      <c r="D319" s="173">
        <v>31.85</v>
      </c>
      <c r="E319" s="173">
        <v>39.15</v>
      </c>
      <c r="F319" s="174">
        <v>6932</v>
      </c>
      <c r="G319" s="175">
        <v>8.0272000000000006</v>
      </c>
      <c r="H319" s="175">
        <v>8.2334999999999994</v>
      </c>
      <c r="I319" s="174">
        <v>20101</v>
      </c>
      <c r="J319" s="175">
        <v>9.9085000000000001</v>
      </c>
      <c r="K319" s="176">
        <v>17.2</v>
      </c>
      <c r="L319" s="177">
        <v>0</v>
      </c>
      <c r="M319" s="177">
        <v>1</v>
      </c>
      <c r="N319" s="175">
        <v>91.699600000000004</v>
      </c>
      <c r="O319" s="174">
        <v>9616621</v>
      </c>
    </row>
    <row r="320" spans="2:15" ht="12.75" customHeight="1" x14ac:dyDescent="0.35">
      <c r="B320" s="178" t="s">
        <v>30</v>
      </c>
      <c r="C320" s="179">
        <v>2021</v>
      </c>
      <c r="D320" s="180">
        <v>28.87</v>
      </c>
      <c r="E320" s="180">
        <v>65.48</v>
      </c>
      <c r="F320" s="181">
        <v>13267</v>
      </c>
      <c r="G320" s="182">
        <v>7.9348999999999998</v>
      </c>
      <c r="H320" s="182">
        <v>8.7538</v>
      </c>
      <c r="I320" s="181">
        <v>22824</v>
      </c>
      <c r="J320" s="182">
        <v>10.035600000000001</v>
      </c>
      <c r="K320" s="183">
        <v>19.899999999999999</v>
      </c>
      <c r="L320" s="184">
        <v>0</v>
      </c>
      <c r="M320" s="184">
        <v>1</v>
      </c>
      <c r="N320" s="182">
        <v>91.699600000000004</v>
      </c>
      <c r="O320" s="181">
        <v>9674793</v>
      </c>
    </row>
    <row r="321" spans="2:15" ht="12.75" customHeight="1" x14ac:dyDescent="0.35">
      <c r="B321" s="171" t="s">
        <v>30</v>
      </c>
      <c r="C321" s="172">
        <v>2022</v>
      </c>
      <c r="D321" s="173">
        <v>30.53</v>
      </c>
      <c r="E321" s="173">
        <v>91.7</v>
      </c>
      <c r="F321" s="174">
        <v>21574</v>
      </c>
      <c r="G321" s="175">
        <v>7.9252000000000002</v>
      </c>
      <c r="H321" s="175">
        <v>9.0249000000000006</v>
      </c>
      <c r="I321" s="174">
        <v>27137</v>
      </c>
      <c r="J321" s="175">
        <v>10.2087</v>
      </c>
      <c r="K321" s="176">
        <v>14.2</v>
      </c>
      <c r="L321" s="177">
        <v>0</v>
      </c>
      <c r="M321" s="177">
        <v>0</v>
      </c>
      <c r="N321" s="175">
        <v>91.699600000000004</v>
      </c>
      <c r="O321" s="174">
        <v>9058931</v>
      </c>
    </row>
    <row r="322" spans="2:15" ht="12.75" customHeight="1" x14ac:dyDescent="0.35">
      <c r="B322" s="178" t="s">
        <v>30</v>
      </c>
      <c r="C322" s="179">
        <v>2023</v>
      </c>
      <c r="D322" s="180">
        <v>33.08</v>
      </c>
      <c r="E322" s="180">
        <v>0.11</v>
      </c>
      <c r="F322" s="181">
        <v>21584</v>
      </c>
      <c r="G322" s="182">
        <v>8.0053999999999998</v>
      </c>
      <c r="H322" s="182">
        <v>2.3026</v>
      </c>
      <c r="I322" s="181">
        <v>29857</v>
      </c>
      <c r="J322" s="182">
        <v>10.3042</v>
      </c>
      <c r="K322" s="183">
        <v>13.4</v>
      </c>
      <c r="L322" s="184">
        <v>1</v>
      </c>
      <c r="M322" s="184">
        <v>0</v>
      </c>
      <c r="N322" s="182">
        <v>91.699600000000004</v>
      </c>
      <c r="O322" s="181">
        <v>9058931</v>
      </c>
    </row>
    <row r="323" spans="2:15" ht="12.75" customHeight="1" x14ac:dyDescent="0.35">
      <c r="B323" s="171" t="s">
        <v>30</v>
      </c>
      <c r="C323" s="172">
        <v>2024</v>
      </c>
      <c r="D323" s="173">
        <v>29.09</v>
      </c>
      <c r="E323" s="173">
        <v>10.01</v>
      </c>
      <c r="F323" s="174">
        <v>22539</v>
      </c>
      <c r="G323" s="175">
        <v>7.9283999999999999</v>
      </c>
      <c r="H323" s="175">
        <v>6.8616999999999999</v>
      </c>
      <c r="I323" s="174">
        <v>30956</v>
      </c>
      <c r="J323" s="175">
        <v>10.340299999999999</v>
      </c>
      <c r="K323" s="176">
        <v>11.1</v>
      </c>
      <c r="L323" s="177">
        <v>1</v>
      </c>
      <c r="M323" s="177">
        <v>0</v>
      </c>
      <c r="N323" s="175">
        <v>91.699600000000004</v>
      </c>
      <c r="O323" s="174">
        <v>9539029</v>
      </c>
    </row>
    <row r="324" spans="2:15" ht="12.75" customHeight="1" x14ac:dyDescent="0.35">
      <c r="B324" s="157" t="s">
        <v>31</v>
      </c>
      <c r="C324" s="158">
        <v>2005</v>
      </c>
      <c r="D324" s="159">
        <v>5.19</v>
      </c>
      <c r="E324" s="159">
        <v>0</v>
      </c>
      <c r="F324" s="160">
        <v>0</v>
      </c>
      <c r="G324" s="161">
        <v>5.0499000000000001</v>
      </c>
      <c r="H324" s="161"/>
      <c r="I324" s="160">
        <v>3701</v>
      </c>
      <c r="J324" s="161">
        <v>8.2164000000000001</v>
      </c>
      <c r="K324" s="162">
        <v>6.83</v>
      </c>
      <c r="L324" s="163">
        <v>0</v>
      </c>
      <c r="M324" s="163">
        <v>0</v>
      </c>
      <c r="N324" s="161">
        <v>43.592599999999997</v>
      </c>
      <c r="O324" s="160">
        <v>3006885</v>
      </c>
    </row>
    <row r="325" spans="2:15" ht="12.75" customHeight="1" x14ac:dyDescent="0.35">
      <c r="B325" s="164" t="s">
        <v>31</v>
      </c>
      <c r="C325" s="165">
        <v>2006</v>
      </c>
      <c r="D325" s="166">
        <v>6.62</v>
      </c>
      <c r="E325" s="166">
        <v>7.0000000000000007E-2</v>
      </c>
      <c r="F325" s="167">
        <v>2</v>
      </c>
      <c r="G325" s="168">
        <v>5.3033000000000001</v>
      </c>
      <c r="H325" s="168">
        <v>0.69310000000000005</v>
      </c>
      <c r="I325" s="167">
        <v>4212</v>
      </c>
      <c r="J325" s="168">
        <v>8.3457000000000008</v>
      </c>
      <c r="K325" s="169">
        <v>5.25</v>
      </c>
      <c r="L325" s="170">
        <v>0</v>
      </c>
      <c r="M325" s="170">
        <v>0</v>
      </c>
      <c r="N325" s="168">
        <v>43.592599999999997</v>
      </c>
      <c r="O325" s="167">
        <v>3036290</v>
      </c>
    </row>
    <row r="326" spans="2:15" ht="12.75" customHeight="1" x14ac:dyDescent="0.35">
      <c r="B326" s="157" t="s">
        <v>31</v>
      </c>
      <c r="C326" s="158">
        <v>2007</v>
      </c>
      <c r="D326" s="159">
        <v>6.46</v>
      </c>
      <c r="E326" s="159">
        <v>0.1</v>
      </c>
      <c r="F326" s="160">
        <v>5</v>
      </c>
      <c r="G326" s="161">
        <v>5.2781000000000002</v>
      </c>
      <c r="H326" s="161">
        <v>1.0986</v>
      </c>
      <c r="I326" s="160">
        <v>4662</v>
      </c>
      <c r="J326" s="161">
        <v>8.4472000000000005</v>
      </c>
      <c r="K326" s="162">
        <v>4.6100000000000003</v>
      </c>
      <c r="L326" s="163">
        <v>0</v>
      </c>
      <c r="M326" s="163">
        <v>0</v>
      </c>
      <c r="N326" s="161">
        <v>43.592599999999997</v>
      </c>
      <c r="O326" s="160">
        <v>3032435</v>
      </c>
    </row>
    <row r="327" spans="2:15" ht="12.75" customHeight="1" x14ac:dyDescent="0.35">
      <c r="B327" s="164" t="s">
        <v>31</v>
      </c>
      <c r="C327" s="165">
        <v>2008</v>
      </c>
      <c r="D327" s="166">
        <v>5.43</v>
      </c>
      <c r="E327" s="166">
        <v>0</v>
      </c>
      <c r="F327" s="167">
        <v>5</v>
      </c>
      <c r="G327" s="168">
        <v>5.1299000000000001</v>
      </c>
      <c r="H327" s="168"/>
      <c r="I327" s="167">
        <v>5386</v>
      </c>
      <c r="J327" s="168">
        <v>8.5915999999999997</v>
      </c>
      <c r="K327" s="169">
        <v>5.01</v>
      </c>
      <c r="L327" s="170">
        <v>0</v>
      </c>
      <c r="M327" s="170">
        <v>0</v>
      </c>
      <c r="N327" s="168">
        <v>43.592599999999997</v>
      </c>
      <c r="O327" s="167">
        <v>3111881</v>
      </c>
    </row>
    <row r="328" spans="2:15" ht="12.75" customHeight="1" x14ac:dyDescent="0.35">
      <c r="B328" s="157" t="s">
        <v>31</v>
      </c>
      <c r="C328" s="158">
        <v>2009</v>
      </c>
      <c r="D328" s="159">
        <v>6.1</v>
      </c>
      <c r="E328" s="159">
        <v>0.06</v>
      </c>
      <c r="F328" s="160">
        <v>7</v>
      </c>
      <c r="G328" s="161">
        <v>5.2575000000000003</v>
      </c>
      <c r="H328" s="161">
        <v>0.69310000000000005</v>
      </c>
      <c r="I328" s="160">
        <v>6051</v>
      </c>
      <c r="J328" s="161">
        <v>8.7080000000000002</v>
      </c>
      <c r="K328" s="162">
        <v>5.21</v>
      </c>
      <c r="L328" s="163">
        <v>0</v>
      </c>
      <c r="M328" s="163">
        <v>0</v>
      </c>
      <c r="N328" s="161">
        <v>43.592599999999997</v>
      </c>
      <c r="O328" s="160">
        <v>3145325</v>
      </c>
    </row>
    <row r="329" spans="2:15" ht="12.75" customHeight="1" x14ac:dyDescent="0.35">
      <c r="B329" s="164" t="s">
        <v>31</v>
      </c>
      <c r="C329" s="165">
        <v>2010</v>
      </c>
      <c r="D329" s="166">
        <v>7.05</v>
      </c>
      <c r="E329" s="166">
        <v>0.13</v>
      </c>
      <c r="F329" s="167">
        <v>11</v>
      </c>
      <c r="G329" s="168">
        <v>5.3936000000000002</v>
      </c>
      <c r="H329" s="168">
        <v>1.3863000000000001</v>
      </c>
      <c r="I329" s="167">
        <v>7141</v>
      </c>
      <c r="J329" s="168">
        <v>8.8735999999999997</v>
      </c>
      <c r="K329" s="169">
        <v>6.12</v>
      </c>
      <c r="L329" s="170">
        <v>0</v>
      </c>
      <c r="M329" s="170">
        <v>0</v>
      </c>
      <c r="N329" s="168">
        <v>43.592599999999997</v>
      </c>
      <c r="O329" s="167">
        <v>3118360</v>
      </c>
    </row>
    <row r="330" spans="2:15" ht="12.75" customHeight="1" x14ac:dyDescent="0.35">
      <c r="B330" s="157" t="s">
        <v>31</v>
      </c>
      <c r="C330" s="158">
        <v>2011</v>
      </c>
      <c r="D330" s="159">
        <v>8.41</v>
      </c>
      <c r="E330" s="159">
        <v>0.22</v>
      </c>
      <c r="F330" s="160">
        <v>18</v>
      </c>
      <c r="G330" s="161">
        <v>5.5758999999999999</v>
      </c>
      <c r="H330" s="161">
        <v>1.9459</v>
      </c>
      <c r="I330" s="160">
        <v>8261</v>
      </c>
      <c r="J330" s="161">
        <v>9.0192999999999994</v>
      </c>
      <c r="K330" s="162">
        <v>7.04</v>
      </c>
      <c r="L330" s="163">
        <v>0</v>
      </c>
      <c r="M330" s="163">
        <v>0</v>
      </c>
      <c r="N330" s="161">
        <v>43.592599999999997</v>
      </c>
      <c r="O330" s="160">
        <v>3140328</v>
      </c>
    </row>
    <row r="331" spans="2:15" ht="12.75" customHeight="1" x14ac:dyDescent="0.35">
      <c r="B331" s="164" t="s">
        <v>31</v>
      </c>
      <c r="C331" s="165">
        <v>2012</v>
      </c>
      <c r="D331" s="166">
        <v>10.16</v>
      </c>
      <c r="E331" s="166">
        <v>0.19</v>
      </c>
      <c r="F331" s="167">
        <v>24</v>
      </c>
      <c r="G331" s="168">
        <v>5.7713999999999999</v>
      </c>
      <c r="H331" s="168">
        <v>1.7918000000000001</v>
      </c>
      <c r="I331" s="167">
        <v>9060</v>
      </c>
      <c r="J331" s="168">
        <v>9.1115999999999993</v>
      </c>
      <c r="K331" s="169">
        <v>5.62</v>
      </c>
      <c r="L331" s="170">
        <v>0</v>
      </c>
      <c r="M331" s="170">
        <v>0</v>
      </c>
      <c r="N331" s="168">
        <v>43.592599999999997</v>
      </c>
      <c r="O331" s="167">
        <v>3160748</v>
      </c>
    </row>
    <row r="332" spans="2:15" ht="12.75" customHeight="1" x14ac:dyDescent="0.35">
      <c r="B332" s="157" t="s">
        <v>31</v>
      </c>
      <c r="C332" s="158">
        <v>2013</v>
      </c>
      <c r="D332" s="159">
        <v>11.71</v>
      </c>
      <c r="E332" s="159">
        <v>0.22</v>
      </c>
      <c r="F332" s="160">
        <v>31</v>
      </c>
      <c r="G332" s="161">
        <v>5.9215999999999998</v>
      </c>
      <c r="H332" s="161">
        <v>1.9459</v>
      </c>
      <c r="I332" s="160">
        <v>9825</v>
      </c>
      <c r="J332" s="161">
        <v>9.1927000000000003</v>
      </c>
      <c r="K332" s="162">
        <v>6.99</v>
      </c>
      <c r="L332" s="163">
        <v>0</v>
      </c>
      <c r="M332" s="163">
        <v>0</v>
      </c>
      <c r="N332" s="161">
        <v>43.592599999999997</v>
      </c>
      <c r="O332" s="160">
        <v>3184166</v>
      </c>
    </row>
    <row r="333" spans="2:15" ht="12.75" customHeight="1" x14ac:dyDescent="0.35">
      <c r="B333" s="164" t="s">
        <v>31</v>
      </c>
      <c r="C333" s="165">
        <v>2014</v>
      </c>
      <c r="D333" s="166">
        <v>14.27</v>
      </c>
      <c r="E333" s="166">
        <v>0.22</v>
      </c>
      <c r="F333" s="167">
        <v>38</v>
      </c>
      <c r="G333" s="168">
        <v>6.1224999999999996</v>
      </c>
      <c r="H333" s="168">
        <v>1.9459</v>
      </c>
      <c r="I333" s="167">
        <v>11808</v>
      </c>
      <c r="J333" s="168">
        <v>9.3765000000000001</v>
      </c>
      <c r="K333" s="169">
        <v>6.01</v>
      </c>
      <c r="L333" s="170">
        <v>0</v>
      </c>
      <c r="M333" s="170">
        <v>0</v>
      </c>
      <c r="N333" s="168">
        <v>43.592599999999997</v>
      </c>
      <c r="O333" s="167">
        <v>3194718</v>
      </c>
    </row>
    <row r="334" spans="2:15" ht="12.75" customHeight="1" x14ac:dyDescent="0.35">
      <c r="B334" s="157" t="s">
        <v>31</v>
      </c>
      <c r="C334" s="158">
        <v>2015</v>
      </c>
      <c r="D334" s="159">
        <v>12.67</v>
      </c>
      <c r="E334" s="159">
        <v>0.25</v>
      </c>
      <c r="F334" s="160">
        <v>46</v>
      </c>
      <c r="G334" s="161">
        <v>6.0064000000000002</v>
      </c>
      <c r="H334" s="161">
        <v>2.0794000000000001</v>
      </c>
      <c r="I334" s="160">
        <v>12219</v>
      </c>
      <c r="J334" s="161">
        <v>9.4107000000000003</v>
      </c>
      <c r="K334" s="162">
        <v>7.7</v>
      </c>
      <c r="L334" s="163">
        <v>0</v>
      </c>
      <c r="M334" s="163">
        <v>0</v>
      </c>
      <c r="N334" s="161">
        <v>43.592599999999997</v>
      </c>
      <c r="O334" s="160">
        <v>3204028</v>
      </c>
    </row>
    <row r="335" spans="2:15" ht="12.75" customHeight="1" x14ac:dyDescent="0.35">
      <c r="B335" s="171" t="s">
        <v>31</v>
      </c>
      <c r="C335" s="172">
        <v>2016</v>
      </c>
      <c r="D335" s="173">
        <v>13.95</v>
      </c>
      <c r="E335" s="173">
        <v>1.1499999999999999</v>
      </c>
      <c r="F335" s="174">
        <v>83</v>
      </c>
      <c r="G335" s="175">
        <v>6.1048</v>
      </c>
      <c r="H335" s="175">
        <v>3.6109</v>
      </c>
      <c r="I335" s="174">
        <v>12894</v>
      </c>
      <c r="J335" s="175">
        <v>9.4644999999999992</v>
      </c>
      <c r="K335" s="176">
        <v>9.6</v>
      </c>
      <c r="L335" s="177">
        <v>0</v>
      </c>
      <c r="M335" s="177">
        <v>0</v>
      </c>
      <c r="N335" s="175">
        <v>43.592599999999997</v>
      </c>
      <c r="O335" s="174">
        <v>3212180</v>
      </c>
    </row>
    <row r="336" spans="2:15" ht="12.75" customHeight="1" x14ac:dyDescent="0.35">
      <c r="B336" s="178" t="s">
        <v>31</v>
      </c>
      <c r="C336" s="179">
        <v>2017</v>
      </c>
      <c r="D336" s="180">
        <v>11.96</v>
      </c>
      <c r="E336" s="180">
        <v>3.48</v>
      </c>
      <c r="F336" s="181">
        <v>195</v>
      </c>
      <c r="G336" s="182">
        <v>5.9531999999999998</v>
      </c>
      <c r="H336" s="182">
        <v>4.7184999999999997</v>
      </c>
      <c r="I336" s="181">
        <v>14092</v>
      </c>
      <c r="J336" s="182">
        <v>9.5533999999999999</v>
      </c>
      <c r="K336" s="183">
        <v>13</v>
      </c>
      <c r="L336" s="184">
        <v>0</v>
      </c>
      <c r="M336" s="184">
        <v>0</v>
      </c>
      <c r="N336" s="182">
        <v>43.592599999999997</v>
      </c>
      <c r="O336" s="181">
        <v>3219257</v>
      </c>
    </row>
    <row r="337" spans="2:15" ht="12.75" customHeight="1" x14ac:dyDescent="0.35">
      <c r="B337" s="171" t="s">
        <v>31</v>
      </c>
      <c r="C337" s="172">
        <v>2018</v>
      </c>
      <c r="D337" s="173">
        <v>11.79</v>
      </c>
      <c r="E337" s="173">
        <v>3.95</v>
      </c>
      <c r="F337" s="174">
        <v>324</v>
      </c>
      <c r="G337" s="175">
        <v>5.9531999999999998</v>
      </c>
      <c r="H337" s="175">
        <v>4.8597999999999999</v>
      </c>
      <c r="I337" s="174">
        <v>15432</v>
      </c>
      <c r="J337" s="175">
        <v>9.6441999999999997</v>
      </c>
      <c r="K337" s="176">
        <v>12.9</v>
      </c>
      <c r="L337" s="177">
        <v>0</v>
      </c>
      <c r="M337" s="177">
        <v>0</v>
      </c>
      <c r="N337" s="175">
        <v>43.592599999999997</v>
      </c>
      <c r="O337" s="174">
        <v>3264531</v>
      </c>
    </row>
    <row r="338" spans="2:15" ht="12.75" customHeight="1" x14ac:dyDescent="0.35">
      <c r="B338" s="178" t="s">
        <v>31</v>
      </c>
      <c r="C338" s="179">
        <v>2019</v>
      </c>
      <c r="D338" s="180">
        <v>10.75</v>
      </c>
      <c r="E338" s="180">
        <v>8.8000000000000007</v>
      </c>
      <c r="F338" s="181">
        <v>612</v>
      </c>
      <c r="G338" s="182">
        <v>5.8635999999999999</v>
      </c>
      <c r="H338" s="182">
        <v>5.6630000000000003</v>
      </c>
      <c r="I338" s="181">
        <v>16125</v>
      </c>
      <c r="J338" s="182">
        <v>9.6881000000000004</v>
      </c>
      <c r="K338" s="183">
        <v>13</v>
      </c>
      <c r="L338" s="184">
        <v>0</v>
      </c>
      <c r="M338" s="184">
        <v>0</v>
      </c>
      <c r="N338" s="182">
        <v>43.592599999999997</v>
      </c>
      <c r="O338" s="181">
        <v>3273227</v>
      </c>
    </row>
    <row r="339" spans="2:15" ht="12.75" customHeight="1" x14ac:dyDescent="0.35">
      <c r="B339" s="171" t="s">
        <v>31</v>
      </c>
      <c r="C339" s="172">
        <v>2020</v>
      </c>
      <c r="D339" s="173">
        <v>13.9</v>
      </c>
      <c r="E339" s="173">
        <v>14.08</v>
      </c>
      <c r="F339" s="174">
        <v>1074</v>
      </c>
      <c r="G339" s="175">
        <v>6.1224999999999996</v>
      </c>
      <c r="H339" s="175">
        <v>6.1356000000000002</v>
      </c>
      <c r="I339" s="174">
        <v>17185</v>
      </c>
      <c r="J339" s="175">
        <v>9.7517999999999994</v>
      </c>
      <c r="K339" s="176">
        <v>13.3</v>
      </c>
      <c r="L339" s="177">
        <v>0</v>
      </c>
      <c r="M339" s="177">
        <v>1</v>
      </c>
      <c r="N339" s="175">
        <v>43.592599999999997</v>
      </c>
      <c r="O339" s="174">
        <v>3281480</v>
      </c>
    </row>
    <row r="340" spans="2:15" ht="12.75" customHeight="1" x14ac:dyDescent="0.35">
      <c r="B340" s="178" t="s">
        <v>31</v>
      </c>
      <c r="C340" s="179">
        <v>2021</v>
      </c>
      <c r="D340" s="180">
        <v>17.21</v>
      </c>
      <c r="E340" s="180">
        <v>36.76</v>
      </c>
      <c r="F340" s="181">
        <v>2283</v>
      </c>
      <c r="G340" s="182">
        <v>6.3385999999999996</v>
      </c>
      <c r="H340" s="182">
        <v>7.0975000000000001</v>
      </c>
      <c r="I340" s="181">
        <v>19466</v>
      </c>
      <c r="J340" s="182">
        <v>9.8764000000000003</v>
      </c>
      <c r="K340" s="183">
        <v>13.6</v>
      </c>
      <c r="L340" s="184">
        <v>0</v>
      </c>
      <c r="M340" s="184">
        <v>1</v>
      </c>
      <c r="N340" s="182">
        <v>43.592599999999997</v>
      </c>
      <c r="O340" s="181">
        <v>3289290</v>
      </c>
    </row>
    <row r="341" spans="2:15" ht="12.75" customHeight="1" x14ac:dyDescent="0.35">
      <c r="B341" s="171" t="s">
        <v>31</v>
      </c>
      <c r="C341" s="172">
        <v>2022</v>
      </c>
      <c r="D341" s="173">
        <v>18.559999999999999</v>
      </c>
      <c r="E341" s="173">
        <v>43.59</v>
      </c>
      <c r="F341" s="174">
        <v>3709</v>
      </c>
      <c r="G341" s="175">
        <v>6.4085000000000001</v>
      </c>
      <c r="H341" s="175">
        <v>7.2625999999999999</v>
      </c>
      <c r="I341" s="174">
        <v>22265</v>
      </c>
      <c r="J341" s="175">
        <v>10.0108</v>
      </c>
      <c r="K341" s="176">
        <v>10.199999999999999</v>
      </c>
      <c r="L341" s="177">
        <v>0</v>
      </c>
      <c r="M341" s="177">
        <v>0</v>
      </c>
      <c r="N341" s="175">
        <v>43.592599999999997</v>
      </c>
      <c r="O341" s="174">
        <v>3271199</v>
      </c>
    </row>
    <row r="342" spans="2:15" ht="12.75" customHeight="1" x14ac:dyDescent="0.35">
      <c r="B342" s="178" t="s">
        <v>31</v>
      </c>
      <c r="C342" s="179">
        <v>2023</v>
      </c>
      <c r="D342" s="180">
        <v>15.99</v>
      </c>
      <c r="E342" s="180">
        <v>0</v>
      </c>
      <c r="F342" s="181">
        <v>3709</v>
      </c>
      <c r="G342" s="182">
        <v>6.2595999999999998</v>
      </c>
      <c r="H342" s="182"/>
      <c r="I342" s="181">
        <v>24736</v>
      </c>
      <c r="J342" s="182">
        <v>10.116</v>
      </c>
      <c r="K342" s="183">
        <v>10.3</v>
      </c>
      <c r="L342" s="184">
        <v>1</v>
      </c>
      <c r="M342" s="184">
        <v>0</v>
      </c>
      <c r="N342" s="182">
        <v>43.592599999999997</v>
      </c>
      <c r="O342" s="181">
        <v>3271199</v>
      </c>
    </row>
    <row r="343" spans="2:15" ht="12.75" customHeight="1" x14ac:dyDescent="0.35">
      <c r="B343" s="171" t="s">
        <v>31</v>
      </c>
      <c r="C343" s="172">
        <v>2024</v>
      </c>
      <c r="D343" s="173">
        <v>14.31</v>
      </c>
      <c r="E343" s="173">
        <v>8.06</v>
      </c>
      <c r="F343" s="174">
        <v>3981</v>
      </c>
      <c r="G343" s="175">
        <v>6.18</v>
      </c>
      <c r="H343" s="175">
        <v>5.6058000000000003</v>
      </c>
      <c r="I343" s="174">
        <v>26337</v>
      </c>
      <c r="J343" s="175">
        <v>10.178699999999999</v>
      </c>
      <c r="K343" s="176">
        <v>8.5</v>
      </c>
      <c r="L343" s="177">
        <v>1</v>
      </c>
      <c r="M343" s="177">
        <v>0</v>
      </c>
      <c r="N343" s="175">
        <v>43.592599999999997</v>
      </c>
      <c r="O343" s="174">
        <v>3375646</v>
      </c>
    </row>
    <row r="344" spans="2:15" ht="12.75" customHeight="1" x14ac:dyDescent="0.35">
      <c r="B344" s="157" t="s">
        <v>32</v>
      </c>
      <c r="C344" s="158">
        <v>2005</v>
      </c>
      <c r="D344" s="159">
        <v>19.89</v>
      </c>
      <c r="E344" s="159">
        <v>0.79</v>
      </c>
      <c r="F344" s="160">
        <v>81</v>
      </c>
      <c r="G344" s="161">
        <v>7.6212</v>
      </c>
      <c r="H344" s="161">
        <v>4.3944000000000001</v>
      </c>
      <c r="I344" s="160">
        <v>12344</v>
      </c>
      <c r="J344" s="161">
        <v>9.4208999999999996</v>
      </c>
      <c r="K344" s="162">
        <v>7.5</v>
      </c>
      <c r="L344" s="163">
        <v>0</v>
      </c>
      <c r="M344" s="163">
        <v>0</v>
      </c>
      <c r="N344" s="161">
        <v>339.46789999999999</v>
      </c>
      <c r="O344" s="160">
        <v>10261856</v>
      </c>
    </row>
    <row r="345" spans="2:15" ht="12.75" customHeight="1" x14ac:dyDescent="0.35">
      <c r="B345" s="164" t="s">
        <v>32</v>
      </c>
      <c r="C345" s="165">
        <v>2006</v>
      </c>
      <c r="D345" s="166">
        <v>21.51</v>
      </c>
      <c r="E345" s="166">
        <v>0.71</v>
      </c>
      <c r="F345" s="167">
        <v>155</v>
      </c>
      <c r="G345" s="168">
        <v>7.7115</v>
      </c>
      <c r="H345" s="168">
        <v>4.3041</v>
      </c>
      <c r="I345" s="167">
        <v>13152</v>
      </c>
      <c r="J345" s="168">
        <v>9.4842999999999993</v>
      </c>
      <c r="K345" s="169">
        <v>7.36</v>
      </c>
      <c r="L345" s="170">
        <v>0</v>
      </c>
      <c r="M345" s="170">
        <v>0</v>
      </c>
      <c r="N345" s="168">
        <v>339.46789999999999</v>
      </c>
      <c r="O345" s="167">
        <v>10387378</v>
      </c>
    </row>
    <row r="346" spans="2:15" ht="12.75" customHeight="1" x14ac:dyDescent="0.35">
      <c r="B346" s="157" t="s">
        <v>32</v>
      </c>
      <c r="C346" s="158">
        <v>2007</v>
      </c>
      <c r="D346" s="159">
        <v>22.33</v>
      </c>
      <c r="E346" s="159">
        <v>0.6</v>
      </c>
      <c r="F346" s="160">
        <v>217</v>
      </c>
      <c r="G346" s="161">
        <v>7.7393999999999998</v>
      </c>
      <c r="H346" s="161">
        <v>4.1271000000000004</v>
      </c>
      <c r="I346" s="160">
        <v>15711</v>
      </c>
      <c r="J346" s="161">
        <v>9.6621000000000006</v>
      </c>
      <c r="K346" s="162">
        <v>6.22</v>
      </c>
      <c r="L346" s="163">
        <v>0</v>
      </c>
      <c r="M346" s="163">
        <v>0</v>
      </c>
      <c r="N346" s="161">
        <v>339.46789999999999</v>
      </c>
      <c r="O346" s="160">
        <v>10284503</v>
      </c>
    </row>
    <row r="347" spans="2:15" ht="12.75" customHeight="1" x14ac:dyDescent="0.35">
      <c r="B347" s="164" t="s">
        <v>32</v>
      </c>
      <c r="C347" s="165">
        <v>2008</v>
      </c>
      <c r="D347" s="166">
        <v>24.18</v>
      </c>
      <c r="E347" s="166">
        <v>1.65</v>
      </c>
      <c r="F347" s="167">
        <v>392</v>
      </c>
      <c r="G347" s="168">
        <v>7.8482000000000003</v>
      </c>
      <c r="H347" s="168">
        <v>5.1647999999999996</v>
      </c>
      <c r="I347" s="167">
        <v>16927</v>
      </c>
      <c r="J347" s="168">
        <v>9.7367000000000008</v>
      </c>
      <c r="K347" s="169">
        <v>5</v>
      </c>
      <c r="L347" s="170">
        <v>0</v>
      </c>
      <c r="M347" s="170">
        <v>0</v>
      </c>
      <c r="N347" s="168">
        <v>339.46789999999999</v>
      </c>
      <c r="O347" s="167">
        <v>10590171</v>
      </c>
    </row>
    <row r="348" spans="2:15" ht="12.75" customHeight="1" x14ac:dyDescent="0.35">
      <c r="B348" s="157" t="s">
        <v>32</v>
      </c>
      <c r="C348" s="158">
        <v>2009</v>
      </c>
      <c r="D348" s="159">
        <v>25.14</v>
      </c>
      <c r="E348" s="159">
        <v>1.8</v>
      </c>
      <c r="F348" s="160">
        <v>584</v>
      </c>
      <c r="G348" s="161">
        <v>7.8958000000000004</v>
      </c>
      <c r="H348" s="161">
        <v>5.2575000000000003</v>
      </c>
      <c r="I348" s="160">
        <v>17779</v>
      </c>
      <c r="J348" s="161">
        <v>9.7858000000000001</v>
      </c>
      <c r="K348" s="162">
        <v>6.8</v>
      </c>
      <c r="L348" s="163">
        <v>0</v>
      </c>
      <c r="M348" s="163">
        <v>0</v>
      </c>
      <c r="N348" s="161">
        <v>339.46789999999999</v>
      </c>
      <c r="O348" s="160">
        <v>10686247</v>
      </c>
    </row>
    <row r="349" spans="2:15" ht="12.75" customHeight="1" x14ac:dyDescent="0.35">
      <c r="B349" s="164" t="s">
        <v>32</v>
      </c>
      <c r="C349" s="165">
        <v>2010</v>
      </c>
      <c r="D349" s="166">
        <v>25.35</v>
      </c>
      <c r="E349" s="166">
        <v>2.0299999999999998</v>
      </c>
      <c r="F349" s="167">
        <v>796</v>
      </c>
      <c r="G349" s="168">
        <v>7.8815999999999997</v>
      </c>
      <c r="H349" s="168">
        <v>5.3566000000000003</v>
      </c>
      <c r="I349" s="167">
        <v>21562</v>
      </c>
      <c r="J349" s="168">
        <v>9.9786999999999999</v>
      </c>
      <c r="K349" s="169">
        <v>5.89</v>
      </c>
      <c r="L349" s="170">
        <v>0</v>
      </c>
      <c r="M349" s="170">
        <v>0</v>
      </c>
      <c r="N349" s="168">
        <v>339.46789999999999</v>
      </c>
      <c r="O349" s="167">
        <v>10444526</v>
      </c>
    </row>
    <row r="350" spans="2:15" ht="12.75" customHeight="1" x14ac:dyDescent="0.35">
      <c r="B350" s="157" t="s">
        <v>32</v>
      </c>
      <c r="C350" s="158">
        <v>2011</v>
      </c>
      <c r="D350" s="159">
        <v>22.64</v>
      </c>
      <c r="E350" s="159">
        <v>2.23</v>
      </c>
      <c r="F350" s="160">
        <v>1030</v>
      </c>
      <c r="G350" s="161">
        <v>7.7748999999999997</v>
      </c>
      <c r="H350" s="161">
        <v>5.4553000000000003</v>
      </c>
      <c r="I350" s="160">
        <v>24459</v>
      </c>
      <c r="J350" s="161">
        <v>10.104799999999999</v>
      </c>
      <c r="K350" s="162">
        <v>4.99</v>
      </c>
      <c r="L350" s="163">
        <v>0</v>
      </c>
      <c r="M350" s="163">
        <v>0</v>
      </c>
      <c r="N350" s="161">
        <v>339.46789999999999</v>
      </c>
      <c r="O350" s="160">
        <v>10512349</v>
      </c>
    </row>
    <row r="351" spans="2:15" ht="12.75" customHeight="1" x14ac:dyDescent="0.35">
      <c r="B351" s="164" t="s">
        <v>32</v>
      </c>
      <c r="C351" s="165">
        <v>2012</v>
      </c>
      <c r="D351" s="166">
        <v>23.08</v>
      </c>
      <c r="E351" s="166">
        <v>1.48</v>
      </c>
      <c r="F351" s="167">
        <v>1187</v>
      </c>
      <c r="G351" s="168">
        <v>7.8002000000000002</v>
      </c>
      <c r="H351" s="168">
        <v>5.0561999999999996</v>
      </c>
      <c r="I351" s="167">
        <v>27002</v>
      </c>
      <c r="J351" s="168">
        <v>10.2037</v>
      </c>
      <c r="K351" s="169">
        <v>4.88</v>
      </c>
      <c r="L351" s="170">
        <v>0</v>
      </c>
      <c r="M351" s="170">
        <v>0</v>
      </c>
      <c r="N351" s="168">
        <v>339.46789999999999</v>
      </c>
      <c r="O351" s="167">
        <v>10577755</v>
      </c>
    </row>
    <row r="352" spans="2:15" ht="12.75" customHeight="1" x14ac:dyDescent="0.35">
      <c r="B352" s="157" t="s">
        <v>32</v>
      </c>
      <c r="C352" s="158">
        <v>2013</v>
      </c>
      <c r="D352" s="159">
        <v>18.57</v>
      </c>
      <c r="E352" s="159">
        <v>0.73</v>
      </c>
      <c r="F352" s="160">
        <v>1267</v>
      </c>
      <c r="G352" s="161">
        <v>7.6216999999999997</v>
      </c>
      <c r="H352" s="161">
        <v>4.3819999999999997</v>
      </c>
      <c r="I352" s="160">
        <v>30323</v>
      </c>
      <c r="J352" s="161">
        <v>10.319699999999999</v>
      </c>
      <c r="K352" s="162">
        <v>4.51</v>
      </c>
      <c r="L352" s="163">
        <v>0</v>
      </c>
      <c r="M352" s="163">
        <v>0</v>
      </c>
      <c r="N352" s="161">
        <v>339.46789999999999</v>
      </c>
      <c r="O352" s="160">
        <v>10997465</v>
      </c>
    </row>
    <row r="353" spans="2:15" ht="12.75" customHeight="1" x14ac:dyDescent="0.35">
      <c r="B353" s="164" t="s">
        <v>32</v>
      </c>
      <c r="C353" s="165">
        <v>2014</v>
      </c>
      <c r="D353" s="166">
        <v>18.8</v>
      </c>
      <c r="E353" s="166">
        <v>0.55000000000000004</v>
      </c>
      <c r="F353" s="167">
        <v>1328</v>
      </c>
      <c r="G353" s="168">
        <v>7.6416000000000004</v>
      </c>
      <c r="H353" s="168">
        <v>4.1109</v>
      </c>
      <c r="I353" s="167">
        <v>31411</v>
      </c>
      <c r="J353" s="168">
        <v>10.354900000000001</v>
      </c>
      <c r="K353" s="169">
        <v>4.62</v>
      </c>
      <c r="L353" s="170">
        <v>0</v>
      </c>
      <c r="M353" s="170">
        <v>0</v>
      </c>
      <c r="N353" s="168">
        <v>339.46789999999999</v>
      </c>
      <c r="O353" s="167">
        <v>11081692</v>
      </c>
    </row>
    <row r="354" spans="2:15" ht="12.75" customHeight="1" x14ac:dyDescent="0.35">
      <c r="B354" s="157" t="s">
        <v>32</v>
      </c>
      <c r="C354" s="158">
        <v>2015</v>
      </c>
      <c r="D354" s="159">
        <v>17.75</v>
      </c>
      <c r="E354" s="159">
        <v>1.1100000000000001</v>
      </c>
      <c r="F354" s="160">
        <v>1452</v>
      </c>
      <c r="G354" s="161">
        <v>7.5914000000000001</v>
      </c>
      <c r="H354" s="161">
        <v>4.8202999999999996</v>
      </c>
      <c r="I354" s="160">
        <v>33769</v>
      </c>
      <c r="J354" s="161">
        <v>10.427300000000001</v>
      </c>
      <c r="K354" s="162">
        <v>5.9</v>
      </c>
      <c r="L354" s="163">
        <v>0</v>
      </c>
      <c r="M354" s="163">
        <v>0</v>
      </c>
      <c r="N354" s="161">
        <v>339.46789999999999</v>
      </c>
      <c r="O354" s="160">
        <v>11163018</v>
      </c>
    </row>
    <row r="355" spans="2:15" ht="12.75" customHeight="1" x14ac:dyDescent="0.35">
      <c r="B355" s="171" t="s">
        <v>32</v>
      </c>
      <c r="C355" s="172">
        <v>2016</v>
      </c>
      <c r="D355" s="173">
        <v>18.95</v>
      </c>
      <c r="E355" s="173">
        <v>3.43</v>
      </c>
      <c r="F355" s="174">
        <v>1838</v>
      </c>
      <c r="G355" s="175">
        <v>7.6642999999999999</v>
      </c>
      <c r="H355" s="175">
        <v>5.9558</v>
      </c>
      <c r="I355" s="174">
        <v>35740</v>
      </c>
      <c r="J355" s="175">
        <v>10.484</v>
      </c>
      <c r="K355" s="176">
        <v>8.3000000000000007</v>
      </c>
      <c r="L355" s="177">
        <v>0</v>
      </c>
      <c r="M355" s="177">
        <v>0</v>
      </c>
      <c r="N355" s="175">
        <v>339.46789999999999</v>
      </c>
      <c r="O355" s="174">
        <v>11242720</v>
      </c>
    </row>
    <row r="356" spans="2:15" ht="12.75" customHeight="1" x14ac:dyDescent="0.35">
      <c r="B356" s="178" t="s">
        <v>32</v>
      </c>
      <c r="C356" s="179">
        <v>2017</v>
      </c>
      <c r="D356" s="180">
        <v>16.23</v>
      </c>
      <c r="E356" s="180">
        <v>4.58</v>
      </c>
      <c r="F356" s="181">
        <v>2356</v>
      </c>
      <c r="G356" s="182">
        <v>7.5159000000000002</v>
      </c>
      <c r="H356" s="182">
        <v>6.25</v>
      </c>
      <c r="I356" s="181">
        <v>37232</v>
      </c>
      <c r="J356" s="182">
        <v>10.524900000000001</v>
      </c>
      <c r="K356" s="183">
        <v>9</v>
      </c>
      <c r="L356" s="184">
        <v>0</v>
      </c>
      <c r="M356" s="184">
        <v>0</v>
      </c>
      <c r="N356" s="182">
        <v>339.46789999999999</v>
      </c>
      <c r="O356" s="181">
        <v>11320892</v>
      </c>
    </row>
    <row r="357" spans="2:15" ht="12.75" customHeight="1" x14ac:dyDescent="0.35">
      <c r="B357" s="171" t="s">
        <v>32</v>
      </c>
      <c r="C357" s="172">
        <v>2018</v>
      </c>
      <c r="D357" s="173">
        <v>13.45</v>
      </c>
      <c r="E357" s="173">
        <v>10.91</v>
      </c>
      <c r="F357" s="174">
        <v>3594</v>
      </c>
      <c r="G357" s="175">
        <v>7.3304</v>
      </c>
      <c r="H357" s="175">
        <v>7.1212999999999997</v>
      </c>
      <c r="I357" s="174">
        <v>38773</v>
      </c>
      <c r="J357" s="175">
        <v>10.5655</v>
      </c>
      <c r="K357" s="176">
        <v>8.8000000000000007</v>
      </c>
      <c r="L357" s="177">
        <v>0</v>
      </c>
      <c r="M357" s="177">
        <v>0</v>
      </c>
      <c r="N357" s="175">
        <v>339.46789999999999</v>
      </c>
      <c r="O357" s="174">
        <v>11348937</v>
      </c>
    </row>
    <row r="358" spans="2:15" ht="12.75" customHeight="1" x14ac:dyDescent="0.35">
      <c r="B358" s="178" t="s">
        <v>32</v>
      </c>
      <c r="C358" s="179">
        <v>2019</v>
      </c>
      <c r="D358" s="180">
        <v>10.34</v>
      </c>
      <c r="E358" s="180">
        <v>64.2</v>
      </c>
      <c r="F358" s="181">
        <v>10935</v>
      </c>
      <c r="G358" s="182">
        <v>7.0750000000000002</v>
      </c>
      <c r="H358" s="182">
        <v>8.9011999999999993</v>
      </c>
      <c r="I358" s="181">
        <v>40789</v>
      </c>
      <c r="J358" s="182">
        <v>10.616199999999999</v>
      </c>
      <c r="K358" s="183">
        <v>8.6999999999999993</v>
      </c>
      <c r="L358" s="184">
        <v>0</v>
      </c>
      <c r="M358" s="184">
        <v>0</v>
      </c>
      <c r="N358" s="182">
        <v>339.46789999999999</v>
      </c>
      <c r="O358" s="181">
        <v>11433957</v>
      </c>
    </row>
    <row r="359" spans="2:15" ht="12.75" customHeight="1" x14ac:dyDescent="0.35">
      <c r="B359" s="171" t="s">
        <v>32</v>
      </c>
      <c r="C359" s="172">
        <v>2020</v>
      </c>
      <c r="D359" s="173">
        <v>12.22</v>
      </c>
      <c r="E359" s="173">
        <v>150.15</v>
      </c>
      <c r="F359" s="174">
        <v>28227</v>
      </c>
      <c r="G359" s="175">
        <v>7.2492000000000001</v>
      </c>
      <c r="H359" s="175">
        <v>9.7579999999999991</v>
      </c>
      <c r="I359" s="174">
        <v>42367</v>
      </c>
      <c r="J359" s="175">
        <v>10.6541</v>
      </c>
      <c r="K359" s="176">
        <v>9.6</v>
      </c>
      <c r="L359" s="177">
        <v>0</v>
      </c>
      <c r="M359" s="177">
        <v>1</v>
      </c>
      <c r="N359" s="175">
        <v>339.46789999999999</v>
      </c>
      <c r="O359" s="174">
        <v>11516840</v>
      </c>
    </row>
    <row r="360" spans="2:15" ht="12.75" customHeight="1" x14ac:dyDescent="0.35">
      <c r="B360" s="178" t="s">
        <v>32</v>
      </c>
      <c r="C360" s="179">
        <v>2021</v>
      </c>
      <c r="D360" s="180">
        <v>11.87</v>
      </c>
      <c r="E360" s="180">
        <v>131.36000000000001</v>
      </c>
      <c r="F360" s="181">
        <v>43462</v>
      </c>
      <c r="G360" s="182">
        <v>7.2276999999999996</v>
      </c>
      <c r="H360" s="182">
        <v>9.6313999999999993</v>
      </c>
      <c r="I360" s="181">
        <v>47422</v>
      </c>
      <c r="J360" s="182">
        <v>10.7668</v>
      </c>
      <c r="K360" s="183">
        <v>8.4</v>
      </c>
      <c r="L360" s="184">
        <v>0</v>
      </c>
      <c r="M360" s="184">
        <v>1</v>
      </c>
      <c r="N360" s="182">
        <v>339.46789999999999</v>
      </c>
      <c r="O360" s="181">
        <v>11597484</v>
      </c>
    </row>
    <row r="361" spans="2:15" ht="12.75" customHeight="1" x14ac:dyDescent="0.35">
      <c r="B361" s="171" t="s">
        <v>32</v>
      </c>
      <c r="C361" s="172">
        <v>2022</v>
      </c>
      <c r="D361" s="173">
        <v>13.12</v>
      </c>
      <c r="E361" s="173">
        <v>339.47</v>
      </c>
      <c r="F361" s="174">
        <v>82312</v>
      </c>
      <c r="G361" s="175">
        <v>7.3139000000000003</v>
      </c>
      <c r="H361" s="175">
        <v>10.567500000000001</v>
      </c>
      <c r="I361" s="174">
        <v>53704</v>
      </c>
      <c r="J361" s="175">
        <v>10.8912</v>
      </c>
      <c r="K361" s="176">
        <v>5.8</v>
      </c>
      <c r="L361" s="177">
        <v>0</v>
      </c>
      <c r="M361" s="177">
        <v>0</v>
      </c>
      <c r="N361" s="175">
        <v>339.46789999999999</v>
      </c>
      <c r="O361" s="174">
        <v>11444380</v>
      </c>
    </row>
    <row r="362" spans="2:15" ht="12.75" customHeight="1" x14ac:dyDescent="0.35">
      <c r="B362" s="178" t="s">
        <v>32</v>
      </c>
      <c r="C362" s="179">
        <v>2023</v>
      </c>
      <c r="D362" s="180">
        <v>10.94</v>
      </c>
      <c r="E362" s="180">
        <v>0.76</v>
      </c>
      <c r="F362" s="181">
        <v>82399</v>
      </c>
      <c r="G362" s="182">
        <v>7.1325000000000003</v>
      </c>
      <c r="H362" s="182">
        <v>4.4659000000000004</v>
      </c>
      <c r="I362" s="181">
        <v>58624</v>
      </c>
      <c r="J362" s="182">
        <v>10.978899999999999</v>
      </c>
      <c r="K362" s="183">
        <v>4.9000000000000004</v>
      </c>
      <c r="L362" s="184">
        <v>1</v>
      </c>
      <c r="M362" s="184">
        <v>0</v>
      </c>
      <c r="N362" s="182">
        <v>339.46789999999999</v>
      </c>
      <c r="O362" s="181">
        <v>11444380</v>
      </c>
    </row>
    <row r="363" spans="2:15" ht="12.75" customHeight="1" x14ac:dyDescent="0.35">
      <c r="B363" s="171" t="s">
        <v>32</v>
      </c>
      <c r="C363" s="172">
        <v>2024</v>
      </c>
      <c r="D363" s="173">
        <v>9.26</v>
      </c>
      <c r="E363" s="173">
        <v>45.04</v>
      </c>
      <c r="F363" s="174">
        <v>87725</v>
      </c>
      <c r="G363" s="175">
        <v>6.9984999999999999</v>
      </c>
      <c r="H363" s="175">
        <v>8.5803999999999991</v>
      </c>
      <c r="I363" s="174">
        <v>61827</v>
      </c>
      <c r="J363" s="175">
        <v>11.0321</v>
      </c>
      <c r="K363" s="176">
        <v>4</v>
      </c>
      <c r="L363" s="177">
        <v>1</v>
      </c>
      <c r="M363" s="177">
        <v>0</v>
      </c>
      <c r="N363" s="175">
        <v>339.46789999999999</v>
      </c>
      <c r="O363" s="174">
        <v>11824665</v>
      </c>
    </row>
    <row r="364" spans="2:15" ht="12.75" customHeight="1" x14ac:dyDescent="0.35">
      <c r="B364" s="157" t="s">
        <v>33</v>
      </c>
      <c r="C364" s="158">
        <v>2005</v>
      </c>
      <c r="D364" s="159">
        <v>38.92</v>
      </c>
      <c r="E364" s="159">
        <v>0.88</v>
      </c>
      <c r="F364" s="160">
        <v>135</v>
      </c>
      <c r="G364" s="161">
        <v>8.6973000000000003</v>
      </c>
      <c r="H364" s="161">
        <v>4.9053000000000004</v>
      </c>
      <c r="I364" s="160">
        <v>16057</v>
      </c>
      <c r="J364" s="161">
        <v>9.6838999999999995</v>
      </c>
      <c r="K364" s="162">
        <v>12.86</v>
      </c>
      <c r="L364" s="163">
        <v>0</v>
      </c>
      <c r="M364" s="163">
        <v>0</v>
      </c>
      <c r="N364" s="161">
        <v>91.596599999999995</v>
      </c>
      <c r="O364" s="160">
        <v>15383407</v>
      </c>
    </row>
    <row r="365" spans="2:15" ht="12.75" customHeight="1" x14ac:dyDescent="0.35">
      <c r="B365" s="164" t="s">
        <v>33</v>
      </c>
      <c r="C365" s="165">
        <v>2006</v>
      </c>
      <c r="D365" s="166">
        <v>37.32</v>
      </c>
      <c r="E365" s="166">
        <v>1.1100000000000001</v>
      </c>
      <c r="F365" s="167">
        <v>308</v>
      </c>
      <c r="G365" s="168">
        <v>8.6668000000000003</v>
      </c>
      <c r="H365" s="168">
        <v>5.1532999999999998</v>
      </c>
      <c r="I365" s="167">
        <v>17693</v>
      </c>
      <c r="J365" s="168">
        <v>9.7809000000000008</v>
      </c>
      <c r="K365" s="169">
        <v>11.93</v>
      </c>
      <c r="L365" s="170">
        <v>0</v>
      </c>
      <c r="M365" s="170">
        <v>0</v>
      </c>
      <c r="N365" s="168">
        <v>91.596599999999995</v>
      </c>
      <c r="O365" s="167">
        <v>15561720</v>
      </c>
    </row>
    <row r="366" spans="2:15" ht="12.75" customHeight="1" x14ac:dyDescent="0.35">
      <c r="B366" s="157" t="s">
        <v>33</v>
      </c>
      <c r="C366" s="158">
        <v>2007</v>
      </c>
      <c r="D366" s="159">
        <v>33.119999999999997</v>
      </c>
      <c r="E366" s="159">
        <v>1.31</v>
      </c>
      <c r="F366" s="160">
        <v>510</v>
      </c>
      <c r="G366" s="161">
        <v>8.5383999999999993</v>
      </c>
      <c r="H366" s="161">
        <v>5.3083</v>
      </c>
      <c r="I366" s="160">
        <v>19245</v>
      </c>
      <c r="J366" s="161">
        <v>9.8650000000000002</v>
      </c>
      <c r="K366" s="162">
        <v>10.3</v>
      </c>
      <c r="L366" s="163">
        <v>0</v>
      </c>
      <c r="M366" s="163">
        <v>0</v>
      </c>
      <c r="N366" s="161">
        <v>91.596599999999995</v>
      </c>
      <c r="O366" s="160">
        <v>15420450</v>
      </c>
    </row>
    <row r="367" spans="2:15" ht="12.75" customHeight="1" x14ac:dyDescent="0.35">
      <c r="B367" s="164" t="s">
        <v>33</v>
      </c>
      <c r="C367" s="165">
        <v>2008</v>
      </c>
      <c r="D367" s="166">
        <v>27.38</v>
      </c>
      <c r="E367" s="166">
        <v>1.52</v>
      </c>
      <c r="F367" s="167">
        <v>752</v>
      </c>
      <c r="G367" s="168">
        <v>8.3770000000000007</v>
      </c>
      <c r="H367" s="168">
        <v>5.4889000000000001</v>
      </c>
      <c r="I367" s="167">
        <v>21621</v>
      </c>
      <c r="J367" s="168">
        <v>9.9814000000000007</v>
      </c>
      <c r="K367" s="169">
        <v>9.66</v>
      </c>
      <c r="L367" s="170">
        <v>0</v>
      </c>
      <c r="M367" s="170">
        <v>0</v>
      </c>
      <c r="N367" s="168">
        <v>91.596599999999995</v>
      </c>
      <c r="O367" s="167">
        <v>15872362</v>
      </c>
    </row>
    <row r="368" spans="2:15" ht="12.75" customHeight="1" x14ac:dyDescent="0.35">
      <c r="B368" s="157" t="s">
        <v>33</v>
      </c>
      <c r="C368" s="158">
        <v>2009</v>
      </c>
      <c r="D368" s="159">
        <v>25.06</v>
      </c>
      <c r="E368" s="159">
        <v>1.0900000000000001</v>
      </c>
      <c r="F368" s="160">
        <v>926</v>
      </c>
      <c r="G368" s="161">
        <v>8.2972999999999999</v>
      </c>
      <c r="H368" s="161">
        <v>5.1590999999999996</v>
      </c>
      <c r="I368" s="160">
        <v>22103</v>
      </c>
      <c r="J368" s="161">
        <v>10.003500000000001</v>
      </c>
      <c r="K368" s="162">
        <v>9.25</v>
      </c>
      <c r="L368" s="163">
        <v>0</v>
      </c>
      <c r="M368" s="163">
        <v>0</v>
      </c>
      <c r="N368" s="161">
        <v>91.596599999999995</v>
      </c>
      <c r="O368" s="160">
        <v>16010429</v>
      </c>
    </row>
    <row r="369" spans="2:15" ht="12.75" customHeight="1" x14ac:dyDescent="0.35">
      <c r="B369" s="164" t="s">
        <v>33</v>
      </c>
      <c r="C369" s="165">
        <v>2010</v>
      </c>
      <c r="D369" s="166">
        <v>25.75</v>
      </c>
      <c r="E369" s="166">
        <v>2.16</v>
      </c>
      <c r="F369" s="167">
        <v>1271</v>
      </c>
      <c r="G369" s="168">
        <v>8.3231000000000002</v>
      </c>
      <c r="H369" s="168">
        <v>5.8434999999999997</v>
      </c>
      <c r="I369" s="167">
        <v>28134</v>
      </c>
      <c r="J369" s="168">
        <v>10.2447</v>
      </c>
      <c r="K369" s="169">
        <v>8.75</v>
      </c>
      <c r="L369" s="170">
        <v>0</v>
      </c>
      <c r="M369" s="170">
        <v>0</v>
      </c>
      <c r="N369" s="168">
        <v>91.596599999999995</v>
      </c>
      <c r="O369" s="167">
        <v>15989929</v>
      </c>
    </row>
    <row r="370" spans="2:15" ht="12.75" customHeight="1" x14ac:dyDescent="0.35">
      <c r="B370" s="157" t="s">
        <v>33</v>
      </c>
      <c r="C370" s="158">
        <v>2011</v>
      </c>
      <c r="D370" s="159">
        <v>21.19</v>
      </c>
      <c r="E370" s="159">
        <v>3</v>
      </c>
      <c r="F370" s="160">
        <v>1754</v>
      </c>
      <c r="G370" s="161">
        <v>8.1356000000000002</v>
      </c>
      <c r="H370" s="161">
        <v>6.18</v>
      </c>
      <c r="I370" s="160">
        <v>31824</v>
      </c>
      <c r="J370" s="161">
        <v>10.368</v>
      </c>
      <c r="K370" s="162">
        <v>8.26</v>
      </c>
      <c r="L370" s="163">
        <v>0</v>
      </c>
      <c r="M370" s="163">
        <v>0</v>
      </c>
      <c r="N370" s="161">
        <v>91.596599999999995</v>
      </c>
      <c r="O370" s="160">
        <v>16112678</v>
      </c>
    </row>
    <row r="371" spans="2:15" ht="12.75" customHeight="1" x14ac:dyDescent="0.35">
      <c r="B371" s="164" t="s">
        <v>33</v>
      </c>
      <c r="C371" s="165">
        <v>2012</v>
      </c>
      <c r="D371" s="166">
        <v>21.4</v>
      </c>
      <c r="E371" s="166">
        <v>1.74</v>
      </c>
      <c r="F371" s="167">
        <v>2037</v>
      </c>
      <c r="G371" s="168">
        <v>8.1527999999999992</v>
      </c>
      <c r="H371" s="168">
        <v>5.6454000000000004</v>
      </c>
      <c r="I371" s="167">
        <v>35418</v>
      </c>
      <c r="J371" s="168">
        <v>10.475</v>
      </c>
      <c r="K371" s="169">
        <v>6.83</v>
      </c>
      <c r="L371" s="170">
        <v>0</v>
      </c>
      <c r="M371" s="170">
        <v>0</v>
      </c>
      <c r="N371" s="168">
        <v>91.596599999999995</v>
      </c>
      <c r="O371" s="167">
        <v>16231365</v>
      </c>
    </row>
    <row r="372" spans="2:15" ht="12.75" customHeight="1" x14ac:dyDescent="0.35">
      <c r="B372" s="157" t="s">
        <v>33</v>
      </c>
      <c r="C372" s="158">
        <v>2013</v>
      </c>
      <c r="D372" s="159">
        <v>21.76</v>
      </c>
      <c r="E372" s="159">
        <v>0.85</v>
      </c>
      <c r="F372" s="160">
        <v>2176</v>
      </c>
      <c r="G372" s="161">
        <v>8.1781000000000006</v>
      </c>
      <c r="H372" s="161">
        <v>4.9344999999999999</v>
      </c>
      <c r="I372" s="160">
        <v>38379</v>
      </c>
      <c r="J372" s="161">
        <v>10.555300000000001</v>
      </c>
      <c r="K372" s="162">
        <v>7.63</v>
      </c>
      <c r="L372" s="163">
        <v>0</v>
      </c>
      <c r="M372" s="163">
        <v>0</v>
      </c>
      <c r="N372" s="161">
        <v>91.596599999999995</v>
      </c>
      <c r="O372" s="160">
        <v>16369179</v>
      </c>
    </row>
    <row r="373" spans="2:15" ht="12.75" customHeight="1" x14ac:dyDescent="0.35">
      <c r="B373" s="164" t="s">
        <v>33</v>
      </c>
      <c r="C373" s="165">
        <v>2014</v>
      </c>
      <c r="D373" s="166">
        <v>22.21</v>
      </c>
      <c r="E373" s="166">
        <v>0.37</v>
      </c>
      <c r="F373" s="167">
        <v>2237</v>
      </c>
      <c r="G373" s="168">
        <v>8.2041000000000004</v>
      </c>
      <c r="H373" s="168">
        <v>4.1109</v>
      </c>
      <c r="I373" s="167">
        <v>40767</v>
      </c>
      <c r="J373" s="168">
        <v>10.615600000000001</v>
      </c>
      <c r="K373" s="169">
        <v>8.09</v>
      </c>
      <c r="L373" s="170">
        <v>0</v>
      </c>
      <c r="M373" s="170">
        <v>0</v>
      </c>
      <c r="N373" s="168">
        <v>91.596599999999995</v>
      </c>
      <c r="O373" s="167">
        <v>16461173</v>
      </c>
    </row>
    <row r="374" spans="2:15" ht="12.75" customHeight="1" x14ac:dyDescent="0.35">
      <c r="B374" s="157" t="s">
        <v>33</v>
      </c>
      <c r="C374" s="158">
        <v>2015</v>
      </c>
      <c r="D374" s="159">
        <v>19.2</v>
      </c>
      <c r="E374" s="159">
        <v>1.06</v>
      </c>
      <c r="F374" s="160">
        <v>2412</v>
      </c>
      <c r="G374" s="161">
        <v>8.0640000000000001</v>
      </c>
      <c r="H374" s="161">
        <v>5.1647999999999996</v>
      </c>
      <c r="I374" s="160">
        <v>39827</v>
      </c>
      <c r="J374" s="161">
        <v>10.5923</v>
      </c>
      <c r="K374" s="162">
        <v>7.7</v>
      </c>
      <c r="L374" s="163">
        <v>0</v>
      </c>
      <c r="M374" s="163">
        <v>0</v>
      </c>
      <c r="N374" s="161">
        <v>91.596599999999995</v>
      </c>
      <c r="O374" s="160">
        <v>16550024</v>
      </c>
    </row>
    <row r="375" spans="2:15" ht="12.75" customHeight="1" x14ac:dyDescent="0.35">
      <c r="B375" s="171" t="s">
        <v>33</v>
      </c>
      <c r="C375" s="172">
        <v>2016</v>
      </c>
      <c r="D375" s="173">
        <v>24.26</v>
      </c>
      <c r="E375" s="173">
        <v>2.4</v>
      </c>
      <c r="F375" s="174">
        <v>2811</v>
      </c>
      <c r="G375" s="175">
        <v>8.3030000000000008</v>
      </c>
      <c r="H375" s="175">
        <v>5.9889999999999999</v>
      </c>
      <c r="I375" s="174">
        <v>38495</v>
      </c>
      <c r="J375" s="175">
        <v>10.558299999999999</v>
      </c>
      <c r="K375" s="176">
        <v>11.9</v>
      </c>
      <c r="L375" s="177">
        <v>0</v>
      </c>
      <c r="M375" s="177">
        <v>0</v>
      </c>
      <c r="N375" s="175">
        <v>91.596599999999995</v>
      </c>
      <c r="O375" s="174">
        <v>16635996</v>
      </c>
    </row>
    <row r="376" spans="2:15" ht="12.75" customHeight="1" x14ac:dyDescent="0.35">
      <c r="B376" s="178" t="s">
        <v>33</v>
      </c>
      <c r="C376" s="179">
        <v>2017</v>
      </c>
      <c r="D376" s="180">
        <v>26.43</v>
      </c>
      <c r="E376" s="180">
        <v>4.0199999999999996</v>
      </c>
      <c r="F376" s="181">
        <v>3483</v>
      </c>
      <c r="G376" s="182">
        <v>8.3937000000000008</v>
      </c>
      <c r="H376" s="182">
        <v>6.5103</v>
      </c>
      <c r="I376" s="181">
        <v>40170</v>
      </c>
      <c r="J376" s="182">
        <v>10.600899999999999</v>
      </c>
      <c r="K376" s="183">
        <v>15.1</v>
      </c>
      <c r="L376" s="184">
        <v>0</v>
      </c>
      <c r="M376" s="184">
        <v>0</v>
      </c>
      <c r="N376" s="182">
        <v>91.596599999999995</v>
      </c>
      <c r="O376" s="181">
        <v>16718956</v>
      </c>
    </row>
    <row r="377" spans="2:15" ht="12.75" customHeight="1" x14ac:dyDescent="0.35">
      <c r="B377" s="171" t="s">
        <v>33</v>
      </c>
      <c r="C377" s="172">
        <v>2018</v>
      </c>
      <c r="D377" s="173">
        <v>24.87</v>
      </c>
      <c r="E377" s="173">
        <v>8.6300000000000008</v>
      </c>
      <c r="F377" s="174">
        <v>4964</v>
      </c>
      <c r="G377" s="175">
        <v>8.3587000000000007</v>
      </c>
      <c r="H377" s="175">
        <v>7.3005000000000004</v>
      </c>
      <c r="I377" s="174">
        <v>44223</v>
      </c>
      <c r="J377" s="175">
        <v>10.696999999999999</v>
      </c>
      <c r="K377" s="176">
        <v>15.1</v>
      </c>
      <c r="L377" s="177">
        <v>0</v>
      </c>
      <c r="M377" s="177">
        <v>0</v>
      </c>
      <c r="N377" s="175">
        <v>91.596599999999995</v>
      </c>
      <c r="O377" s="174">
        <v>17159960</v>
      </c>
    </row>
    <row r="378" spans="2:15" ht="12.75" customHeight="1" x14ac:dyDescent="0.35">
      <c r="B378" s="178" t="s">
        <v>33</v>
      </c>
      <c r="C378" s="179">
        <v>2019</v>
      </c>
      <c r="D378" s="180">
        <v>13.39</v>
      </c>
      <c r="E378" s="180">
        <v>8.6999999999999993</v>
      </c>
      <c r="F378" s="181">
        <v>6466</v>
      </c>
      <c r="G378" s="182">
        <v>7.7454000000000001</v>
      </c>
      <c r="H378" s="182">
        <v>7.3146000000000004</v>
      </c>
      <c r="I378" s="181">
        <v>45174</v>
      </c>
      <c r="J378" s="182">
        <v>10.718299999999999</v>
      </c>
      <c r="K378" s="183">
        <v>14.8</v>
      </c>
      <c r="L378" s="184">
        <v>0</v>
      </c>
      <c r="M378" s="184">
        <v>0</v>
      </c>
      <c r="N378" s="182">
        <v>91.596599999999995</v>
      </c>
      <c r="O378" s="181">
        <v>17264943</v>
      </c>
    </row>
    <row r="379" spans="2:15" ht="12.75" customHeight="1" x14ac:dyDescent="0.35">
      <c r="B379" s="171" t="s">
        <v>33</v>
      </c>
      <c r="C379" s="172">
        <v>2020</v>
      </c>
      <c r="D379" s="173">
        <v>15.8</v>
      </c>
      <c r="E379" s="173">
        <v>18.55</v>
      </c>
      <c r="F379" s="174">
        <v>9687</v>
      </c>
      <c r="G379" s="175">
        <v>7.9172000000000002</v>
      </c>
      <c r="H379" s="175">
        <v>8.0774000000000008</v>
      </c>
      <c r="I379" s="174">
        <v>43408</v>
      </c>
      <c r="J379" s="175">
        <v>10.6784</v>
      </c>
      <c r="K379" s="176">
        <v>17.600000000000001</v>
      </c>
      <c r="L379" s="177">
        <v>0</v>
      </c>
      <c r="M379" s="177">
        <v>1</v>
      </c>
      <c r="N379" s="175">
        <v>91.596599999999995</v>
      </c>
      <c r="O379" s="174">
        <v>17366189</v>
      </c>
    </row>
    <row r="380" spans="2:15" ht="12.75" customHeight="1" x14ac:dyDescent="0.35">
      <c r="B380" s="178" t="s">
        <v>33</v>
      </c>
      <c r="C380" s="179">
        <v>2021</v>
      </c>
      <c r="D380" s="180">
        <v>17.18</v>
      </c>
      <c r="E380" s="180">
        <v>45.56</v>
      </c>
      <c r="F380" s="181">
        <v>17644</v>
      </c>
      <c r="G380" s="182">
        <v>8.0063999999999993</v>
      </c>
      <c r="H380" s="182">
        <v>8.9817999999999998</v>
      </c>
      <c r="I380" s="181">
        <v>54360</v>
      </c>
      <c r="J380" s="182">
        <v>10.9034</v>
      </c>
      <c r="K380" s="183">
        <v>16.899999999999999</v>
      </c>
      <c r="L380" s="184">
        <v>0</v>
      </c>
      <c r="M380" s="184">
        <v>1</v>
      </c>
      <c r="N380" s="182">
        <v>91.596599999999995</v>
      </c>
      <c r="O380" s="181">
        <v>17463349</v>
      </c>
    </row>
    <row r="381" spans="2:15" ht="12.75" customHeight="1" x14ac:dyDescent="0.35">
      <c r="B381" s="171" t="s">
        <v>33</v>
      </c>
      <c r="C381" s="172">
        <v>2022</v>
      </c>
      <c r="D381" s="173">
        <v>15.19</v>
      </c>
      <c r="E381" s="173">
        <v>91.6</v>
      </c>
      <c r="F381" s="174">
        <v>32350</v>
      </c>
      <c r="G381" s="175">
        <v>7.7988999999999997</v>
      </c>
      <c r="H381" s="175">
        <v>9.5960000000000001</v>
      </c>
      <c r="I381" s="174">
        <v>71847</v>
      </c>
      <c r="J381" s="175">
        <v>11.1823</v>
      </c>
      <c r="K381" s="176">
        <v>12.8</v>
      </c>
      <c r="L381" s="177">
        <v>0</v>
      </c>
      <c r="M381" s="177">
        <v>0</v>
      </c>
      <c r="N381" s="175">
        <v>91.596599999999995</v>
      </c>
      <c r="O381" s="174">
        <v>16055174</v>
      </c>
    </row>
    <row r="382" spans="2:15" ht="12.75" customHeight="1" x14ac:dyDescent="0.35">
      <c r="B382" s="178" t="s">
        <v>33</v>
      </c>
      <c r="C382" s="179">
        <v>2023</v>
      </c>
      <c r="D382" s="180">
        <v>16.09</v>
      </c>
      <c r="E382" s="180">
        <v>0.31</v>
      </c>
      <c r="F382" s="181">
        <v>32399</v>
      </c>
      <c r="G382" s="182">
        <v>7.8571</v>
      </c>
      <c r="H382" s="182">
        <v>3.8917999999999999</v>
      </c>
      <c r="I382" s="181">
        <v>73053</v>
      </c>
      <c r="J382" s="182">
        <v>11.1989</v>
      </c>
      <c r="K382" s="183">
        <v>11</v>
      </c>
      <c r="L382" s="184">
        <v>1</v>
      </c>
      <c r="M382" s="184">
        <v>0</v>
      </c>
      <c r="N382" s="182">
        <v>91.596599999999995</v>
      </c>
      <c r="O382" s="181">
        <v>16055174</v>
      </c>
    </row>
    <row r="383" spans="2:15" ht="12.75" customHeight="1" x14ac:dyDescent="0.35">
      <c r="B383" s="171" t="s">
        <v>33</v>
      </c>
      <c r="C383" s="172">
        <v>2024</v>
      </c>
      <c r="D383" s="173">
        <v>11.81</v>
      </c>
      <c r="E383" s="173">
        <v>15.89</v>
      </c>
      <c r="F383" s="174">
        <v>35135</v>
      </c>
      <c r="G383" s="175">
        <v>7.6173000000000002</v>
      </c>
      <c r="H383" s="175">
        <v>7.9142999999999999</v>
      </c>
      <c r="I383" s="174">
        <v>74008</v>
      </c>
      <c r="J383" s="175">
        <v>11.2119</v>
      </c>
      <c r="K383" s="176">
        <v>9</v>
      </c>
      <c r="L383" s="177">
        <v>1</v>
      </c>
      <c r="M383" s="177">
        <v>0</v>
      </c>
      <c r="N383" s="175">
        <v>91.596599999999995</v>
      </c>
      <c r="O383" s="174">
        <v>17219679</v>
      </c>
    </row>
    <row r="384" spans="2:15" ht="12.75" customHeight="1" x14ac:dyDescent="0.35">
      <c r="B384" s="157" t="s">
        <v>34</v>
      </c>
      <c r="C384" s="158">
        <v>2005</v>
      </c>
      <c r="D384" s="159">
        <v>8.99</v>
      </c>
      <c r="E384" s="159">
        <v>0.5</v>
      </c>
      <c r="F384" s="160">
        <v>15</v>
      </c>
      <c r="G384" s="161">
        <v>5.5983999999999998</v>
      </c>
      <c r="H384" s="161">
        <v>2.7081</v>
      </c>
      <c r="I384" s="160">
        <v>5951</v>
      </c>
      <c r="J384" s="161">
        <v>8.6913</v>
      </c>
      <c r="K384" s="162">
        <v>11.98</v>
      </c>
      <c r="L384" s="163">
        <v>0</v>
      </c>
      <c r="M384" s="163">
        <v>0</v>
      </c>
      <c r="N384" s="161">
        <v>74.998599999999996</v>
      </c>
      <c r="O384" s="160">
        <v>3003087</v>
      </c>
    </row>
    <row r="385" spans="2:15" ht="12.75" customHeight="1" x14ac:dyDescent="0.35">
      <c r="B385" s="164" t="s">
        <v>34</v>
      </c>
      <c r="C385" s="165">
        <v>2006</v>
      </c>
      <c r="D385" s="166">
        <v>9.9499999999999993</v>
      </c>
      <c r="E385" s="166">
        <v>0.26</v>
      </c>
      <c r="F385" s="167">
        <v>23</v>
      </c>
      <c r="G385" s="168">
        <v>5.7137000000000002</v>
      </c>
      <c r="H385" s="168">
        <v>2.0794000000000001</v>
      </c>
      <c r="I385" s="167">
        <v>6753</v>
      </c>
      <c r="J385" s="168">
        <v>8.8177000000000003</v>
      </c>
      <c r="K385" s="169">
        <v>9.73</v>
      </c>
      <c r="L385" s="170">
        <v>0</v>
      </c>
      <c r="M385" s="170">
        <v>0</v>
      </c>
      <c r="N385" s="168">
        <v>74.998599999999996</v>
      </c>
      <c r="O385" s="167">
        <v>3043760</v>
      </c>
    </row>
    <row r="386" spans="2:15" ht="12.75" customHeight="1" x14ac:dyDescent="0.35">
      <c r="B386" s="157" t="s">
        <v>34</v>
      </c>
      <c r="C386" s="158">
        <v>2007</v>
      </c>
      <c r="D386" s="159">
        <v>14.63</v>
      </c>
      <c r="E386" s="159">
        <v>0.3</v>
      </c>
      <c r="F386" s="160">
        <v>32</v>
      </c>
      <c r="G386" s="161">
        <v>6.0890000000000004</v>
      </c>
      <c r="H386" s="161">
        <v>2.1972</v>
      </c>
      <c r="I386" s="160">
        <v>7607</v>
      </c>
      <c r="J386" s="161">
        <v>8.9367999999999999</v>
      </c>
      <c r="K386" s="162">
        <v>10.050000000000001</v>
      </c>
      <c r="L386" s="163">
        <v>0</v>
      </c>
      <c r="M386" s="163">
        <v>0</v>
      </c>
      <c r="N386" s="161">
        <v>74.998599999999996</v>
      </c>
      <c r="O386" s="160">
        <v>3013740</v>
      </c>
    </row>
    <row r="387" spans="2:15" ht="12.75" customHeight="1" x14ac:dyDescent="0.35">
      <c r="B387" s="164" t="s">
        <v>34</v>
      </c>
      <c r="C387" s="165">
        <v>2008</v>
      </c>
      <c r="D387" s="166">
        <v>17.420000000000002</v>
      </c>
      <c r="E387" s="166">
        <v>0.23</v>
      </c>
      <c r="F387" s="167">
        <v>39</v>
      </c>
      <c r="G387" s="168">
        <v>6.2934000000000001</v>
      </c>
      <c r="H387" s="168">
        <v>1.9459</v>
      </c>
      <c r="I387" s="167">
        <v>8203</v>
      </c>
      <c r="J387" s="168">
        <v>9.0122999999999998</v>
      </c>
      <c r="K387" s="169">
        <v>8.6300000000000008</v>
      </c>
      <c r="L387" s="170">
        <v>0</v>
      </c>
      <c r="M387" s="170">
        <v>0</v>
      </c>
      <c r="N387" s="168">
        <v>74.998599999999996</v>
      </c>
      <c r="O387" s="167">
        <v>3106436</v>
      </c>
    </row>
    <row r="388" spans="2:15" ht="12.75" customHeight="1" x14ac:dyDescent="0.35">
      <c r="B388" s="157" t="s">
        <v>34</v>
      </c>
      <c r="C388" s="158">
        <v>2009</v>
      </c>
      <c r="D388" s="159">
        <v>19.57</v>
      </c>
      <c r="E388" s="159">
        <v>0.32</v>
      </c>
      <c r="F388" s="160">
        <v>49</v>
      </c>
      <c r="G388" s="161">
        <v>6.42</v>
      </c>
      <c r="H388" s="161">
        <v>2.3026</v>
      </c>
      <c r="I388" s="160">
        <v>8894</v>
      </c>
      <c r="J388" s="161">
        <v>9.0930999999999997</v>
      </c>
      <c r="K388" s="162">
        <v>11.69</v>
      </c>
      <c r="L388" s="163">
        <v>0</v>
      </c>
      <c r="M388" s="163">
        <v>0</v>
      </c>
      <c r="N388" s="161">
        <v>74.998599999999996</v>
      </c>
      <c r="O388" s="160">
        <v>3137541</v>
      </c>
    </row>
    <row r="389" spans="2:15" ht="12.75" customHeight="1" x14ac:dyDescent="0.35">
      <c r="B389" s="164" t="s">
        <v>34</v>
      </c>
      <c r="C389" s="165">
        <v>2010</v>
      </c>
      <c r="D389" s="166">
        <v>19.41</v>
      </c>
      <c r="E389" s="166">
        <v>0.63</v>
      </c>
      <c r="F389" s="167">
        <v>69</v>
      </c>
      <c r="G389" s="168">
        <v>6.4215999999999998</v>
      </c>
      <c r="H389" s="168">
        <v>2.9956999999999998</v>
      </c>
      <c r="I389" s="167">
        <v>11422</v>
      </c>
      <c r="J389" s="168">
        <v>9.3432999999999993</v>
      </c>
      <c r="K389" s="169">
        <v>11.11</v>
      </c>
      <c r="L389" s="170">
        <v>0</v>
      </c>
      <c r="M389" s="170">
        <v>0</v>
      </c>
      <c r="N389" s="168">
        <v>74.998599999999996</v>
      </c>
      <c r="O389" s="167">
        <v>3168027</v>
      </c>
    </row>
    <row r="390" spans="2:15" ht="12.75" customHeight="1" x14ac:dyDescent="0.35">
      <c r="B390" s="157" t="s">
        <v>34</v>
      </c>
      <c r="C390" s="158">
        <v>2011</v>
      </c>
      <c r="D390" s="159">
        <v>24.35</v>
      </c>
      <c r="E390" s="159">
        <v>0.72</v>
      </c>
      <c r="F390" s="160">
        <v>92</v>
      </c>
      <c r="G390" s="161">
        <v>6.6580000000000004</v>
      </c>
      <c r="H390" s="161">
        <v>3.1355</v>
      </c>
      <c r="I390" s="160">
        <v>12816</v>
      </c>
      <c r="J390" s="161">
        <v>9.4583999999999993</v>
      </c>
      <c r="K390" s="162">
        <v>10.53</v>
      </c>
      <c r="L390" s="163">
        <v>0</v>
      </c>
      <c r="M390" s="163">
        <v>0</v>
      </c>
      <c r="N390" s="161">
        <v>74.998599999999996</v>
      </c>
      <c r="O390" s="160">
        <v>3198657</v>
      </c>
    </row>
    <row r="391" spans="2:15" ht="12.75" customHeight="1" x14ac:dyDescent="0.35">
      <c r="B391" s="164" t="s">
        <v>34</v>
      </c>
      <c r="C391" s="165">
        <v>2012</v>
      </c>
      <c r="D391" s="166">
        <v>26.33</v>
      </c>
      <c r="E391" s="166">
        <v>1.46</v>
      </c>
      <c r="F391" s="167">
        <v>139</v>
      </c>
      <c r="G391" s="168">
        <v>6.7451999999999996</v>
      </c>
      <c r="H391" s="168">
        <v>3.8500999999999999</v>
      </c>
      <c r="I391" s="167">
        <v>14377</v>
      </c>
      <c r="J391" s="168">
        <v>9.5733999999999995</v>
      </c>
      <c r="K391" s="169">
        <v>8.1199999999999992</v>
      </c>
      <c r="L391" s="170">
        <v>0</v>
      </c>
      <c r="M391" s="170">
        <v>0</v>
      </c>
      <c r="N391" s="168">
        <v>74.998599999999996</v>
      </c>
      <c r="O391" s="167">
        <v>3228198</v>
      </c>
    </row>
    <row r="392" spans="2:15" ht="12.75" customHeight="1" x14ac:dyDescent="0.35">
      <c r="B392" s="157" t="s">
        <v>34</v>
      </c>
      <c r="C392" s="158">
        <v>2013</v>
      </c>
      <c r="D392" s="159">
        <v>34.17</v>
      </c>
      <c r="E392" s="159">
        <v>1.1299999999999999</v>
      </c>
      <c r="F392" s="160">
        <v>177</v>
      </c>
      <c r="G392" s="161">
        <v>7.0500999999999996</v>
      </c>
      <c r="H392" s="161">
        <v>3.6375999999999999</v>
      </c>
      <c r="I392" s="160">
        <v>15269</v>
      </c>
      <c r="J392" s="161">
        <v>9.6335999999999995</v>
      </c>
      <c r="K392" s="162">
        <v>11.82</v>
      </c>
      <c r="L392" s="163">
        <v>0</v>
      </c>
      <c r="M392" s="163">
        <v>0</v>
      </c>
      <c r="N392" s="161">
        <v>74.998599999999996</v>
      </c>
      <c r="O392" s="160">
        <v>3373959</v>
      </c>
    </row>
    <row r="393" spans="2:15" ht="12.75" customHeight="1" x14ac:dyDescent="0.35">
      <c r="B393" s="164" t="s">
        <v>34</v>
      </c>
      <c r="C393" s="165">
        <v>2014</v>
      </c>
      <c r="D393" s="166">
        <v>38.61</v>
      </c>
      <c r="E393" s="166">
        <v>0.97</v>
      </c>
      <c r="F393" s="167">
        <v>210</v>
      </c>
      <c r="G393" s="168">
        <v>7.1824000000000003</v>
      </c>
      <c r="H393" s="168">
        <v>3.4965000000000002</v>
      </c>
      <c r="I393" s="167">
        <v>15849</v>
      </c>
      <c r="J393" s="168">
        <v>9.6708999999999996</v>
      </c>
      <c r="K393" s="169">
        <v>12.14</v>
      </c>
      <c r="L393" s="170">
        <v>0</v>
      </c>
      <c r="M393" s="170">
        <v>0</v>
      </c>
      <c r="N393" s="168">
        <v>74.998599999999996</v>
      </c>
      <c r="O393" s="167">
        <v>3408510</v>
      </c>
    </row>
    <row r="394" spans="2:15" ht="12.75" customHeight="1" x14ac:dyDescent="0.35">
      <c r="B394" s="157" t="s">
        <v>34</v>
      </c>
      <c r="C394" s="158">
        <v>2015</v>
      </c>
      <c r="D394" s="159">
        <v>35.97</v>
      </c>
      <c r="E394" s="159">
        <v>0.32</v>
      </c>
      <c r="F394" s="160">
        <v>221</v>
      </c>
      <c r="G394" s="161">
        <v>7.1212999999999997</v>
      </c>
      <c r="H394" s="161">
        <v>2.3978999999999999</v>
      </c>
      <c r="I394" s="160">
        <v>16632</v>
      </c>
      <c r="J394" s="161">
        <v>9.7190999999999992</v>
      </c>
      <c r="K394" s="162">
        <v>12.1</v>
      </c>
      <c r="L394" s="163">
        <v>0</v>
      </c>
      <c r="M394" s="163">
        <v>0</v>
      </c>
      <c r="N394" s="161">
        <v>74.998599999999996</v>
      </c>
      <c r="O394" s="160">
        <v>3442175</v>
      </c>
    </row>
    <row r="395" spans="2:15" ht="12.75" customHeight="1" x14ac:dyDescent="0.35">
      <c r="B395" s="171" t="s">
        <v>34</v>
      </c>
      <c r="C395" s="172">
        <v>2016</v>
      </c>
      <c r="D395" s="173">
        <v>45.12</v>
      </c>
      <c r="E395" s="173">
        <v>2.19</v>
      </c>
      <c r="F395" s="174">
        <v>297</v>
      </c>
      <c r="G395" s="175">
        <v>7.3575999999999997</v>
      </c>
      <c r="H395" s="175">
        <v>4.3307000000000002</v>
      </c>
      <c r="I395" s="174">
        <v>17173</v>
      </c>
      <c r="J395" s="175">
        <v>9.7510999999999992</v>
      </c>
      <c r="K395" s="176">
        <v>14.3</v>
      </c>
      <c r="L395" s="177">
        <v>0</v>
      </c>
      <c r="M395" s="177">
        <v>0</v>
      </c>
      <c r="N395" s="175">
        <v>74.998599999999996</v>
      </c>
      <c r="O395" s="174">
        <v>3474998</v>
      </c>
    </row>
    <row r="396" spans="2:15" ht="12.75" customHeight="1" x14ac:dyDescent="0.35">
      <c r="B396" s="178" t="s">
        <v>34</v>
      </c>
      <c r="C396" s="179">
        <v>2017</v>
      </c>
      <c r="D396" s="180">
        <v>54.86</v>
      </c>
      <c r="E396" s="180">
        <v>2.2200000000000002</v>
      </c>
      <c r="F396" s="181">
        <v>375</v>
      </c>
      <c r="G396" s="182">
        <v>7.5621999999999998</v>
      </c>
      <c r="H396" s="182">
        <v>4.3567</v>
      </c>
      <c r="I396" s="181">
        <v>18336</v>
      </c>
      <c r="J396" s="182">
        <v>9.8165999999999993</v>
      </c>
      <c r="K396" s="183">
        <v>14.7</v>
      </c>
      <c r="L396" s="184">
        <v>0</v>
      </c>
      <c r="M396" s="184">
        <v>0</v>
      </c>
      <c r="N396" s="182">
        <v>74.998599999999996</v>
      </c>
      <c r="O396" s="181">
        <v>3507003</v>
      </c>
    </row>
    <row r="397" spans="2:15" ht="12.75" customHeight="1" x14ac:dyDescent="0.35">
      <c r="B397" s="171" t="s">
        <v>34</v>
      </c>
      <c r="C397" s="172">
        <v>2018</v>
      </c>
      <c r="D397" s="173">
        <v>47.17</v>
      </c>
      <c r="E397" s="173">
        <v>3.08</v>
      </c>
      <c r="F397" s="174">
        <v>482</v>
      </c>
      <c r="G397" s="175">
        <v>7.4031000000000002</v>
      </c>
      <c r="H397" s="175">
        <v>4.6727999999999996</v>
      </c>
      <c r="I397" s="174">
        <v>19250</v>
      </c>
      <c r="J397" s="175">
        <v>9.8652999999999995</v>
      </c>
      <c r="K397" s="176">
        <v>13.7</v>
      </c>
      <c r="L397" s="177">
        <v>0</v>
      </c>
      <c r="M397" s="177">
        <v>0</v>
      </c>
      <c r="N397" s="175">
        <v>74.998599999999996</v>
      </c>
      <c r="O397" s="174">
        <v>3479010</v>
      </c>
    </row>
    <row r="398" spans="2:15" ht="12.75" customHeight="1" x14ac:dyDescent="0.35">
      <c r="B398" s="178" t="s">
        <v>34</v>
      </c>
      <c r="C398" s="179">
        <v>2019</v>
      </c>
      <c r="D398" s="180">
        <v>33.56</v>
      </c>
      <c r="E398" s="180">
        <v>26.78</v>
      </c>
      <c r="F398" s="181">
        <v>1421</v>
      </c>
      <c r="G398" s="182">
        <v>7.0707000000000004</v>
      </c>
      <c r="H398" s="182">
        <v>6.8448000000000002</v>
      </c>
      <c r="I398" s="181">
        <v>20342</v>
      </c>
      <c r="J398" s="182">
        <v>9.9204000000000008</v>
      </c>
      <c r="K398" s="183">
        <v>13.3</v>
      </c>
      <c r="L398" s="184">
        <v>0</v>
      </c>
      <c r="M398" s="184">
        <v>0</v>
      </c>
      <c r="N398" s="182">
        <v>74.998599999999996</v>
      </c>
      <c r="O398" s="181">
        <v>3506853</v>
      </c>
    </row>
    <row r="399" spans="2:15" ht="12.75" customHeight="1" x14ac:dyDescent="0.35">
      <c r="B399" s="171" t="s">
        <v>34</v>
      </c>
      <c r="C399" s="172">
        <v>2020</v>
      </c>
      <c r="D399" s="173">
        <v>34.799999999999997</v>
      </c>
      <c r="E399" s="173">
        <v>33.42</v>
      </c>
      <c r="F399" s="174">
        <v>2602</v>
      </c>
      <c r="G399" s="175">
        <v>7.1147999999999998</v>
      </c>
      <c r="H399" s="175">
        <v>7.0740999999999996</v>
      </c>
      <c r="I399" s="174">
        <v>20253</v>
      </c>
      <c r="J399" s="175">
        <v>9.9161000000000001</v>
      </c>
      <c r="K399" s="176">
        <v>16.100000000000001</v>
      </c>
      <c r="L399" s="177">
        <v>0</v>
      </c>
      <c r="M399" s="177">
        <v>1</v>
      </c>
      <c r="N399" s="175">
        <v>74.998599999999996</v>
      </c>
      <c r="O399" s="174">
        <v>3534165</v>
      </c>
    </row>
    <row r="400" spans="2:15" ht="12.75" customHeight="1" x14ac:dyDescent="0.35">
      <c r="B400" s="178" t="s">
        <v>34</v>
      </c>
      <c r="C400" s="179">
        <v>2021</v>
      </c>
      <c r="D400" s="180">
        <v>28.48</v>
      </c>
      <c r="E400" s="180">
        <v>54.26</v>
      </c>
      <c r="F400" s="181">
        <v>4534</v>
      </c>
      <c r="G400" s="182">
        <v>6.9217000000000004</v>
      </c>
      <c r="H400" s="182">
        <v>7.5663</v>
      </c>
      <c r="I400" s="181">
        <v>22517</v>
      </c>
      <c r="J400" s="182">
        <v>10.022</v>
      </c>
      <c r="K400" s="183">
        <v>14.9</v>
      </c>
      <c r="L400" s="184">
        <v>0</v>
      </c>
      <c r="M400" s="184">
        <v>1</v>
      </c>
      <c r="N400" s="182">
        <v>74.998599999999996</v>
      </c>
      <c r="O400" s="181">
        <v>3560903</v>
      </c>
    </row>
    <row r="401" spans="2:15" ht="12.75" customHeight="1" x14ac:dyDescent="0.35">
      <c r="B401" s="171" t="s">
        <v>34</v>
      </c>
      <c r="C401" s="172">
        <v>2022</v>
      </c>
      <c r="D401" s="173">
        <v>29.22</v>
      </c>
      <c r="E401" s="173">
        <v>75</v>
      </c>
      <c r="F401" s="174">
        <v>7011</v>
      </c>
      <c r="G401" s="175">
        <v>6.8720999999999997</v>
      </c>
      <c r="H401" s="175">
        <v>7.8148</v>
      </c>
      <c r="I401" s="174">
        <v>28407</v>
      </c>
      <c r="J401" s="175">
        <v>10.2544</v>
      </c>
      <c r="K401" s="176">
        <v>11.7</v>
      </c>
      <c r="L401" s="177">
        <v>0</v>
      </c>
      <c r="M401" s="177">
        <v>0</v>
      </c>
      <c r="N401" s="175">
        <v>74.998599999999996</v>
      </c>
      <c r="O401" s="174">
        <v>3302729</v>
      </c>
    </row>
    <row r="402" spans="2:15" ht="12.75" customHeight="1" x14ac:dyDescent="0.35">
      <c r="B402" s="178" t="s">
        <v>34</v>
      </c>
      <c r="C402" s="179">
        <v>2023</v>
      </c>
      <c r="D402" s="180">
        <v>21.38</v>
      </c>
      <c r="E402" s="180">
        <v>0.09</v>
      </c>
      <c r="F402" s="181">
        <v>7014</v>
      </c>
      <c r="G402" s="182">
        <v>6.5595999999999997</v>
      </c>
      <c r="H402" s="182">
        <v>1.0986</v>
      </c>
      <c r="I402" s="181">
        <v>30805</v>
      </c>
      <c r="J402" s="182">
        <v>10.3354</v>
      </c>
      <c r="K402" s="183">
        <v>10.3</v>
      </c>
      <c r="L402" s="184">
        <v>1</v>
      </c>
      <c r="M402" s="184">
        <v>0</v>
      </c>
      <c r="N402" s="182">
        <v>74.998599999999996</v>
      </c>
      <c r="O402" s="181">
        <v>3302729</v>
      </c>
    </row>
    <row r="403" spans="2:15" ht="12.75" customHeight="1" x14ac:dyDescent="0.35">
      <c r="B403" s="171" t="s">
        <v>34</v>
      </c>
      <c r="C403" s="172">
        <v>2024</v>
      </c>
      <c r="D403" s="173">
        <v>17.59</v>
      </c>
      <c r="E403" s="173">
        <v>18.920000000000002</v>
      </c>
      <c r="F403" s="174">
        <v>7666</v>
      </c>
      <c r="G403" s="175">
        <v>6.4069000000000003</v>
      </c>
      <c r="H403" s="175">
        <v>6.48</v>
      </c>
      <c r="I403" s="174">
        <v>32670</v>
      </c>
      <c r="J403" s="175">
        <v>10.3942</v>
      </c>
      <c r="K403" s="176">
        <v>9.1</v>
      </c>
      <c r="L403" s="177">
        <v>1</v>
      </c>
      <c r="M403" s="177">
        <v>0</v>
      </c>
      <c r="N403" s="175">
        <v>74.998599999999996</v>
      </c>
      <c r="O403" s="174">
        <v>3446071</v>
      </c>
    </row>
    <row r="404" spans="2:15" ht="12.75" customHeight="1" x14ac:dyDescent="0.35">
      <c r="B404" s="157" t="s">
        <v>35</v>
      </c>
      <c r="C404" s="158">
        <v>2005</v>
      </c>
      <c r="D404" s="159">
        <v>24.05</v>
      </c>
      <c r="E404" s="159">
        <v>0</v>
      </c>
      <c r="F404" s="160">
        <v>0</v>
      </c>
      <c r="G404" s="161">
        <v>5.9108000000000001</v>
      </c>
      <c r="H404" s="161"/>
      <c r="I404" s="160">
        <v>8396</v>
      </c>
      <c r="J404" s="161">
        <v>9.0355000000000008</v>
      </c>
      <c r="K404" s="162">
        <v>7.68</v>
      </c>
      <c r="L404" s="163">
        <v>0</v>
      </c>
      <c r="M404" s="163">
        <v>0</v>
      </c>
      <c r="N404" s="161">
        <v>351.00009999999997</v>
      </c>
      <c r="O404" s="160">
        <v>1534594</v>
      </c>
    </row>
    <row r="405" spans="2:15" ht="12.75" customHeight="1" x14ac:dyDescent="0.35">
      <c r="B405" s="164" t="s">
        <v>35</v>
      </c>
      <c r="C405" s="165">
        <v>2006</v>
      </c>
      <c r="D405" s="166">
        <v>24.83</v>
      </c>
      <c r="E405" s="166">
        <v>0.13</v>
      </c>
      <c r="F405" s="167">
        <v>2</v>
      </c>
      <c r="G405" s="168">
        <v>5.9610000000000003</v>
      </c>
      <c r="H405" s="168">
        <v>0.69310000000000005</v>
      </c>
      <c r="I405" s="167">
        <v>8389</v>
      </c>
      <c r="J405" s="168">
        <v>9.0347000000000008</v>
      </c>
      <c r="K405" s="169">
        <v>7.72</v>
      </c>
      <c r="L405" s="170">
        <v>0</v>
      </c>
      <c r="M405" s="170">
        <v>0</v>
      </c>
      <c r="N405" s="168">
        <v>351.00009999999997</v>
      </c>
      <c r="O405" s="167">
        <v>1562417</v>
      </c>
    </row>
    <row r="406" spans="2:15" ht="12.75" customHeight="1" x14ac:dyDescent="0.35">
      <c r="B406" s="157" t="s">
        <v>35</v>
      </c>
      <c r="C406" s="158">
        <v>2007</v>
      </c>
      <c r="D406" s="159">
        <v>22.22</v>
      </c>
      <c r="E406" s="159">
        <v>0</v>
      </c>
      <c r="F406" s="160">
        <v>2</v>
      </c>
      <c r="G406" s="161">
        <v>5.7777000000000003</v>
      </c>
      <c r="H406" s="161"/>
      <c r="I406" s="160">
        <v>10320</v>
      </c>
      <c r="J406" s="161">
        <v>9.2417999999999996</v>
      </c>
      <c r="K406" s="162">
        <v>8.3699999999999992</v>
      </c>
      <c r="L406" s="163">
        <v>0</v>
      </c>
      <c r="M406" s="163">
        <v>0</v>
      </c>
      <c r="N406" s="161">
        <v>351.00009999999997</v>
      </c>
      <c r="O406" s="160">
        <v>1453756</v>
      </c>
    </row>
    <row r="407" spans="2:15" ht="12.75" customHeight="1" x14ac:dyDescent="0.35">
      <c r="B407" s="164" t="s">
        <v>35</v>
      </c>
      <c r="C407" s="165">
        <v>2008</v>
      </c>
      <c r="D407" s="166">
        <v>18.95</v>
      </c>
      <c r="E407" s="166">
        <v>0</v>
      </c>
      <c r="F407" s="167">
        <v>2</v>
      </c>
      <c r="G407" s="168">
        <v>5.6454000000000004</v>
      </c>
      <c r="H407" s="168"/>
      <c r="I407" s="167">
        <v>11977</v>
      </c>
      <c r="J407" s="168">
        <v>9.3907000000000007</v>
      </c>
      <c r="K407" s="169">
        <v>8.0500000000000007</v>
      </c>
      <c r="L407" s="170">
        <v>0</v>
      </c>
      <c r="M407" s="170">
        <v>0</v>
      </c>
      <c r="N407" s="168">
        <v>351.00009999999997</v>
      </c>
      <c r="O407" s="167">
        <v>1493565</v>
      </c>
    </row>
    <row r="408" spans="2:15" ht="12.75" customHeight="1" x14ac:dyDescent="0.35">
      <c r="B408" s="157" t="s">
        <v>35</v>
      </c>
      <c r="C408" s="158">
        <v>2009</v>
      </c>
      <c r="D408" s="159">
        <v>23.21</v>
      </c>
      <c r="E408" s="159">
        <v>0</v>
      </c>
      <c r="F408" s="160">
        <v>2</v>
      </c>
      <c r="G408" s="161">
        <v>5.8551000000000002</v>
      </c>
      <c r="H408" s="161"/>
      <c r="I408" s="160">
        <v>13455</v>
      </c>
      <c r="J408" s="161">
        <v>9.5070999999999994</v>
      </c>
      <c r="K408" s="162">
        <v>9.1199999999999992</v>
      </c>
      <c r="L408" s="163">
        <v>0</v>
      </c>
      <c r="M408" s="163">
        <v>0</v>
      </c>
      <c r="N408" s="161">
        <v>351.00009999999997</v>
      </c>
      <c r="O408" s="160">
        <v>1503928</v>
      </c>
    </row>
    <row r="409" spans="2:15" ht="12.75" customHeight="1" x14ac:dyDescent="0.35">
      <c r="B409" s="164" t="s">
        <v>35</v>
      </c>
      <c r="C409" s="165">
        <v>2010</v>
      </c>
      <c r="D409" s="166">
        <v>22.27</v>
      </c>
      <c r="E409" s="166">
        <v>0.51</v>
      </c>
      <c r="F409" s="167">
        <v>10</v>
      </c>
      <c r="G409" s="168">
        <v>5.8521999999999998</v>
      </c>
      <c r="H409" s="168">
        <v>2.0794000000000001</v>
      </c>
      <c r="I409" s="167">
        <v>15302</v>
      </c>
      <c r="J409" s="168">
        <v>9.6356999999999999</v>
      </c>
      <c r="K409" s="169">
        <v>6.66</v>
      </c>
      <c r="L409" s="170">
        <v>0</v>
      </c>
      <c r="M409" s="170">
        <v>0</v>
      </c>
      <c r="N409" s="168">
        <v>351.00009999999997</v>
      </c>
      <c r="O409" s="167">
        <v>1562409</v>
      </c>
    </row>
    <row r="410" spans="2:15" ht="12.75" customHeight="1" x14ac:dyDescent="0.35">
      <c r="B410" s="157" t="s">
        <v>35</v>
      </c>
      <c r="C410" s="158">
        <v>2011</v>
      </c>
      <c r="D410" s="159">
        <v>18.079999999999998</v>
      </c>
      <c r="E410" s="159">
        <v>0.06</v>
      </c>
      <c r="F410" s="160">
        <v>11</v>
      </c>
      <c r="G410" s="161">
        <v>5.6524999999999999</v>
      </c>
      <c r="H410" s="161">
        <v>0</v>
      </c>
      <c r="I410" s="160">
        <v>17492</v>
      </c>
      <c r="J410" s="161">
        <v>9.7695000000000007</v>
      </c>
      <c r="K410" s="162">
        <v>4.21</v>
      </c>
      <c r="L410" s="163">
        <v>0</v>
      </c>
      <c r="M410" s="163">
        <v>0</v>
      </c>
      <c r="N410" s="161">
        <v>351.00009999999997</v>
      </c>
      <c r="O410" s="160">
        <v>1576455</v>
      </c>
    </row>
    <row r="411" spans="2:15" ht="12.75" customHeight="1" x14ac:dyDescent="0.35">
      <c r="B411" s="164" t="s">
        <v>35</v>
      </c>
      <c r="C411" s="165">
        <v>2012</v>
      </c>
      <c r="D411" s="166">
        <v>21.26</v>
      </c>
      <c r="E411" s="166">
        <v>0.13</v>
      </c>
      <c r="F411" s="167">
        <v>13</v>
      </c>
      <c r="G411" s="168">
        <v>5.8230000000000004</v>
      </c>
      <c r="H411" s="168">
        <v>0.69310000000000005</v>
      </c>
      <c r="I411" s="167">
        <v>18939</v>
      </c>
      <c r="J411" s="168">
        <v>9.8490000000000002</v>
      </c>
      <c r="K411" s="169">
        <v>6.39</v>
      </c>
      <c r="L411" s="170">
        <v>0</v>
      </c>
      <c r="M411" s="170">
        <v>0</v>
      </c>
      <c r="N411" s="168">
        <v>351.00009999999997</v>
      </c>
      <c r="O411" s="167">
        <v>1590011</v>
      </c>
    </row>
    <row r="412" spans="2:15" ht="12.75" customHeight="1" x14ac:dyDescent="0.35">
      <c r="B412" s="157" t="s">
        <v>35</v>
      </c>
      <c r="C412" s="158">
        <v>2013</v>
      </c>
      <c r="D412" s="159">
        <v>17.36</v>
      </c>
      <c r="E412" s="159">
        <v>0</v>
      </c>
      <c r="F412" s="160">
        <v>13</v>
      </c>
      <c r="G412" s="161">
        <v>5.7038000000000002</v>
      </c>
      <c r="H412" s="161"/>
      <c r="I412" s="160">
        <v>18008</v>
      </c>
      <c r="J412" s="161">
        <v>9.7986000000000004</v>
      </c>
      <c r="K412" s="162">
        <v>6.1</v>
      </c>
      <c r="L412" s="163">
        <v>0</v>
      </c>
      <c r="M412" s="163">
        <v>0</v>
      </c>
      <c r="N412" s="161">
        <v>351.00009999999997</v>
      </c>
      <c r="O412" s="160">
        <v>1728214</v>
      </c>
    </row>
    <row r="413" spans="2:15" ht="12.75" customHeight="1" x14ac:dyDescent="0.35">
      <c r="B413" s="164" t="s">
        <v>35</v>
      </c>
      <c r="C413" s="165">
        <v>2014</v>
      </c>
      <c r="D413" s="166">
        <v>22.76</v>
      </c>
      <c r="E413" s="166">
        <v>0.17</v>
      </c>
      <c r="F413" s="167">
        <v>16</v>
      </c>
      <c r="G413" s="168">
        <v>5.9865000000000004</v>
      </c>
      <c r="H413" s="168">
        <v>1.0986</v>
      </c>
      <c r="I413" s="167">
        <v>19463</v>
      </c>
      <c r="J413" s="168">
        <v>9.8763000000000005</v>
      </c>
      <c r="K413" s="169">
        <v>5.41</v>
      </c>
      <c r="L413" s="170">
        <v>0</v>
      </c>
      <c r="M413" s="170">
        <v>0</v>
      </c>
      <c r="N413" s="168">
        <v>351.00009999999997</v>
      </c>
      <c r="O413" s="167">
        <v>1748531</v>
      </c>
    </row>
    <row r="414" spans="2:15" ht="12.75" customHeight="1" x14ac:dyDescent="0.35">
      <c r="B414" s="157" t="s">
        <v>35</v>
      </c>
      <c r="C414" s="158">
        <v>2015</v>
      </c>
      <c r="D414" s="159">
        <v>21.6</v>
      </c>
      <c r="E414" s="159">
        <v>0.23</v>
      </c>
      <c r="F414" s="160">
        <v>20</v>
      </c>
      <c r="G414" s="161">
        <v>5.9454000000000002</v>
      </c>
      <c r="H414" s="161">
        <v>1.3863000000000001</v>
      </c>
      <c r="I414" s="160">
        <v>20678</v>
      </c>
      <c r="J414" s="161">
        <v>9.9367999999999999</v>
      </c>
      <c r="K414" s="162">
        <v>5.7</v>
      </c>
      <c r="L414" s="163">
        <v>0</v>
      </c>
      <c r="M414" s="163">
        <v>0</v>
      </c>
      <c r="N414" s="161">
        <v>351.00009999999997</v>
      </c>
      <c r="O414" s="160">
        <v>1768204</v>
      </c>
    </row>
    <row r="415" spans="2:15" ht="12.75" customHeight="1" x14ac:dyDescent="0.35">
      <c r="B415" s="171" t="s">
        <v>35</v>
      </c>
      <c r="C415" s="172">
        <v>2016</v>
      </c>
      <c r="D415" s="173">
        <v>26.02</v>
      </c>
      <c r="E415" s="173">
        <v>4.7</v>
      </c>
      <c r="F415" s="174">
        <v>104</v>
      </c>
      <c r="G415" s="175">
        <v>6.1420000000000003</v>
      </c>
      <c r="H415" s="175">
        <v>4.4307999999999996</v>
      </c>
      <c r="I415" s="174">
        <v>22078</v>
      </c>
      <c r="J415" s="175">
        <v>10.0023</v>
      </c>
      <c r="K415" s="176">
        <v>8</v>
      </c>
      <c r="L415" s="177">
        <v>0</v>
      </c>
      <c r="M415" s="177">
        <v>0</v>
      </c>
      <c r="N415" s="175">
        <v>351.00009999999997</v>
      </c>
      <c r="O415" s="174">
        <v>1787279</v>
      </c>
    </row>
    <row r="416" spans="2:15" ht="12.75" customHeight="1" x14ac:dyDescent="0.35">
      <c r="B416" s="178" t="s">
        <v>35</v>
      </c>
      <c r="C416" s="179">
        <v>2017</v>
      </c>
      <c r="D416" s="180">
        <v>20.82</v>
      </c>
      <c r="E416" s="180">
        <v>4.87</v>
      </c>
      <c r="F416" s="181">
        <v>192</v>
      </c>
      <c r="G416" s="182">
        <v>5.9295999999999998</v>
      </c>
      <c r="H416" s="182">
        <v>4.4772999999999996</v>
      </c>
      <c r="I416" s="181">
        <v>24098</v>
      </c>
      <c r="J416" s="182">
        <v>10.0899</v>
      </c>
      <c r="K416" s="183">
        <v>8.1999999999999993</v>
      </c>
      <c r="L416" s="184">
        <v>0</v>
      </c>
      <c r="M416" s="184">
        <v>0</v>
      </c>
      <c r="N416" s="182">
        <v>351.00009999999997</v>
      </c>
      <c r="O416" s="181">
        <v>1805788</v>
      </c>
    </row>
    <row r="417" spans="2:15" ht="12.75" customHeight="1" x14ac:dyDescent="0.35">
      <c r="B417" s="171" t="s">
        <v>35</v>
      </c>
      <c r="C417" s="172">
        <v>2018</v>
      </c>
      <c r="D417" s="173">
        <v>17.18</v>
      </c>
      <c r="E417" s="173">
        <v>11.78</v>
      </c>
      <c r="F417" s="174">
        <v>399</v>
      </c>
      <c r="G417" s="175">
        <v>5.7103999999999999</v>
      </c>
      <c r="H417" s="175">
        <v>5.3327</v>
      </c>
      <c r="I417" s="174">
        <v>25554</v>
      </c>
      <c r="J417" s="175">
        <v>10.1485</v>
      </c>
      <c r="K417" s="176">
        <v>9.1999999999999993</v>
      </c>
      <c r="L417" s="177">
        <v>0</v>
      </c>
      <c r="M417" s="177">
        <v>0</v>
      </c>
      <c r="N417" s="175">
        <v>351.00009999999997</v>
      </c>
      <c r="O417" s="174">
        <v>1757589</v>
      </c>
    </row>
    <row r="418" spans="2:15" ht="12.75" customHeight="1" x14ac:dyDescent="0.35">
      <c r="B418" s="178" t="s">
        <v>35</v>
      </c>
      <c r="C418" s="179">
        <v>2019</v>
      </c>
      <c r="D418" s="180">
        <v>14.52</v>
      </c>
      <c r="E418" s="180">
        <v>53.79</v>
      </c>
      <c r="F418" s="181">
        <v>1355</v>
      </c>
      <c r="G418" s="182">
        <v>5.5529999999999999</v>
      </c>
      <c r="H418" s="182">
        <v>6.8628</v>
      </c>
      <c r="I418" s="181">
        <v>26497</v>
      </c>
      <c r="J418" s="182">
        <v>10.184799999999999</v>
      </c>
      <c r="K418" s="183">
        <v>8.1</v>
      </c>
      <c r="L418" s="184">
        <v>0</v>
      </c>
      <c r="M418" s="184">
        <v>0</v>
      </c>
      <c r="N418" s="182">
        <v>351.00009999999997</v>
      </c>
      <c r="O418" s="181">
        <v>1777225</v>
      </c>
    </row>
    <row r="419" spans="2:15" ht="12.75" customHeight="1" x14ac:dyDescent="0.35">
      <c r="B419" s="171" t="s">
        <v>35</v>
      </c>
      <c r="C419" s="172">
        <v>2020</v>
      </c>
      <c r="D419" s="173">
        <v>14.25</v>
      </c>
      <c r="E419" s="173">
        <v>105.71</v>
      </c>
      <c r="F419" s="174">
        <v>3254</v>
      </c>
      <c r="G419" s="175">
        <v>5.5452000000000004</v>
      </c>
      <c r="H419" s="175">
        <v>7.5491000000000001</v>
      </c>
      <c r="I419" s="174">
        <v>28722</v>
      </c>
      <c r="J419" s="175">
        <v>10.2654</v>
      </c>
      <c r="K419" s="176">
        <v>10.6</v>
      </c>
      <c r="L419" s="177">
        <v>0</v>
      </c>
      <c r="M419" s="177">
        <v>1</v>
      </c>
      <c r="N419" s="175">
        <v>351.00009999999997</v>
      </c>
      <c r="O419" s="174">
        <v>1796460</v>
      </c>
    </row>
    <row r="420" spans="2:15" ht="12.75" customHeight="1" x14ac:dyDescent="0.35">
      <c r="B420" s="178" t="s">
        <v>35</v>
      </c>
      <c r="C420" s="179">
        <v>2021</v>
      </c>
      <c r="D420" s="180">
        <v>17.850000000000001</v>
      </c>
      <c r="E420" s="180">
        <v>195.18</v>
      </c>
      <c r="F420" s="181">
        <v>6797</v>
      </c>
      <c r="G420" s="182">
        <v>5.7807000000000004</v>
      </c>
      <c r="H420" s="182">
        <v>8.1727000000000007</v>
      </c>
      <c r="I420" s="181">
        <v>32045</v>
      </c>
      <c r="J420" s="182">
        <v>10.3749</v>
      </c>
      <c r="K420" s="183">
        <v>8.9</v>
      </c>
      <c r="L420" s="184">
        <v>0</v>
      </c>
      <c r="M420" s="184">
        <v>1</v>
      </c>
      <c r="N420" s="182">
        <v>351.00009999999997</v>
      </c>
      <c r="O420" s="181">
        <v>1815278</v>
      </c>
    </row>
    <row r="421" spans="2:15" ht="12.75" customHeight="1" x14ac:dyDescent="0.35">
      <c r="B421" s="171" t="s">
        <v>35</v>
      </c>
      <c r="C421" s="172">
        <v>2022</v>
      </c>
      <c r="D421" s="173">
        <v>23.91</v>
      </c>
      <c r="E421" s="173">
        <v>351</v>
      </c>
      <c r="F421" s="174">
        <v>12347</v>
      </c>
      <c r="G421" s="175">
        <v>5.9348999999999998</v>
      </c>
      <c r="H421" s="175">
        <v>8.6216000000000008</v>
      </c>
      <c r="I421" s="174">
        <v>42244</v>
      </c>
      <c r="J421" s="175">
        <v>10.651199999999999</v>
      </c>
      <c r="K421" s="176">
        <v>4.9000000000000004</v>
      </c>
      <c r="L421" s="177">
        <v>0</v>
      </c>
      <c r="M421" s="177">
        <v>0</v>
      </c>
      <c r="N421" s="175">
        <v>351.00009999999997</v>
      </c>
      <c r="O421" s="174">
        <v>1581196</v>
      </c>
    </row>
    <row r="422" spans="2:15" ht="12.75" customHeight="1" x14ac:dyDescent="0.35">
      <c r="B422" s="178" t="s">
        <v>35</v>
      </c>
      <c r="C422" s="179">
        <v>2023</v>
      </c>
      <c r="D422" s="180">
        <v>20.68</v>
      </c>
      <c r="E422" s="180">
        <v>0.51</v>
      </c>
      <c r="F422" s="181">
        <v>12355</v>
      </c>
      <c r="G422" s="182">
        <v>5.79</v>
      </c>
      <c r="H422" s="182">
        <v>2.0794000000000001</v>
      </c>
      <c r="I422" s="181">
        <v>48353</v>
      </c>
      <c r="J422" s="182">
        <v>10.786300000000001</v>
      </c>
      <c r="K422" s="183">
        <v>2.9</v>
      </c>
      <c r="L422" s="184">
        <v>1</v>
      </c>
      <c r="M422" s="184">
        <v>0</v>
      </c>
      <c r="N422" s="182">
        <v>351.00009999999997</v>
      </c>
      <c r="O422" s="181">
        <v>1581196</v>
      </c>
    </row>
    <row r="423" spans="2:15" ht="12.75" customHeight="1" x14ac:dyDescent="0.35">
      <c r="B423" s="171" t="s">
        <v>35</v>
      </c>
      <c r="C423" s="172">
        <v>2024</v>
      </c>
      <c r="D423" s="173">
        <v>18.96</v>
      </c>
      <c r="E423" s="173">
        <v>21.65</v>
      </c>
      <c r="F423" s="174">
        <v>12733</v>
      </c>
      <c r="G423" s="175">
        <v>5.8021000000000003</v>
      </c>
      <c r="H423" s="175">
        <v>5.9348999999999998</v>
      </c>
      <c r="I423" s="174">
        <v>48766</v>
      </c>
      <c r="J423" s="175">
        <v>10.7948</v>
      </c>
      <c r="K423" s="176">
        <v>2.9</v>
      </c>
      <c r="L423" s="177">
        <v>1</v>
      </c>
      <c r="M423" s="177">
        <v>0</v>
      </c>
      <c r="N423" s="175">
        <v>351.00009999999997</v>
      </c>
      <c r="O423" s="174">
        <v>1746227</v>
      </c>
    </row>
    <row r="424" spans="2:15" ht="12.75" customHeight="1" x14ac:dyDescent="0.35">
      <c r="B424" s="157" t="s">
        <v>36</v>
      </c>
      <c r="C424" s="158">
        <v>2005</v>
      </c>
      <c r="D424" s="159">
        <v>7.16</v>
      </c>
      <c r="E424" s="159">
        <v>0.51</v>
      </c>
      <c r="F424" s="160">
        <v>2</v>
      </c>
      <c r="G424" s="161">
        <v>3.3321999999999998</v>
      </c>
      <c r="H424" s="161">
        <v>0.69310000000000005</v>
      </c>
      <c r="I424" s="160">
        <v>8124</v>
      </c>
      <c r="J424" s="161">
        <v>9.0025999999999993</v>
      </c>
      <c r="K424" s="162">
        <v>16.89</v>
      </c>
      <c r="L424" s="163">
        <v>0</v>
      </c>
      <c r="M424" s="163">
        <v>0</v>
      </c>
      <c r="N424" s="161">
        <v>80.884900000000002</v>
      </c>
      <c r="O424" s="160">
        <v>391317</v>
      </c>
    </row>
    <row r="425" spans="2:15" ht="12.75" customHeight="1" x14ac:dyDescent="0.35">
      <c r="B425" s="164" t="s">
        <v>36</v>
      </c>
      <c r="C425" s="165">
        <v>2006</v>
      </c>
      <c r="D425" s="166">
        <v>9.42</v>
      </c>
      <c r="E425" s="166">
        <v>0</v>
      </c>
      <c r="F425" s="167">
        <v>2</v>
      </c>
      <c r="G425" s="168">
        <v>3.6375999999999999</v>
      </c>
      <c r="H425" s="168"/>
      <c r="I425" s="167">
        <v>9074</v>
      </c>
      <c r="J425" s="168">
        <v>9.1132000000000009</v>
      </c>
      <c r="K425" s="169">
        <v>9.91</v>
      </c>
      <c r="L425" s="170">
        <v>0</v>
      </c>
      <c r="M425" s="170">
        <v>0</v>
      </c>
      <c r="N425" s="168">
        <v>80.884900000000002</v>
      </c>
      <c r="O425" s="167">
        <v>403344</v>
      </c>
    </row>
    <row r="426" spans="2:15" ht="12.75" customHeight="1" x14ac:dyDescent="0.35">
      <c r="B426" s="157" t="s">
        <v>36</v>
      </c>
      <c r="C426" s="158">
        <v>2007</v>
      </c>
      <c r="D426" s="159">
        <v>7.08</v>
      </c>
      <c r="E426" s="159">
        <v>0</v>
      </c>
      <c r="F426" s="160">
        <v>2</v>
      </c>
      <c r="G426" s="161">
        <v>3.3321999999999998</v>
      </c>
      <c r="H426" s="161"/>
      <c r="I426" s="160">
        <v>10535</v>
      </c>
      <c r="J426" s="161">
        <v>9.2624999999999993</v>
      </c>
      <c r="K426" s="162">
        <v>12.07</v>
      </c>
      <c r="L426" s="163">
        <v>0</v>
      </c>
      <c r="M426" s="163">
        <v>0</v>
      </c>
      <c r="N426" s="161">
        <v>80.884900000000002</v>
      </c>
      <c r="O426" s="160">
        <v>395725</v>
      </c>
    </row>
    <row r="427" spans="2:15" ht="12.75" customHeight="1" x14ac:dyDescent="0.35">
      <c r="B427" s="164" t="s">
        <v>36</v>
      </c>
      <c r="C427" s="165">
        <v>2008</v>
      </c>
      <c r="D427" s="166">
        <v>7.03</v>
      </c>
      <c r="E427" s="166">
        <v>0</v>
      </c>
      <c r="F427" s="167">
        <v>2</v>
      </c>
      <c r="G427" s="168">
        <v>3.3673000000000002</v>
      </c>
      <c r="H427" s="168"/>
      <c r="I427" s="167">
        <v>11844</v>
      </c>
      <c r="J427" s="168">
        <v>9.3795999999999999</v>
      </c>
      <c r="K427" s="169">
        <v>7.35</v>
      </c>
      <c r="L427" s="170">
        <v>0</v>
      </c>
      <c r="M427" s="170">
        <v>0</v>
      </c>
      <c r="N427" s="168">
        <v>80.884900000000002</v>
      </c>
      <c r="O427" s="167">
        <v>412783</v>
      </c>
    </row>
    <row r="428" spans="2:15" ht="12.75" customHeight="1" x14ac:dyDescent="0.35">
      <c r="B428" s="157" t="s">
        <v>36</v>
      </c>
      <c r="C428" s="158">
        <v>2009</v>
      </c>
      <c r="D428" s="159">
        <v>6.41</v>
      </c>
      <c r="E428" s="159">
        <v>0</v>
      </c>
      <c r="F428" s="160">
        <v>2</v>
      </c>
      <c r="G428" s="161">
        <v>3.2957999999999998</v>
      </c>
      <c r="H428" s="161"/>
      <c r="I428" s="160">
        <v>13269</v>
      </c>
      <c r="J428" s="161">
        <v>9.4931999999999999</v>
      </c>
      <c r="K428" s="162">
        <v>11.32</v>
      </c>
      <c r="L428" s="163">
        <v>0</v>
      </c>
      <c r="M428" s="163">
        <v>0</v>
      </c>
      <c r="N428" s="161">
        <v>80.884900000000002</v>
      </c>
      <c r="O428" s="160">
        <v>421499</v>
      </c>
    </row>
    <row r="429" spans="2:15" ht="12.75" customHeight="1" x14ac:dyDescent="0.35">
      <c r="B429" s="164" t="s">
        <v>36</v>
      </c>
      <c r="C429" s="165">
        <v>2010</v>
      </c>
      <c r="D429" s="166">
        <v>6.44</v>
      </c>
      <c r="E429" s="166">
        <v>0.44</v>
      </c>
      <c r="F429" s="167">
        <v>4</v>
      </c>
      <c r="G429" s="168">
        <v>3.3673000000000002</v>
      </c>
      <c r="H429" s="168">
        <v>0.69310000000000005</v>
      </c>
      <c r="I429" s="167">
        <v>14738</v>
      </c>
      <c r="J429" s="168">
        <v>9.5982000000000003</v>
      </c>
      <c r="K429" s="169">
        <v>10.54</v>
      </c>
      <c r="L429" s="170">
        <v>0</v>
      </c>
      <c r="M429" s="170">
        <v>0</v>
      </c>
      <c r="N429" s="168">
        <v>80.884900000000002</v>
      </c>
      <c r="O429" s="167">
        <v>450479</v>
      </c>
    </row>
    <row r="430" spans="2:15" ht="12.75" customHeight="1" x14ac:dyDescent="0.35">
      <c r="B430" s="157" t="s">
        <v>36</v>
      </c>
      <c r="C430" s="158">
        <v>2011</v>
      </c>
      <c r="D430" s="159">
        <v>5.43</v>
      </c>
      <c r="E430" s="159">
        <v>0.65</v>
      </c>
      <c r="F430" s="160">
        <v>7</v>
      </c>
      <c r="G430" s="161">
        <v>3.2189000000000001</v>
      </c>
      <c r="H430" s="161">
        <v>1.0986</v>
      </c>
      <c r="I430" s="160">
        <v>15872</v>
      </c>
      <c r="J430" s="161">
        <v>9.6722999999999999</v>
      </c>
      <c r="K430" s="162">
        <v>9.77</v>
      </c>
      <c r="L430" s="163">
        <v>0</v>
      </c>
      <c r="M430" s="163">
        <v>0</v>
      </c>
      <c r="N430" s="161">
        <v>80.884900000000002</v>
      </c>
      <c r="O430" s="160">
        <v>460165</v>
      </c>
    </row>
    <row r="431" spans="2:15" ht="12.75" customHeight="1" x14ac:dyDescent="0.35">
      <c r="B431" s="164" t="s">
        <v>36</v>
      </c>
      <c r="C431" s="165">
        <v>2012</v>
      </c>
      <c r="D431" s="166">
        <v>6.82</v>
      </c>
      <c r="E431" s="166">
        <v>1.7</v>
      </c>
      <c r="F431" s="167">
        <v>15</v>
      </c>
      <c r="G431" s="168">
        <v>3.4657</v>
      </c>
      <c r="H431" s="168">
        <v>2.0794000000000001</v>
      </c>
      <c r="I431" s="167">
        <v>16424</v>
      </c>
      <c r="J431" s="168">
        <v>9.7065000000000001</v>
      </c>
      <c r="K431" s="169">
        <v>10.18</v>
      </c>
      <c r="L431" s="170">
        <v>0</v>
      </c>
      <c r="M431" s="170">
        <v>0</v>
      </c>
      <c r="N431" s="168">
        <v>80.884900000000002</v>
      </c>
      <c r="O431" s="167">
        <v>469524</v>
      </c>
    </row>
    <row r="432" spans="2:15" ht="12.75" customHeight="1" x14ac:dyDescent="0.35">
      <c r="B432" s="157" t="s">
        <v>36</v>
      </c>
      <c r="C432" s="158">
        <v>2013</v>
      </c>
      <c r="D432" s="159">
        <v>14.14</v>
      </c>
      <c r="E432" s="159">
        <v>0</v>
      </c>
      <c r="F432" s="160">
        <v>15</v>
      </c>
      <c r="G432" s="161">
        <v>4.2340999999999998</v>
      </c>
      <c r="H432" s="161"/>
      <c r="I432" s="160">
        <v>18462</v>
      </c>
      <c r="J432" s="161">
        <v>9.8234999999999992</v>
      </c>
      <c r="K432" s="162">
        <v>7.96</v>
      </c>
      <c r="L432" s="163">
        <v>0</v>
      </c>
      <c r="M432" s="163">
        <v>0</v>
      </c>
      <c r="N432" s="161">
        <v>80.884900000000002</v>
      </c>
      <c r="O432" s="160">
        <v>488072</v>
      </c>
    </row>
    <row r="433" spans="2:15" ht="12.75" customHeight="1" x14ac:dyDescent="0.35">
      <c r="B433" s="164" t="s">
        <v>36</v>
      </c>
      <c r="C433" s="165">
        <v>2014</v>
      </c>
      <c r="D433" s="166">
        <v>9.4600000000000009</v>
      </c>
      <c r="E433" s="166">
        <v>0.2</v>
      </c>
      <c r="F433" s="167">
        <v>16</v>
      </c>
      <c r="G433" s="168">
        <v>3.8500999999999999</v>
      </c>
      <c r="H433" s="168">
        <v>0</v>
      </c>
      <c r="I433" s="167">
        <v>19608</v>
      </c>
      <c r="J433" s="168">
        <v>9.8836999999999993</v>
      </c>
      <c r="K433" s="169">
        <v>8.24</v>
      </c>
      <c r="L433" s="170">
        <v>0</v>
      </c>
      <c r="M433" s="170">
        <v>0</v>
      </c>
      <c r="N433" s="168">
        <v>80.884900000000002</v>
      </c>
      <c r="O433" s="167">
        <v>496936</v>
      </c>
    </row>
    <row r="434" spans="2:15" ht="12.75" customHeight="1" x14ac:dyDescent="0.35">
      <c r="B434" s="157" t="s">
        <v>36</v>
      </c>
      <c r="C434" s="158">
        <v>2015</v>
      </c>
      <c r="D434" s="159">
        <v>11.67</v>
      </c>
      <c r="E434" s="159">
        <v>0.2</v>
      </c>
      <c r="F434" s="160">
        <v>17</v>
      </c>
      <c r="G434" s="161">
        <v>4.0774999999999997</v>
      </c>
      <c r="H434" s="161">
        <v>0</v>
      </c>
      <c r="I434" s="160">
        <v>20256</v>
      </c>
      <c r="J434" s="161">
        <v>9.9161999999999999</v>
      </c>
      <c r="K434" s="162">
        <v>8.6999999999999993</v>
      </c>
      <c r="L434" s="163">
        <v>0</v>
      </c>
      <c r="M434" s="163">
        <v>0</v>
      </c>
      <c r="N434" s="161">
        <v>80.884900000000002</v>
      </c>
      <c r="O434" s="160">
        <v>505665</v>
      </c>
    </row>
    <row r="435" spans="2:15" ht="12.75" customHeight="1" x14ac:dyDescent="0.35">
      <c r="B435" s="171" t="s">
        <v>36</v>
      </c>
      <c r="C435" s="172">
        <v>2016</v>
      </c>
      <c r="D435" s="173">
        <v>13.61</v>
      </c>
      <c r="E435" s="173">
        <v>0</v>
      </c>
      <c r="F435" s="174">
        <v>17</v>
      </c>
      <c r="G435" s="175">
        <v>4.2484999999999999</v>
      </c>
      <c r="H435" s="175"/>
      <c r="I435" s="174">
        <v>21417</v>
      </c>
      <c r="J435" s="175">
        <v>9.9718999999999998</v>
      </c>
      <c r="K435" s="176">
        <v>8.9</v>
      </c>
      <c r="L435" s="177">
        <v>0</v>
      </c>
      <c r="M435" s="177">
        <v>0</v>
      </c>
      <c r="N435" s="175">
        <v>80.884900000000002</v>
      </c>
      <c r="O435" s="174">
        <v>514229</v>
      </c>
    </row>
    <row r="436" spans="2:15" ht="12.75" customHeight="1" x14ac:dyDescent="0.35">
      <c r="B436" s="178" t="s">
        <v>36</v>
      </c>
      <c r="C436" s="179">
        <v>2017</v>
      </c>
      <c r="D436" s="180">
        <v>18.37</v>
      </c>
      <c r="E436" s="180">
        <v>1.34</v>
      </c>
      <c r="F436" s="181">
        <v>24</v>
      </c>
      <c r="G436" s="182">
        <v>4.5643000000000002</v>
      </c>
      <c r="H436" s="182">
        <v>1.9459</v>
      </c>
      <c r="I436" s="181">
        <v>23161</v>
      </c>
      <c r="J436" s="182">
        <v>10.0502</v>
      </c>
      <c r="K436" s="183">
        <v>10</v>
      </c>
      <c r="L436" s="184">
        <v>0</v>
      </c>
      <c r="M436" s="184">
        <v>0</v>
      </c>
      <c r="N436" s="182">
        <v>80.884900000000002</v>
      </c>
      <c r="O436" s="181">
        <v>522636</v>
      </c>
    </row>
    <row r="437" spans="2:15" ht="12.75" customHeight="1" x14ac:dyDescent="0.35">
      <c r="B437" s="171" t="s">
        <v>36</v>
      </c>
      <c r="C437" s="172">
        <v>2018</v>
      </c>
      <c r="D437" s="173">
        <v>31.57</v>
      </c>
      <c r="E437" s="173">
        <v>2.78</v>
      </c>
      <c r="F437" s="174">
        <v>40</v>
      </c>
      <c r="G437" s="175">
        <v>5.2039999999999997</v>
      </c>
      <c r="H437" s="175">
        <v>2.7726000000000002</v>
      </c>
      <c r="I437" s="174">
        <v>23189</v>
      </c>
      <c r="J437" s="175">
        <v>10.051399999999999</v>
      </c>
      <c r="K437" s="176">
        <v>12.4</v>
      </c>
      <c r="L437" s="177">
        <v>0</v>
      </c>
      <c r="M437" s="177">
        <v>0</v>
      </c>
      <c r="N437" s="175">
        <v>80.884900000000002</v>
      </c>
      <c r="O437" s="174">
        <v>576568</v>
      </c>
    </row>
    <row r="438" spans="2:15" ht="12.75" customHeight="1" x14ac:dyDescent="0.35">
      <c r="B438" s="178" t="s">
        <v>36</v>
      </c>
      <c r="C438" s="179">
        <v>2019</v>
      </c>
      <c r="D438" s="180">
        <v>13.7</v>
      </c>
      <c r="E438" s="180">
        <v>10.4</v>
      </c>
      <c r="F438" s="181">
        <v>103</v>
      </c>
      <c r="G438" s="182">
        <v>4.4188000000000001</v>
      </c>
      <c r="H438" s="182">
        <v>4.1430999999999996</v>
      </c>
      <c r="I438" s="181">
        <v>23594</v>
      </c>
      <c r="J438" s="182">
        <v>10.0687</v>
      </c>
      <c r="K438" s="183">
        <v>15.1</v>
      </c>
      <c r="L438" s="184">
        <v>0</v>
      </c>
      <c r="M438" s="184">
        <v>0</v>
      </c>
      <c r="N438" s="182">
        <v>80.884900000000002</v>
      </c>
      <c r="O438" s="181">
        <v>605761</v>
      </c>
    </row>
    <row r="439" spans="2:15" ht="12.75" customHeight="1" x14ac:dyDescent="0.35">
      <c r="B439" s="171" t="s">
        <v>36</v>
      </c>
      <c r="C439" s="172">
        <v>2020</v>
      </c>
      <c r="D439" s="173">
        <v>16</v>
      </c>
      <c r="E439" s="173">
        <v>16.48</v>
      </c>
      <c r="F439" s="174">
        <v>207</v>
      </c>
      <c r="G439" s="175">
        <v>4.6151</v>
      </c>
      <c r="H439" s="175">
        <v>4.6444000000000001</v>
      </c>
      <c r="I439" s="174">
        <v>25388</v>
      </c>
      <c r="J439" s="175">
        <v>10.141999999999999</v>
      </c>
      <c r="K439" s="176">
        <v>16.8</v>
      </c>
      <c r="L439" s="177">
        <v>0</v>
      </c>
      <c r="M439" s="177">
        <v>1</v>
      </c>
      <c r="N439" s="175">
        <v>80.884900000000002</v>
      </c>
      <c r="O439" s="174">
        <v>631181</v>
      </c>
    </row>
    <row r="440" spans="2:15" ht="12.75" customHeight="1" x14ac:dyDescent="0.35">
      <c r="B440" s="178" t="s">
        <v>36</v>
      </c>
      <c r="C440" s="179">
        <v>2021</v>
      </c>
      <c r="D440" s="180">
        <v>16.09</v>
      </c>
      <c r="E440" s="180">
        <v>36.92</v>
      </c>
      <c r="F440" s="181">
        <v>448</v>
      </c>
      <c r="G440" s="182">
        <v>4.6539999999999999</v>
      </c>
      <c r="H440" s="182">
        <v>5.4847999999999999</v>
      </c>
      <c r="I440" s="181">
        <v>27888</v>
      </c>
      <c r="J440" s="182">
        <v>10.236000000000001</v>
      </c>
      <c r="K440" s="183">
        <v>12.1</v>
      </c>
      <c r="L440" s="184">
        <v>0</v>
      </c>
      <c r="M440" s="184">
        <v>1</v>
      </c>
      <c r="N440" s="182">
        <v>80.884900000000002</v>
      </c>
      <c r="O440" s="181">
        <v>652713</v>
      </c>
    </row>
    <row r="441" spans="2:15" ht="12.75" customHeight="1" x14ac:dyDescent="0.35">
      <c r="B441" s="171" t="s">
        <v>36</v>
      </c>
      <c r="C441" s="172">
        <v>2022</v>
      </c>
      <c r="D441" s="173">
        <v>16.18</v>
      </c>
      <c r="E441" s="173">
        <v>80.88</v>
      </c>
      <c r="F441" s="174">
        <v>963</v>
      </c>
      <c r="G441" s="175">
        <v>4.6346999999999996</v>
      </c>
      <c r="H441" s="175">
        <v>6.2442000000000002</v>
      </c>
      <c r="I441" s="174">
        <v>33132</v>
      </c>
      <c r="J441" s="175">
        <v>10.408300000000001</v>
      </c>
      <c r="K441" s="176">
        <v>6.1</v>
      </c>
      <c r="L441" s="177">
        <v>0</v>
      </c>
      <c r="M441" s="177">
        <v>0</v>
      </c>
      <c r="N441" s="175">
        <v>80.884900000000002</v>
      </c>
      <c r="O441" s="174">
        <v>636707</v>
      </c>
    </row>
    <row r="442" spans="2:15" ht="12.75" customHeight="1" x14ac:dyDescent="0.35">
      <c r="B442" s="178" t="s">
        <v>36</v>
      </c>
      <c r="C442" s="179">
        <v>2023</v>
      </c>
      <c r="D442" s="180">
        <v>16.489999999999998</v>
      </c>
      <c r="E442" s="180">
        <v>0.94</v>
      </c>
      <c r="F442" s="181">
        <v>969</v>
      </c>
      <c r="G442" s="182">
        <v>4.6539999999999999</v>
      </c>
      <c r="H442" s="182">
        <v>1.7918000000000001</v>
      </c>
      <c r="I442" s="181">
        <v>39461</v>
      </c>
      <c r="J442" s="182">
        <v>10.5831</v>
      </c>
      <c r="K442" s="183">
        <v>6.7</v>
      </c>
      <c r="L442" s="184">
        <v>1</v>
      </c>
      <c r="M442" s="184">
        <v>0</v>
      </c>
      <c r="N442" s="182">
        <v>80.884900000000002</v>
      </c>
      <c r="O442" s="181">
        <v>636707</v>
      </c>
    </row>
    <row r="443" spans="2:15" ht="12.75" customHeight="1" x14ac:dyDescent="0.35">
      <c r="B443" s="171" t="s">
        <v>36</v>
      </c>
      <c r="C443" s="172">
        <v>2024</v>
      </c>
      <c r="D443" s="173">
        <v>9.6300000000000008</v>
      </c>
      <c r="E443" s="173">
        <v>7.81</v>
      </c>
      <c r="F443" s="174">
        <v>1025</v>
      </c>
      <c r="G443" s="175">
        <v>4.2340999999999998</v>
      </c>
      <c r="H443" s="175">
        <v>4.0254000000000003</v>
      </c>
      <c r="I443" s="174">
        <v>39946</v>
      </c>
      <c r="J443" s="175">
        <v>10.5953</v>
      </c>
      <c r="K443" s="176">
        <v>6.8</v>
      </c>
      <c r="L443" s="177">
        <v>1</v>
      </c>
      <c r="M443" s="177">
        <v>0</v>
      </c>
      <c r="N443" s="175">
        <v>80.884900000000002</v>
      </c>
      <c r="O443" s="174">
        <v>716793</v>
      </c>
    </row>
    <row r="444" spans="2:15" ht="12.75" customHeight="1" x14ac:dyDescent="0.35">
      <c r="B444" s="157" t="s">
        <v>37</v>
      </c>
      <c r="C444" s="158">
        <v>2005</v>
      </c>
      <c r="D444" s="159">
        <v>13.56</v>
      </c>
      <c r="E444" s="159">
        <v>1.38</v>
      </c>
      <c r="F444" s="160">
        <v>150</v>
      </c>
      <c r="G444" s="161">
        <v>7.2937000000000003</v>
      </c>
      <c r="H444" s="161">
        <v>5.0106000000000002</v>
      </c>
      <c r="I444" s="160">
        <v>13298</v>
      </c>
      <c r="J444" s="161">
        <v>9.4954000000000001</v>
      </c>
      <c r="K444" s="162">
        <v>7.21</v>
      </c>
      <c r="L444" s="163">
        <v>0</v>
      </c>
      <c r="M444" s="163">
        <v>0</v>
      </c>
      <c r="N444" s="161">
        <v>273.30790000000002</v>
      </c>
      <c r="O444" s="160">
        <v>10845087</v>
      </c>
    </row>
    <row r="445" spans="2:15" ht="12.75" customHeight="1" x14ac:dyDescent="0.35">
      <c r="B445" s="164" t="s">
        <v>37</v>
      </c>
      <c r="C445" s="165">
        <v>2006</v>
      </c>
      <c r="D445" s="166">
        <v>12.94</v>
      </c>
      <c r="E445" s="166">
        <v>10.8</v>
      </c>
      <c r="F445" s="167">
        <v>1334</v>
      </c>
      <c r="G445" s="168">
        <v>7.2576999999999998</v>
      </c>
      <c r="H445" s="168">
        <v>7.0766999999999998</v>
      </c>
      <c r="I445" s="167">
        <v>14305</v>
      </c>
      <c r="J445" s="168">
        <v>9.5684000000000005</v>
      </c>
      <c r="K445" s="169">
        <v>6.92</v>
      </c>
      <c r="L445" s="170">
        <v>0</v>
      </c>
      <c r="M445" s="170">
        <v>0</v>
      </c>
      <c r="N445" s="168">
        <v>273.30790000000002</v>
      </c>
      <c r="O445" s="167">
        <v>10963219</v>
      </c>
    </row>
    <row r="446" spans="2:15" ht="12.75" customHeight="1" x14ac:dyDescent="0.35">
      <c r="B446" s="157" t="s">
        <v>37</v>
      </c>
      <c r="C446" s="158">
        <v>2007</v>
      </c>
      <c r="D446" s="159">
        <v>15.64</v>
      </c>
      <c r="E446" s="159">
        <v>3.62</v>
      </c>
      <c r="F446" s="160">
        <v>1717</v>
      </c>
      <c r="G446" s="161">
        <v>7.4116</v>
      </c>
      <c r="H446" s="161">
        <v>5.9480000000000004</v>
      </c>
      <c r="I446" s="160">
        <v>16689</v>
      </c>
      <c r="J446" s="161">
        <v>9.7225000000000001</v>
      </c>
      <c r="K446" s="162">
        <v>7.33</v>
      </c>
      <c r="L446" s="163">
        <v>0</v>
      </c>
      <c r="M446" s="163">
        <v>0</v>
      </c>
      <c r="N446" s="161">
        <v>273.30790000000002</v>
      </c>
      <c r="O446" s="160">
        <v>10582887</v>
      </c>
    </row>
    <row r="447" spans="2:15" ht="12.75" customHeight="1" x14ac:dyDescent="0.35">
      <c r="B447" s="164" t="s">
        <v>37</v>
      </c>
      <c r="C447" s="165">
        <v>2008</v>
      </c>
      <c r="D447" s="166">
        <v>16.54</v>
      </c>
      <c r="E447" s="166">
        <v>2.93</v>
      </c>
      <c r="F447" s="167">
        <v>2035</v>
      </c>
      <c r="G447" s="168">
        <v>7.4927999999999999</v>
      </c>
      <c r="H447" s="168">
        <v>5.7621000000000002</v>
      </c>
      <c r="I447" s="167">
        <v>18378</v>
      </c>
      <c r="J447" s="168">
        <v>9.8188999999999993</v>
      </c>
      <c r="K447" s="169">
        <v>6.08</v>
      </c>
      <c r="L447" s="170">
        <v>0</v>
      </c>
      <c r="M447" s="170">
        <v>0</v>
      </c>
      <c r="N447" s="168">
        <v>273.30790000000002</v>
      </c>
      <c r="O447" s="167">
        <v>10855228</v>
      </c>
    </row>
    <row r="448" spans="2:15" ht="12.75" customHeight="1" x14ac:dyDescent="0.35">
      <c r="B448" s="157" t="s">
        <v>37</v>
      </c>
      <c r="C448" s="158">
        <v>2009</v>
      </c>
      <c r="D448" s="159">
        <v>15.04</v>
      </c>
      <c r="E448" s="159">
        <v>4.37</v>
      </c>
      <c r="F448" s="160">
        <v>2512</v>
      </c>
      <c r="G448" s="161">
        <v>7.4031000000000002</v>
      </c>
      <c r="H448" s="161">
        <v>6.1675000000000004</v>
      </c>
      <c r="I448" s="160">
        <v>19778</v>
      </c>
      <c r="J448" s="161">
        <v>9.8923000000000005</v>
      </c>
      <c r="K448" s="162">
        <v>6.69</v>
      </c>
      <c r="L448" s="163">
        <v>0</v>
      </c>
      <c r="M448" s="163">
        <v>0</v>
      </c>
      <c r="N448" s="161">
        <v>273.30790000000002</v>
      </c>
      <c r="O448" s="160">
        <v>10914128</v>
      </c>
    </row>
    <row r="449" spans="2:15" ht="12.75" customHeight="1" x14ac:dyDescent="0.35">
      <c r="B449" s="164" t="s">
        <v>37</v>
      </c>
      <c r="C449" s="165">
        <v>2010</v>
      </c>
      <c r="D449" s="166">
        <v>13.98</v>
      </c>
      <c r="E449" s="166">
        <v>3.4</v>
      </c>
      <c r="F449" s="167">
        <v>2876</v>
      </c>
      <c r="G449" s="168">
        <v>7.3098999999999998</v>
      </c>
      <c r="H449" s="168">
        <v>5.8971999999999998</v>
      </c>
      <c r="I449" s="167">
        <v>22559</v>
      </c>
      <c r="J449" s="168">
        <v>10.023899999999999</v>
      </c>
      <c r="K449" s="169">
        <v>5.85</v>
      </c>
      <c r="L449" s="170">
        <v>0</v>
      </c>
      <c r="M449" s="170">
        <v>0</v>
      </c>
      <c r="N449" s="168">
        <v>273.30790000000002</v>
      </c>
      <c r="O449" s="167">
        <v>10693929</v>
      </c>
    </row>
    <row r="450" spans="2:15" ht="12.75" customHeight="1" x14ac:dyDescent="0.35">
      <c r="B450" s="157" t="s">
        <v>37</v>
      </c>
      <c r="C450" s="158">
        <v>2011</v>
      </c>
      <c r="D450" s="159">
        <v>14.25</v>
      </c>
      <c r="E450" s="159">
        <v>8.5299999999999994</v>
      </c>
      <c r="F450" s="160">
        <v>3791</v>
      </c>
      <c r="G450" s="161">
        <v>7.3323999999999998</v>
      </c>
      <c r="H450" s="161">
        <v>6.8189000000000002</v>
      </c>
      <c r="I450" s="160">
        <v>24695</v>
      </c>
      <c r="J450" s="161">
        <v>10.1144</v>
      </c>
      <c r="K450" s="162">
        <v>5.01</v>
      </c>
      <c r="L450" s="163">
        <v>0</v>
      </c>
      <c r="M450" s="163">
        <v>0</v>
      </c>
      <c r="N450" s="161">
        <v>273.30790000000002</v>
      </c>
      <c r="O450" s="160">
        <v>10733030</v>
      </c>
    </row>
    <row r="451" spans="2:15" ht="12.75" customHeight="1" x14ac:dyDescent="0.35">
      <c r="B451" s="164" t="s">
        <v>37</v>
      </c>
      <c r="C451" s="165">
        <v>2012</v>
      </c>
      <c r="D451" s="166">
        <v>16.13</v>
      </c>
      <c r="E451" s="166">
        <v>4.53</v>
      </c>
      <c r="F451" s="167">
        <v>4279</v>
      </c>
      <c r="G451" s="168">
        <v>7.4599000000000002</v>
      </c>
      <c r="H451" s="168">
        <v>6.1902999999999997</v>
      </c>
      <c r="I451" s="167">
        <v>26707</v>
      </c>
      <c r="J451" s="168">
        <v>10.1927</v>
      </c>
      <c r="K451" s="169">
        <v>4.96</v>
      </c>
      <c r="L451" s="170">
        <v>0</v>
      </c>
      <c r="M451" s="170">
        <v>0</v>
      </c>
      <c r="N451" s="168">
        <v>273.30790000000002</v>
      </c>
      <c r="O451" s="167">
        <v>10768025</v>
      </c>
    </row>
    <row r="452" spans="2:15" ht="12.75" customHeight="1" x14ac:dyDescent="0.35">
      <c r="B452" s="157" t="s">
        <v>37</v>
      </c>
      <c r="C452" s="158">
        <v>2013</v>
      </c>
      <c r="D452" s="159">
        <v>15.33</v>
      </c>
      <c r="E452" s="159">
        <v>1.87</v>
      </c>
      <c r="F452" s="160">
        <v>4488</v>
      </c>
      <c r="G452" s="161">
        <v>7.4447999999999999</v>
      </c>
      <c r="H452" s="161">
        <v>5.3422999999999998</v>
      </c>
      <c r="I452" s="160">
        <v>29765</v>
      </c>
      <c r="J452" s="161">
        <v>10.3011</v>
      </c>
      <c r="K452" s="162">
        <v>4.82</v>
      </c>
      <c r="L452" s="163">
        <v>0</v>
      </c>
      <c r="M452" s="163">
        <v>0</v>
      </c>
      <c r="N452" s="161">
        <v>273.30790000000002</v>
      </c>
      <c r="O452" s="160">
        <v>11164043</v>
      </c>
    </row>
    <row r="453" spans="2:15" ht="12.75" customHeight="1" x14ac:dyDescent="0.35">
      <c r="B453" s="164" t="s">
        <v>37</v>
      </c>
      <c r="C453" s="165">
        <v>2014</v>
      </c>
      <c r="D453" s="166">
        <v>18.309999999999999</v>
      </c>
      <c r="E453" s="166">
        <v>1.86</v>
      </c>
      <c r="F453" s="167">
        <v>4696</v>
      </c>
      <c r="G453" s="168">
        <v>7.6265999999999998</v>
      </c>
      <c r="H453" s="168">
        <v>5.3375000000000004</v>
      </c>
      <c r="I453" s="167">
        <v>31927</v>
      </c>
      <c r="J453" s="168">
        <v>10.3712</v>
      </c>
      <c r="K453" s="169">
        <v>5</v>
      </c>
      <c r="L453" s="170">
        <v>0</v>
      </c>
      <c r="M453" s="170">
        <v>0</v>
      </c>
      <c r="N453" s="168">
        <v>273.30790000000002</v>
      </c>
      <c r="O453" s="167">
        <v>11207274</v>
      </c>
    </row>
    <row r="454" spans="2:15" ht="12.75" customHeight="1" x14ac:dyDescent="0.35">
      <c r="B454" s="157" t="s">
        <v>37</v>
      </c>
      <c r="C454" s="158">
        <v>2015</v>
      </c>
      <c r="D454" s="159">
        <v>20.28</v>
      </c>
      <c r="E454" s="159">
        <v>4.2300000000000004</v>
      </c>
      <c r="F454" s="160">
        <v>5172</v>
      </c>
      <c r="G454" s="161">
        <v>7.7324000000000002</v>
      </c>
      <c r="H454" s="161">
        <v>6.1654</v>
      </c>
      <c r="I454" s="160">
        <v>33961</v>
      </c>
      <c r="J454" s="161">
        <v>10.433</v>
      </c>
      <c r="K454" s="162">
        <v>6.4</v>
      </c>
      <c r="L454" s="163">
        <v>0</v>
      </c>
      <c r="M454" s="163">
        <v>0</v>
      </c>
      <c r="N454" s="161">
        <v>273.30790000000002</v>
      </c>
      <c r="O454" s="160">
        <v>11247972</v>
      </c>
    </row>
    <row r="455" spans="2:15" ht="12.75" customHeight="1" x14ac:dyDescent="0.35">
      <c r="B455" s="171" t="s">
        <v>37</v>
      </c>
      <c r="C455" s="172">
        <v>2016</v>
      </c>
      <c r="D455" s="173">
        <v>22.2</v>
      </c>
      <c r="E455" s="173">
        <v>7.65</v>
      </c>
      <c r="F455" s="174">
        <v>6035</v>
      </c>
      <c r="G455" s="175">
        <v>7.8263999999999996</v>
      </c>
      <c r="H455" s="175">
        <v>6.7603999999999997</v>
      </c>
      <c r="I455" s="174">
        <v>36219</v>
      </c>
      <c r="J455" s="175">
        <v>10.497299999999999</v>
      </c>
      <c r="K455" s="176">
        <v>8.3000000000000007</v>
      </c>
      <c r="L455" s="177">
        <v>0</v>
      </c>
      <c r="M455" s="177">
        <v>0</v>
      </c>
      <c r="N455" s="175">
        <v>273.30790000000002</v>
      </c>
      <c r="O455" s="174">
        <v>11286500</v>
      </c>
    </row>
    <row r="456" spans="2:15" ht="12.75" customHeight="1" x14ac:dyDescent="0.35">
      <c r="B456" s="178" t="s">
        <v>37</v>
      </c>
      <c r="C456" s="179">
        <v>2017</v>
      </c>
      <c r="D456" s="180">
        <v>22.8</v>
      </c>
      <c r="E456" s="180">
        <v>12.89</v>
      </c>
      <c r="F456" s="181">
        <v>7495</v>
      </c>
      <c r="G456" s="182">
        <v>7.8563000000000001</v>
      </c>
      <c r="H456" s="182">
        <v>7.2862</v>
      </c>
      <c r="I456" s="181">
        <v>37382</v>
      </c>
      <c r="J456" s="182">
        <v>10.5289</v>
      </c>
      <c r="K456" s="183">
        <v>8.5</v>
      </c>
      <c r="L456" s="184">
        <v>0</v>
      </c>
      <c r="M456" s="184">
        <v>0</v>
      </c>
      <c r="N456" s="182">
        <v>273.30790000000002</v>
      </c>
      <c r="O456" s="181">
        <v>11322895</v>
      </c>
    </row>
    <row r="457" spans="2:15" ht="12.75" customHeight="1" x14ac:dyDescent="0.35">
      <c r="B457" s="171" t="s">
        <v>37</v>
      </c>
      <c r="C457" s="172">
        <v>2018</v>
      </c>
      <c r="D457" s="173">
        <v>18.260000000000002</v>
      </c>
      <c r="E457" s="173">
        <v>18.170000000000002</v>
      </c>
      <c r="F457" s="174">
        <v>9554</v>
      </c>
      <c r="G457" s="175">
        <v>7.6348000000000003</v>
      </c>
      <c r="H457" s="175">
        <v>7.63</v>
      </c>
      <c r="I457" s="174">
        <v>40363</v>
      </c>
      <c r="J457" s="175">
        <v>10.605700000000001</v>
      </c>
      <c r="K457" s="176">
        <v>8.1999999999999993</v>
      </c>
      <c r="L457" s="177">
        <v>0</v>
      </c>
      <c r="M457" s="177">
        <v>0</v>
      </c>
      <c r="N457" s="175">
        <v>273.30790000000002</v>
      </c>
      <c r="O457" s="174">
        <v>11329605</v>
      </c>
    </row>
    <row r="458" spans="2:15" ht="12.75" customHeight="1" x14ac:dyDescent="0.35">
      <c r="B458" s="178" t="s">
        <v>37</v>
      </c>
      <c r="C458" s="179">
        <v>2019</v>
      </c>
      <c r="D458" s="180">
        <v>14.05</v>
      </c>
      <c r="E458" s="180">
        <v>96.31</v>
      </c>
      <c r="F458" s="181">
        <v>20511</v>
      </c>
      <c r="G458" s="182">
        <v>7.3771000000000004</v>
      </c>
      <c r="H458" s="182">
        <v>9.3017000000000003</v>
      </c>
      <c r="I458" s="181">
        <v>42406</v>
      </c>
      <c r="J458" s="182">
        <v>10.654999999999999</v>
      </c>
      <c r="K458" s="183">
        <v>8.1999999999999993</v>
      </c>
      <c r="L458" s="184">
        <v>0</v>
      </c>
      <c r="M458" s="184">
        <v>0</v>
      </c>
      <c r="N458" s="182">
        <v>273.30790000000002</v>
      </c>
      <c r="O458" s="181">
        <v>11377239</v>
      </c>
    </row>
    <row r="459" spans="2:15" ht="12.75" customHeight="1" x14ac:dyDescent="0.35">
      <c r="B459" s="171" t="s">
        <v>37</v>
      </c>
      <c r="C459" s="172">
        <v>2020</v>
      </c>
      <c r="D459" s="173">
        <v>13.46</v>
      </c>
      <c r="E459" s="173">
        <v>138.97</v>
      </c>
      <c r="F459" s="174">
        <v>36386</v>
      </c>
      <c r="G459" s="175">
        <v>7.3376000000000001</v>
      </c>
      <c r="H459" s="175">
        <v>9.6724999999999994</v>
      </c>
      <c r="I459" s="174">
        <v>41228</v>
      </c>
      <c r="J459" s="175">
        <v>10.626899999999999</v>
      </c>
      <c r="K459" s="176">
        <v>9.3000000000000007</v>
      </c>
      <c r="L459" s="177">
        <v>0</v>
      </c>
      <c r="M459" s="177">
        <v>1</v>
      </c>
      <c r="N459" s="175">
        <v>273.30790000000002</v>
      </c>
      <c r="O459" s="174">
        <v>11422973</v>
      </c>
    </row>
    <row r="460" spans="2:15" ht="12.75" customHeight="1" x14ac:dyDescent="0.35">
      <c r="B460" s="178" t="s">
        <v>37</v>
      </c>
      <c r="C460" s="179">
        <v>2021</v>
      </c>
      <c r="D460" s="180">
        <v>12.02</v>
      </c>
      <c r="E460" s="180">
        <v>215.13</v>
      </c>
      <c r="F460" s="181">
        <v>61054</v>
      </c>
      <c r="G460" s="182">
        <v>7.2283999999999997</v>
      </c>
      <c r="H460" s="182">
        <v>10.113300000000001</v>
      </c>
      <c r="I460" s="181">
        <v>50694</v>
      </c>
      <c r="J460" s="182">
        <v>10.833600000000001</v>
      </c>
      <c r="K460" s="183">
        <v>8.6999999999999993</v>
      </c>
      <c r="L460" s="184">
        <v>0</v>
      </c>
      <c r="M460" s="184">
        <v>1</v>
      </c>
      <c r="N460" s="182">
        <v>273.30790000000002</v>
      </c>
      <c r="O460" s="181">
        <v>11466630</v>
      </c>
    </row>
    <row r="461" spans="2:15" ht="12.75" customHeight="1" x14ac:dyDescent="0.35">
      <c r="B461" s="171" t="s">
        <v>37</v>
      </c>
      <c r="C461" s="172">
        <v>2022</v>
      </c>
      <c r="D461" s="173">
        <v>13.58</v>
      </c>
      <c r="E461" s="173">
        <v>273.31</v>
      </c>
      <c r="F461" s="174">
        <v>90798</v>
      </c>
      <c r="G461" s="175">
        <v>7.2984</v>
      </c>
      <c r="H461" s="175">
        <v>10.3004</v>
      </c>
      <c r="I461" s="174">
        <v>54547</v>
      </c>
      <c r="J461" s="175">
        <v>10.9068</v>
      </c>
      <c r="K461" s="176">
        <v>6.1</v>
      </c>
      <c r="L461" s="177">
        <v>0</v>
      </c>
      <c r="M461" s="177">
        <v>0</v>
      </c>
      <c r="N461" s="175">
        <v>273.30790000000002</v>
      </c>
      <c r="O461" s="174">
        <v>10882965</v>
      </c>
    </row>
    <row r="462" spans="2:15" ht="12.75" customHeight="1" x14ac:dyDescent="0.35">
      <c r="B462" s="178" t="s">
        <v>37</v>
      </c>
      <c r="C462" s="179">
        <v>2023</v>
      </c>
      <c r="D462" s="180">
        <v>12.93</v>
      </c>
      <c r="E462" s="180">
        <v>1.38</v>
      </c>
      <c r="F462" s="181">
        <v>90948</v>
      </c>
      <c r="G462" s="182">
        <v>7.2492000000000001</v>
      </c>
      <c r="H462" s="182">
        <v>5.0106000000000002</v>
      </c>
      <c r="I462" s="181">
        <v>59736</v>
      </c>
      <c r="J462" s="182">
        <v>10.9977</v>
      </c>
      <c r="K462" s="183">
        <v>5.3</v>
      </c>
      <c r="L462" s="184">
        <v>1</v>
      </c>
      <c r="M462" s="184">
        <v>0</v>
      </c>
      <c r="N462" s="182">
        <v>273.30790000000002</v>
      </c>
      <c r="O462" s="181">
        <v>10882965</v>
      </c>
    </row>
    <row r="463" spans="2:15" ht="12.75" customHeight="1" x14ac:dyDescent="0.35">
      <c r="B463" s="171" t="s">
        <v>37</v>
      </c>
      <c r="C463" s="172">
        <v>2024</v>
      </c>
      <c r="D463" s="173">
        <v>10.93</v>
      </c>
      <c r="E463" s="173">
        <v>47.75</v>
      </c>
      <c r="F463" s="174">
        <v>96310</v>
      </c>
      <c r="G463" s="175">
        <v>7.1123000000000003</v>
      </c>
      <c r="H463" s="175">
        <v>8.5870999999999995</v>
      </c>
      <c r="I463" s="174">
        <v>61199</v>
      </c>
      <c r="J463" s="175">
        <v>11.0219</v>
      </c>
      <c r="K463" s="176">
        <v>5.0999999999999996</v>
      </c>
      <c r="L463" s="177">
        <v>1</v>
      </c>
      <c r="M463" s="177">
        <v>0</v>
      </c>
      <c r="N463" s="175">
        <v>273.30790000000002</v>
      </c>
      <c r="O463" s="174">
        <v>11229915</v>
      </c>
    </row>
    <row r="464" spans="2:15" ht="12.75" customHeight="1" x14ac:dyDescent="0.35">
      <c r="B464" s="157" t="s">
        <v>38</v>
      </c>
      <c r="C464" s="158">
        <v>2005</v>
      </c>
      <c r="D464" s="159">
        <v>6.58</v>
      </c>
      <c r="E464" s="159">
        <v>1.35</v>
      </c>
      <c r="F464" s="160">
        <v>79</v>
      </c>
      <c r="G464" s="161">
        <v>5.9558</v>
      </c>
      <c r="H464" s="161">
        <v>4.3693999999999997</v>
      </c>
      <c r="I464" s="160">
        <v>14543</v>
      </c>
      <c r="J464" s="161">
        <v>9.5848999999999993</v>
      </c>
      <c r="K464" s="162">
        <v>4.91</v>
      </c>
      <c r="L464" s="163">
        <v>0</v>
      </c>
      <c r="M464" s="163">
        <v>0</v>
      </c>
      <c r="N464" s="161">
        <v>371.16500000000002</v>
      </c>
      <c r="O464" s="160">
        <v>5866568</v>
      </c>
    </row>
    <row r="465" spans="2:15" ht="12.75" customHeight="1" x14ac:dyDescent="0.35">
      <c r="B465" s="164" t="s">
        <v>38</v>
      </c>
      <c r="C465" s="165">
        <v>2006</v>
      </c>
      <c r="D465" s="166">
        <v>6.39</v>
      </c>
      <c r="E465" s="166">
        <v>0.89</v>
      </c>
      <c r="F465" s="167">
        <v>132</v>
      </c>
      <c r="G465" s="168">
        <v>5.9428000000000001</v>
      </c>
      <c r="H465" s="168">
        <v>3.9702999999999999</v>
      </c>
      <c r="I465" s="167">
        <v>15633</v>
      </c>
      <c r="J465" s="168">
        <v>9.6570999999999998</v>
      </c>
      <c r="K465" s="169">
        <v>5.16</v>
      </c>
      <c r="L465" s="170">
        <v>0</v>
      </c>
      <c r="M465" s="170">
        <v>0</v>
      </c>
      <c r="N465" s="168">
        <v>371.16500000000002</v>
      </c>
      <c r="O465" s="167">
        <v>5958266</v>
      </c>
    </row>
    <row r="466" spans="2:15" ht="12.75" customHeight="1" x14ac:dyDescent="0.35">
      <c r="B466" s="157" t="s">
        <v>38</v>
      </c>
      <c r="C466" s="158">
        <v>2007</v>
      </c>
      <c r="D466" s="159">
        <v>6.44</v>
      </c>
      <c r="E466" s="159">
        <v>0.68</v>
      </c>
      <c r="F466" s="160">
        <v>172</v>
      </c>
      <c r="G466" s="161">
        <v>5.9348999999999998</v>
      </c>
      <c r="H466" s="161">
        <v>3.6888999999999998</v>
      </c>
      <c r="I466" s="160">
        <v>17834</v>
      </c>
      <c r="J466" s="161">
        <v>9.7888999999999999</v>
      </c>
      <c r="K466" s="162">
        <v>5.2</v>
      </c>
      <c r="L466" s="163">
        <v>0</v>
      </c>
      <c r="M466" s="163">
        <v>0</v>
      </c>
      <c r="N466" s="161">
        <v>371.16500000000002</v>
      </c>
      <c r="O466" s="160">
        <v>5866487</v>
      </c>
    </row>
    <row r="467" spans="2:15" ht="12.75" customHeight="1" x14ac:dyDescent="0.35">
      <c r="B467" s="164" t="s">
        <v>38</v>
      </c>
      <c r="C467" s="165">
        <v>2008</v>
      </c>
      <c r="D467" s="166">
        <v>8.24</v>
      </c>
      <c r="E467" s="166">
        <v>1.1399999999999999</v>
      </c>
      <c r="F467" s="167">
        <v>241</v>
      </c>
      <c r="G467" s="168">
        <v>6.2126000000000001</v>
      </c>
      <c r="H467" s="168">
        <v>4.2340999999999998</v>
      </c>
      <c r="I467" s="167">
        <v>20368</v>
      </c>
      <c r="J467" s="168">
        <v>9.9216999999999995</v>
      </c>
      <c r="K467" s="169">
        <v>4.75</v>
      </c>
      <c r="L467" s="170">
        <v>0</v>
      </c>
      <c r="M467" s="170">
        <v>0</v>
      </c>
      <c r="N467" s="168">
        <v>371.16500000000002</v>
      </c>
      <c r="O467" s="167">
        <v>6052587</v>
      </c>
    </row>
    <row r="468" spans="2:15" ht="12.75" customHeight="1" x14ac:dyDescent="0.35">
      <c r="B468" s="157" t="s">
        <v>38</v>
      </c>
      <c r="C468" s="158">
        <v>2009</v>
      </c>
      <c r="D468" s="159">
        <v>8.25</v>
      </c>
      <c r="E468" s="159">
        <v>2.4700000000000002</v>
      </c>
      <c r="F468" s="160">
        <v>392</v>
      </c>
      <c r="G468" s="161">
        <v>6.2245999999999997</v>
      </c>
      <c r="H468" s="161">
        <v>5.0172999999999996</v>
      </c>
      <c r="I468" s="160">
        <v>21214</v>
      </c>
      <c r="J468" s="161">
        <v>9.9624000000000006</v>
      </c>
      <c r="K468" s="162">
        <v>5.65</v>
      </c>
      <c r="L468" s="163">
        <v>0</v>
      </c>
      <c r="M468" s="163">
        <v>0</v>
      </c>
      <c r="N468" s="161">
        <v>371.16500000000002</v>
      </c>
      <c r="O468" s="160">
        <v>6118743</v>
      </c>
    </row>
    <row r="469" spans="2:15" ht="12.75" customHeight="1" x14ac:dyDescent="0.35">
      <c r="B469" s="164" t="s">
        <v>38</v>
      </c>
      <c r="C469" s="165">
        <v>2010</v>
      </c>
      <c r="D469" s="166">
        <v>7.63</v>
      </c>
      <c r="E469" s="166">
        <v>1.95</v>
      </c>
      <c r="F469" s="167">
        <v>514</v>
      </c>
      <c r="G469" s="168">
        <v>6.1675000000000004</v>
      </c>
      <c r="H469" s="168">
        <v>4.8040000000000003</v>
      </c>
      <c r="I469" s="167">
        <v>24602</v>
      </c>
      <c r="J469" s="168">
        <v>10.1106</v>
      </c>
      <c r="K469" s="169">
        <v>4.63</v>
      </c>
      <c r="L469" s="170">
        <v>0</v>
      </c>
      <c r="M469" s="170">
        <v>0</v>
      </c>
      <c r="N469" s="168">
        <v>371.16500000000002</v>
      </c>
      <c r="O469" s="167">
        <v>6248436</v>
      </c>
    </row>
    <row r="470" spans="2:15" ht="12.75" customHeight="1" x14ac:dyDescent="0.35">
      <c r="B470" s="157" t="s">
        <v>38</v>
      </c>
      <c r="C470" s="158">
        <v>2011</v>
      </c>
      <c r="D470" s="159">
        <v>7.61</v>
      </c>
      <c r="E470" s="159">
        <v>3.09</v>
      </c>
      <c r="F470" s="160">
        <v>709</v>
      </c>
      <c r="G470" s="161">
        <v>6.1759000000000004</v>
      </c>
      <c r="H470" s="161">
        <v>5.2729999999999997</v>
      </c>
      <c r="I470" s="160">
        <v>27555</v>
      </c>
      <c r="J470" s="161">
        <v>10.2239</v>
      </c>
      <c r="K470" s="162">
        <v>3.61</v>
      </c>
      <c r="L470" s="163">
        <v>0</v>
      </c>
      <c r="M470" s="163">
        <v>0</v>
      </c>
      <c r="N470" s="161">
        <v>371.16500000000002</v>
      </c>
      <c r="O470" s="160">
        <v>6317054</v>
      </c>
    </row>
    <row r="471" spans="2:15" ht="12.75" customHeight="1" x14ac:dyDescent="0.35">
      <c r="B471" s="164" t="s">
        <v>38</v>
      </c>
      <c r="C471" s="165">
        <v>2012</v>
      </c>
      <c r="D471" s="166">
        <v>7.78</v>
      </c>
      <c r="E471" s="166">
        <v>2.4500000000000002</v>
      </c>
      <c r="F471" s="167">
        <v>865</v>
      </c>
      <c r="G471" s="168">
        <v>6.2046000000000001</v>
      </c>
      <c r="H471" s="168">
        <v>5.0499000000000001</v>
      </c>
      <c r="I471" s="167">
        <v>30143</v>
      </c>
      <c r="J471" s="168">
        <v>10.313700000000001</v>
      </c>
      <c r="K471" s="169">
        <v>3.14</v>
      </c>
      <c r="L471" s="170">
        <v>0</v>
      </c>
      <c r="M471" s="170">
        <v>0</v>
      </c>
      <c r="N471" s="168">
        <v>371.16500000000002</v>
      </c>
      <c r="O471" s="167">
        <v>6362734</v>
      </c>
    </row>
    <row r="472" spans="2:15" ht="12.75" customHeight="1" x14ac:dyDescent="0.35">
      <c r="B472" s="157" t="s">
        <v>38</v>
      </c>
      <c r="C472" s="158">
        <v>2013</v>
      </c>
      <c r="D472" s="159">
        <v>6.62</v>
      </c>
      <c r="E472" s="159">
        <v>1.18</v>
      </c>
      <c r="F472" s="160">
        <v>943</v>
      </c>
      <c r="G472" s="161">
        <v>6.0845000000000002</v>
      </c>
      <c r="H472" s="161">
        <v>4.3567</v>
      </c>
      <c r="I472" s="160">
        <v>32334</v>
      </c>
      <c r="J472" s="161">
        <v>10.383900000000001</v>
      </c>
      <c r="K472" s="162">
        <v>3.36</v>
      </c>
      <c r="L472" s="163">
        <v>0</v>
      </c>
      <c r="M472" s="163">
        <v>0</v>
      </c>
      <c r="N472" s="161">
        <v>371.16500000000002</v>
      </c>
      <c r="O472" s="160">
        <v>6634254</v>
      </c>
    </row>
    <row r="473" spans="2:15" ht="12.75" customHeight="1" x14ac:dyDescent="0.35">
      <c r="B473" s="164" t="s">
        <v>38</v>
      </c>
      <c r="C473" s="165">
        <v>2014</v>
      </c>
      <c r="D473" s="166">
        <v>7.37</v>
      </c>
      <c r="E473" s="166">
        <v>2.04</v>
      </c>
      <c r="F473" s="167">
        <v>1080</v>
      </c>
      <c r="G473" s="168">
        <v>6.2065999999999999</v>
      </c>
      <c r="H473" s="168">
        <v>4.92</v>
      </c>
      <c r="I473" s="167">
        <v>36056</v>
      </c>
      <c r="J473" s="168">
        <v>10.492800000000001</v>
      </c>
      <c r="K473" s="169">
        <v>3.13</v>
      </c>
      <c r="L473" s="170">
        <v>0</v>
      </c>
      <c r="M473" s="170">
        <v>0</v>
      </c>
      <c r="N473" s="168">
        <v>371.16500000000002</v>
      </c>
      <c r="O473" s="167">
        <v>6727148</v>
      </c>
    </row>
    <row r="474" spans="2:15" ht="12.75" customHeight="1" x14ac:dyDescent="0.35">
      <c r="B474" s="157" t="s">
        <v>38</v>
      </c>
      <c r="C474" s="158">
        <v>2015</v>
      </c>
      <c r="D474" s="159">
        <v>8.26</v>
      </c>
      <c r="E474" s="159">
        <v>2.23</v>
      </c>
      <c r="F474" s="160">
        <v>1232</v>
      </c>
      <c r="G474" s="161">
        <v>6.3333000000000004</v>
      </c>
      <c r="H474" s="161">
        <v>5.0239000000000003</v>
      </c>
      <c r="I474" s="160">
        <v>36526</v>
      </c>
      <c r="J474" s="161">
        <v>10.505800000000001</v>
      </c>
      <c r="K474" s="162">
        <v>4.2</v>
      </c>
      <c r="L474" s="163">
        <v>0</v>
      </c>
      <c r="M474" s="163">
        <v>0</v>
      </c>
      <c r="N474" s="161">
        <v>371.16500000000002</v>
      </c>
      <c r="O474" s="160">
        <v>6819190</v>
      </c>
    </row>
    <row r="475" spans="2:15" ht="12.75" customHeight="1" x14ac:dyDescent="0.35">
      <c r="B475" s="171" t="s">
        <v>38</v>
      </c>
      <c r="C475" s="172">
        <v>2016</v>
      </c>
      <c r="D475" s="173">
        <v>8.8000000000000007</v>
      </c>
      <c r="E475" s="173">
        <v>6.29</v>
      </c>
      <c r="F475" s="174">
        <v>1667</v>
      </c>
      <c r="G475" s="175">
        <v>6.4101999999999997</v>
      </c>
      <c r="H475" s="175">
        <v>6.0753000000000004</v>
      </c>
      <c r="I475" s="174">
        <v>37154</v>
      </c>
      <c r="J475" s="175">
        <v>10.5228</v>
      </c>
      <c r="K475" s="176">
        <v>6.4</v>
      </c>
      <c r="L475" s="177">
        <v>0</v>
      </c>
      <c r="M475" s="177">
        <v>0</v>
      </c>
      <c r="N475" s="175">
        <v>371.16500000000002</v>
      </c>
      <c r="O475" s="174">
        <v>6910553</v>
      </c>
    </row>
    <row r="476" spans="2:15" ht="12.75" customHeight="1" x14ac:dyDescent="0.35">
      <c r="B476" s="178" t="s">
        <v>38</v>
      </c>
      <c r="C476" s="179">
        <v>2017</v>
      </c>
      <c r="D476" s="180">
        <v>9.56</v>
      </c>
      <c r="E476" s="180">
        <v>7.14</v>
      </c>
      <c r="F476" s="181">
        <v>2167</v>
      </c>
      <c r="G476" s="182">
        <v>6.5057999999999998</v>
      </c>
      <c r="H476" s="182">
        <v>6.2145999999999999</v>
      </c>
      <c r="I476" s="181">
        <v>39603</v>
      </c>
      <c r="J476" s="182">
        <v>10.5867</v>
      </c>
      <c r="K476" s="183">
        <v>7.2</v>
      </c>
      <c r="L476" s="184">
        <v>0</v>
      </c>
      <c r="M476" s="184">
        <v>0</v>
      </c>
      <c r="N476" s="182">
        <v>371.16500000000002</v>
      </c>
      <c r="O476" s="181">
        <v>7001161</v>
      </c>
    </row>
    <row r="477" spans="2:15" ht="12.75" customHeight="1" x14ac:dyDescent="0.35">
      <c r="B477" s="171" t="s">
        <v>38</v>
      </c>
      <c r="C477" s="172">
        <v>2018</v>
      </c>
      <c r="D477" s="173">
        <v>6.35</v>
      </c>
      <c r="E477" s="173">
        <v>14.74</v>
      </c>
      <c r="F477" s="174">
        <v>3210</v>
      </c>
      <c r="G477" s="175">
        <v>6.1070000000000002</v>
      </c>
      <c r="H477" s="175">
        <v>6.9499000000000004</v>
      </c>
      <c r="I477" s="174">
        <v>42149</v>
      </c>
      <c r="J477" s="175">
        <v>10.648999999999999</v>
      </c>
      <c r="K477" s="176">
        <v>6.5</v>
      </c>
      <c r="L477" s="177">
        <v>0</v>
      </c>
      <c r="M477" s="177">
        <v>0</v>
      </c>
      <c r="N477" s="175">
        <v>371.16500000000002</v>
      </c>
      <c r="O477" s="174">
        <v>7075494</v>
      </c>
    </row>
    <row r="478" spans="2:15" ht="12.75" customHeight="1" x14ac:dyDescent="0.35">
      <c r="B478" s="178" t="s">
        <v>38</v>
      </c>
      <c r="C478" s="179">
        <v>2019</v>
      </c>
      <c r="D478" s="180">
        <v>5.51</v>
      </c>
      <c r="E478" s="180">
        <v>100.77</v>
      </c>
      <c r="F478" s="181">
        <v>10430</v>
      </c>
      <c r="G478" s="182">
        <v>5.9789000000000003</v>
      </c>
      <c r="H478" s="182">
        <v>8.8846000000000007</v>
      </c>
      <c r="I478" s="181">
        <v>45118</v>
      </c>
      <c r="J478" s="182">
        <v>10.717000000000001</v>
      </c>
      <c r="K478" s="183">
        <v>6.2</v>
      </c>
      <c r="L478" s="184">
        <v>0</v>
      </c>
      <c r="M478" s="184">
        <v>0</v>
      </c>
      <c r="N478" s="182">
        <v>371.16500000000002</v>
      </c>
      <c r="O478" s="181">
        <v>7164788</v>
      </c>
    </row>
    <row r="479" spans="2:15" ht="12.75" customHeight="1" x14ac:dyDescent="0.35">
      <c r="B479" s="171" t="s">
        <v>38</v>
      </c>
      <c r="C479" s="172">
        <v>2020</v>
      </c>
      <c r="D479" s="173">
        <v>5.27</v>
      </c>
      <c r="E479" s="173">
        <v>179.33</v>
      </c>
      <c r="F479" s="174">
        <v>23436</v>
      </c>
      <c r="G479" s="175">
        <v>5.9454000000000002</v>
      </c>
      <c r="H479" s="175">
        <v>9.4732000000000003</v>
      </c>
      <c r="I479" s="174">
        <v>48159</v>
      </c>
      <c r="J479" s="175">
        <v>10.782299999999999</v>
      </c>
      <c r="K479" s="176">
        <v>6.3</v>
      </c>
      <c r="L479" s="177">
        <v>0</v>
      </c>
      <c r="M479" s="177">
        <v>1</v>
      </c>
      <c r="N479" s="175">
        <v>371.16500000000002</v>
      </c>
      <c r="O479" s="174">
        <v>7252502</v>
      </c>
    </row>
    <row r="480" spans="2:15" ht="12.75" customHeight="1" x14ac:dyDescent="0.35">
      <c r="B480" s="178" t="s">
        <v>38</v>
      </c>
      <c r="C480" s="179">
        <v>2021</v>
      </c>
      <c r="D480" s="180">
        <v>5.18</v>
      </c>
      <c r="E480" s="180">
        <v>153.79</v>
      </c>
      <c r="F480" s="181">
        <v>34722</v>
      </c>
      <c r="G480" s="182">
        <v>5.9401999999999999</v>
      </c>
      <c r="H480" s="182">
        <v>9.3313000000000006</v>
      </c>
      <c r="I480" s="181">
        <v>58401</v>
      </c>
      <c r="J480" s="182">
        <v>10.975099999999999</v>
      </c>
      <c r="K480" s="183">
        <v>5.5</v>
      </c>
      <c r="L480" s="184">
        <v>0</v>
      </c>
      <c r="M480" s="184">
        <v>1</v>
      </c>
      <c r="N480" s="182">
        <v>371.16500000000002</v>
      </c>
      <c r="O480" s="181">
        <v>7338473</v>
      </c>
    </row>
    <row r="481" spans="2:15" ht="12.75" customHeight="1" x14ac:dyDescent="0.35">
      <c r="B481" s="171" t="s">
        <v>38</v>
      </c>
      <c r="C481" s="172">
        <v>2022</v>
      </c>
      <c r="D481" s="173">
        <v>4.1100000000000003</v>
      </c>
      <c r="E481" s="173">
        <v>371.17</v>
      </c>
      <c r="F481" s="174">
        <v>62969</v>
      </c>
      <c r="G481" s="175">
        <v>5.7462</v>
      </c>
      <c r="H481" s="175">
        <v>10.248699999999999</v>
      </c>
      <c r="I481" s="174">
        <v>61268</v>
      </c>
      <c r="J481" s="175">
        <v>11.023</v>
      </c>
      <c r="K481" s="176">
        <v>3.9</v>
      </c>
      <c r="L481" s="177">
        <v>0</v>
      </c>
      <c r="M481" s="177">
        <v>0</v>
      </c>
      <c r="N481" s="175">
        <v>371.16500000000002</v>
      </c>
      <c r="O481" s="174">
        <v>7610361</v>
      </c>
    </row>
    <row r="482" spans="2:15" ht="12.75" customHeight="1" x14ac:dyDescent="0.35">
      <c r="B482" s="178" t="s">
        <v>38</v>
      </c>
      <c r="C482" s="179">
        <v>2023</v>
      </c>
      <c r="D482" s="180">
        <v>3.9</v>
      </c>
      <c r="E482" s="180">
        <v>0.97</v>
      </c>
      <c r="F482" s="181">
        <v>63043</v>
      </c>
      <c r="G482" s="182">
        <v>5.6936999999999998</v>
      </c>
      <c r="H482" s="182">
        <v>4.3041</v>
      </c>
      <c r="I482" s="181">
        <v>67460</v>
      </c>
      <c r="J482" s="182">
        <v>11.119300000000001</v>
      </c>
      <c r="K482" s="183">
        <v>3.5</v>
      </c>
      <c r="L482" s="184">
        <v>1</v>
      </c>
      <c r="M482" s="184">
        <v>0</v>
      </c>
      <c r="N482" s="182">
        <v>371.16500000000002</v>
      </c>
      <c r="O482" s="181">
        <v>7610361</v>
      </c>
    </row>
    <row r="483" spans="2:15" ht="12.75" customHeight="1" x14ac:dyDescent="0.35">
      <c r="B483" s="171" t="s">
        <v>38</v>
      </c>
      <c r="C483" s="172">
        <v>2024</v>
      </c>
      <c r="D483" s="173">
        <v>3.78</v>
      </c>
      <c r="E483" s="173">
        <v>72.78</v>
      </c>
      <c r="F483" s="174">
        <v>68908</v>
      </c>
      <c r="G483" s="175">
        <v>5.7202999999999999</v>
      </c>
      <c r="H483" s="175">
        <v>8.6768000000000001</v>
      </c>
      <c r="I483" s="174">
        <v>69506</v>
      </c>
      <c r="J483" s="175">
        <v>11.1492</v>
      </c>
      <c r="K483" s="176">
        <v>3.1</v>
      </c>
      <c r="L483" s="177">
        <v>1</v>
      </c>
      <c r="M483" s="177">
        <v>0</v>
      </c>
      <c r="N483" s="175">
        <v>371.16500000000002</v>
      </c>
      <c r="O483" s="174">
        <v>8058441</v>
      </c>
    </row>
    <row r="484" spans="2:15" ht="12.75" customHeight="1" x14ac:dyDescent="0.35">
      <c r="B484" s="157" t="s">
        <v>39</v>
      </c>
      <c r="C484" s="158">
        <v>2005</v>
      </c>
      <c r="D484" s="159">
        <v>16.52</v>
      </c>
      <c r="E484" s="159">
        <v>0</v>
      </c>
      <c r="F484" s="160">
        <v>0</v>
      </c>
      <c r="G484" s="161">
        <v>5.7838000000000003</v>
      </c>
      <c r="H484" s="161"/>
      <c r="I484" s="160">
        <v>6823</v>
      </c>
      <c r="J484" s="161">
        <v>8.8280999999999992</v>
      </c>
      <c r="K484" s="162">
        <v>13.98</v>
      </c>
      <c r="L484" s="163">
        <v>0</v>
      </c>
      <c r="M484" s="163">
        <v>0</v>
      </c>
      <c r="N484" s="161">
        <v>47.420699999999997</v>
      </c>
      <c r="O484" s="160">
        <v>1967791</v>
      </c>
    </row>
    <row r="485" spans="2:15" ht="12.75" customHeight="1" x14ac:dyDescent="0.35">
      <c r="B485" s="164" t="s">
        <v>39</v>
      </c>
      <c r="C485" s="165">
        <v>2006</v>
      </c>
      <c r="D485" s="166">
        <v>20.69</v>
      </c>
      <c r="E485" s="166">
        <v>0</v>
      </c>
      <c r="F485" s="167">
        <v>0</v>
      </c>
      <c r="G485" s="168">
        <v>6.0259</v>
      </c>
      <c r="H485" s="168"/>
      <c r="I485" s="167">
        <v>7559</v>
      </c>
      <c r="J485" s="168">
        <v>8.9305000000000003</v>
      </c>
      <c r="K485" s="169">
        <v>10.29</v>
      </c>
      <c r="L485" s="170">
        <v>0</v>
      </c>
      <c r="M485" s="170">
        <v>0</v>
      </c>
      <c r="N485" s="168">
        <v>47.420699999999997</v>
      </c>
      <c r="O485" s="167">
        <v>2000738</v>
      </c>
    </row>
    <row r="486" spans="2:15" ht="12.75" customHeight="1" x14ac:dyDescent="0.35">
      <c r="B486" s="157" t="s">
        <v>39</v>
      </c>
      <c r="C486" s="158">
        <v>2007</v>
      </c>
      <c r="D486" s="159">
        <v>17.84</v>
      </c>
      <c r="E486" s="159">
        <v>0</v>
      </c>
      <c r="F486" s="160">
        <v>0</v>
      </c>
      <c r="G486" s="161">
        <v>5.8464</v>
      </c>
      <c r="H486" s="161"/>
      <c r="I486" s="160">
        <v>8712</v>
      </c>
      <c r="J486" s="161">
        <v>9.0724999999999998</v>
      </c>
      <c r="K486" s="162">
        <v>9.77</v>
      </c>
      <c r="L486" s="163">
        <v>0</v>
      </c>
      <c r="M486" s="163">
        <v>0</v>
      </c>
      <c r="N486" s="161">
        <v>47.420699999999997</v>
      </c>
      <c r="O486" s="160">
        <v>1939426</v>
      </c>
    </row>
    <row r="487" spans="2:15" ht="12.75" customHeight="1" x14ac:dyDescent="0.35">
      <c r="B487" s="164" t="s">
        <v>39</v>
      </c>
      <c r="C487" s="165">
        <v>2008</v>
      </c>
      <c r="D487" s="166">
        <v>18.66</v>
      </c>
      <c r="E487" s="166">
        <v>0</v>
      </c>
      <c r="F487" s="167">
        <v>0</v>
      </c>
      <c r="G487" s="168">
        <v>5.9215999999999998</v>
      </c>
      <c r="H487" s="168"/>
      <c r="I487" s="167">
        <v>9779</v>
      </c>
      <c r="J487" s="168">
        <v>9.1880000000000006</v>
      </c>
      <c r="K487" s="169">
        <v>8.43</v>
      </c>
      <c r="L487" s="170">
        <v>0</v>
      </c>
      <c r="M487" s="170">
        <v>0</v>
      </c>
      <c r="N487" s="168">
        <v>47.420699999999997</v>
      </c>
      <c r="O487" s="167">
        <v>1999374</v>
      </c>
    </row>
    <row r="488" spans="2:15" ht="12.75" customHeight="1" x14ac:dyDescent="0.35">
      <c r="B488" s="157" t="s">
        <v>39</v>
      </c>
      <c r="C488" s="158">
        <v>2009</v>
      </c>
      <c r="D488" s="159">
        <v>22.18</v>
      </c>
      <c r="E488" s="159">
        <v>0</v>
      </c>
      <c r="F488" s="160">
        <v>0</v>
      </c>
      <c r="G488" s="161">
        <v>6.1048</v>
      </c>
      <c r="H488" s="161"/>
      <c r="I488" s="160">
        <v>9787</v>
      </c>
      <c r="J488" s="161">
        <v>9.1888000000000005</v>
      </c>
      <c r="K488" s="162">
        <v>12.01</v>
      </c>
      <c r="L488" s="163">
        <v>0</v>
      </c>
      <c r="M488" s="163">
        <v>0</v>
      </c>
      <c r="N488" s="161">
        <v>47.420699999999997</v>
      </c>
      <c r="O488" s="160">
        <v>2019679</v>
      </c>
    </row>
    <row r="489" spans="2:15" ht="12.75" customHeight="1" x14ac:dyDescent="0.35">
      <c r="B489" s="164" t="s">
        <v>39</v>
      </c>
      <c r="C489" s="165">
        <v>2010</v>
      </c>
      <c r="D489" s="166">
        <v>22.29</v>
      </c>
      <c r="E489" s="166">
        <v>0</v>
      </c>
      <c r="F489" s="167">
        <v>0</v>
      </c>
      <c r="G489" s="168">
        <v>6.1334</v>
      </c>
      <c r="H489" s="168"/>
      <c r="I489" s="167">
        <v>12768</v>
      </c>
      <c r="J489" s="168">
        <v>9.4547000000000008</v>
      </c>
      <c r="K489" s="169">
        <v>10.48</v>
      </c>
      <c r="L489" s="170">
        <v>0</v>
      </c>
      <c r="M489" s="170">
        <v>0</v>
      </c>
      <c r="N489" s="168">
        <v>47.420699999999997</v>
      </c>
      <c r="O489" s="167">
        <v>2068017</v>
      </c>
    </row>
    <row r="490" spans="2:15" ht="12.75" customHeight="1" x14ac:dyDescent="0.35">
      <c r="B490" s="157" t="s">
        <v>39</v>
      </c>
      <c r="C490" s="158">
        <v>2011</v>
      </c>
      <c r="D490" s="159">
        <v>25.17</v>
      </c>
      <c r="E490" s="159">
        <v>0</v>
      </c>
      <c r="F490" s="160">
        <v>0</v>
      </c>
      <c r="G490" s="161">
        <v>6.2652999999999999</v>
      </c>
      <c r="H490" s="161"/>
      <c r="I490" s="160">
        <v>13929</v>
      </c>
      <c r="J490" s="161">
        <v>9.5417000000000005</v>
      </c>
      <c r="K490" s="162">
        <v>8.9600000000000009</v>
      </c>
      <c r="L490" s="163">
        <v>0</v>
      </c>
      <c r="M490" s="163">
        <v>0</v>
      </c>
      <c r="N490" s="161">
        <v>47.420699999999997</v>
      </c>
      <c r="O490" s="160">
        <v>2089819</v>
      </c>
    </row>
    <row r="491" spans="2:15" ht="12.75" customHeight="1" x14ac:dyDescent="0.35">
      <c r="B491" s="164" t="s">
        <v>39</v>
      </c>
      <c r="C491" s="165">
        <v>2012</v>
      </c>
      <c r="D491" s="166">
        <v>30.94</v>
      </c>
      <c r="E491" s="166">
        <v>0.05</v>
      </c>
      <c r="F491" s="167">
        <v>1</v>
      </c>
      <c r="G491" s="168">
        <v>6.4816000000000003</v>
      </c>
      <c r="H491" s="168">
        <v>0</v>
      </c>
      <c r="I491" s="167">
        <v>15564</v>
      </c>
      <c r="J491" s="168">
        <v>9.6526999999999994</v>
      </c>
      <c r="K491" s="169">
        <v>8.5</v>
      </c>
      <c r="L491" s="170">
        <v>0</v>
      </c>
      <c r="M491" s="170">
        <v>0</v>
      </c>
      <c r="N491" s="168">
        <v>47.420699999999997</v>
      </c>
      <c r="O491" s="167">
        <v>2110867</v>
      </c>
    </row>
    <row r="492" spans="2:15" ht="12.75" customHeight="1" x14ac:dyDescent="0.35">
      <c r="B492" s="157" t="s">
        <v>39</v>
      </c>
      <c r="C492" s="158">
        <v>2013</v>
      </c>
      <c r="D492" s="159">
        <v>32.93</v>
      </c>
      <c r="E492" s="159">
        <v>0.14000000000000001</v>
      </c>
      <c r="F492" s="160">
        <v>4</v>
      </c>
      <c r="G492" s="161">
        <v>6.5834000000000001</v>
      </c>
      <c r="H492" s="161">
        <v>1.0986</v>
      </c>
      <c r="I492" s="160">
        <v>16094</v>
      </c>
      <c r="J492" s="161">
        <v>9.6861999999999995</v>
      </c>
      <c r="K492" s="162">
        <v>9.32</v>
      </c>
      <c r="L492" s="163">
        <v>0</v>
      </c>
      <c r="M492" s="163">
        <v>0</v>
      </c>
      <c r="N492" s="161">
        <v>47.420699999999997</v>
      </c>
      <c r="O492" s="160">
        <v>2195662</v>
      </c>
    </row>
    <row r="493" spans="2:15" ht="12.75" customHeight="1" x14ac:dyDescent="0.35">
      <c r="B493" s="164" t="s">
        <v>39</v>
      </c>
      <c r="C493" s="165">
        <v>2014</v>
      </c>
      <c r="D493" s="166">
        <v>40.369999999999997</v>
      </c>
      <c r="E493" s="166">
        <v>0</v>
      </c>
      <c r="F493" s="167">
        <v>4</v>
      </c>
      <c r="G493" s="168">
        <v>6.7979000000000003</v>
      </c>
      <c r="H493" s="168"/>
      <c r="I493" s="167">
        <v>16883</v>
      </c>
      <c r="J493" s="168">
        <v>9.7340999999999998</v>
      </c>
      <c r="K493" s="169">
        <v>8.65</v>
      </c>
      <c r="L493" s="170">
        <v>0</v>
      </c>
      <c r="M493" s="170">
        <v>0</v>
      </c>
      <c r="N493" s="168">
        <v>47.420699999999997</v>
      </c>
      <c r="O493" s="167">
        <v>2219574</v>
      </c>
    </row>
    <row r="494" spans="2:15" ht="12.75" customHeight="1" x14ac:dyDescent="0.35">
      <c r="B494" s="157" t="s">
        <v>39</v>
      </c>
      <c r="C494" s="158">
        <v>2015</v>
      </c>
      <c r="D494" s="159">
        <v>49.09</v>
      </c>
      <c r="E494" s="159">
        <v>0.36</v>
      </c>
      <c r="F494" s="160">
        <v>12</v>
      </c>
      <c r="G494" s="161">
        <v>7.0039999999999996</v>
      </c>
      <c r="H494" s="161">
        <v>2.0794000000000001</v>
      </c>
      <c r="I494" s="160">
        <v>17190</v>
      </c>
      <c r="J494" s="161">
        <v>9.7521000000000004</v>
      </c>
      <c r="K494" s="162">
        <v>9.1999999999999993</v>
      </c>
      <c r="L494" s="163">
        <v>0</v>
      </c>
      <c r="M494" s="163">
        <v>0</v>
      </c>
      <c r="N494" s="161">
        <v>47.420699999999997</v>
      </c>
      <c r="O494" s="160">
        <v>2242937</v>
      </c>
    </row>
    <row r="495" spans="2:15" ht="12.75" customHeight="1" x14ac:dyDescent="0.35">
      <c r="B495" s="171" t="s">
        <v>39</v>
      </c>
      <c r="C495" s="172">
        <v>2016</v>
      </c>
      <c r="D495" s="173">
        <v>55.74</v>
      </c>
      <c r="E495" s="173">
        <v>2.4300000000000002</v>
      </c>
      <c r="F495" s="174">
        <v>67</v>
      </c>
      <c r="G495" s="175">
        <v>7.1412000000000004</v>
      </c>
      <c r="H495" s="175">
        <v>4.0072999999999999</v>
      </c>
      <c r="I495" s="174">
        <v>17159</v>
      </c>
      <c r="J495" s="175">
        <v>9.7502999999999993</v>
      </c>
      <c r="K495" s="176">
        <v>13.6</v>
      </c>
      <c r="L495" s="177">
        <v>0</v>
      </c>
      <c r="M495" s="177">
        <v>0</v>
      </c>
      <c r="N495" s="175">
        <v>47.420699999999997</v>
      </c>
      <c r="O495" s="174">
        <v>2265779</v>
      </c>
    </row>
    <row r="496" spans="2:15" ht="12.75" customHeight="1" x14ac:dyDescent="0.35">
      <c r="B496" s="178" t="s">
        <v>39</v>
      </c>
      <c r="C496" s="179">
        <v>2017</v>
      </c>
      <c r="D496" s="180">
        <v>47.94</v>
      </c>
      <c r="E496" s="180">
        <v>3.76</v>
      </c>
      <c r="F496" s="181">
        <v>153</v>
      </c>
      <c r="G496" s="182">
        <v>7.0003000000000002</v>
      </c>
      <c r="H496" s="182">
        <v>4.4542999999999999</v>
      </c>
      <c r="I496" s="181">
        <v>17793</v>
      </c>
      <c r="J496" s="182">
        <v>9.7866</v>
      </c>
      <c r="K496" s="183">
        <v>14.6</v>
      </c>
      <c r="L496" s="184">
        <v>0</v>
      </c>
      <c r="M496" s="184">
        <v>0</v>
      </c>
      <c r="N496" s="182">
        <v>47.420699999999997</v>
      </c>
      <c r="O496" s="181">
        <v>2288116</v>
      </c>
    </row>
    <row r="497" spans="2:15" ht="12.75" customHeight="1" x14ac:dyDescent="0.35">
      <c r="B497" s="171" t="s">
        <v>39</v>
      </c>
      <c r="C497" s="172">
        <v>2018</v>
      </c>
      <c r="D497" s="173">
        <v>42.18</v>
      </c>
      <c r="E497" s="173">
        <v>4.13</v>
      </c>
      <c r="F497" s="174">
        <v>247</v>
      </c>
      <c r="G497" s="175">
        <v>6.8680000000000003</v>
      </c>
      <c r="H497" s="175">
        <v>4.5433000000000003</v>
      </c>
      <c r="I497" s="174">
        <v>18443</v>
      </c>
      <c r="J497" s="175">
        <v>9.8224</v>
      </c>
      <c r="K497" s="176">
        <v>16.8</v>
      </c>
      <c r="L497" s="177">
        <v>0</v>
      </c>
      <c r="M497" s="177">
        <v>0</v>
      </c>
      <c r="N497" s="175">
        <v>47.420699999999997</v>
      </c>
      <c r="O497" s="174">
        <v>2278308</v>
      </c>
    </row>
    <row r="498" spans="2:15" ht="12.75" customHeight="1" x14ac:dyDescent="0.35">
      <c r="B498" s="178" t="s">
        <v>39</v>
      </c>
      <c r="C498" s="179">
        <v>2019</v>
      </c>
      <c r="D498" s="180">
        <v>33.93</v>
      </c>
      <c r="E498" s="180">
        <v>15.84</v>
      </c>
      <c r="F498" s="181">
        <v>611</v>
      </c>
      <c r="G498" s="182">
        <v>6.6593</v>
      </c>
      <c r="H498" s="182">
        <v>5.8971999999999998</v>
      </c>
      <c r="I498" s="181">
        <v>19441</v>
      </c>
      <c r="J498" s="182">
        <v>9.8750999999999998</v>
      </c>
      <c r="K498" s="183">
        <v>15.2</v>
      </c>
      <c r="L498" s="184">
        <v>0</v>
      </c>
      <c r="M498" s="184">
        <v>0</v>
      </c>
      <c r="N498" s="182">
        <v>47.420699999999997</v>
      </c>
      <c r="O498" s="181">
        <v>2298696</v>
      </c>
    </row>
    <row r="499" spans="2:15" ht="12.75" customHeight="1" x14ac:dyDescent="0.35">
      <c r="B499" s="171" t="s">
        <v>39</v>
      </c>
      <c r="C499" s="172">
        <v>2020</v>
      </c>
      <c r="D499" s="173">
        <v>35.49</v>
      </c>
      <c r="E499" s="173">
        <v>26.69</v>
      </c>
      <c r="F499" s="174">
        <v>1230</v>
      </c>
      <c r="G499" s="175">
        <v>6.7130000000000001</v>
      </c>
      <c r="H499" s="175">
        <v>6.4280999999999997</v>
      </c>
      <c r="I499" s="174">
        <v>19583</v>
      </c>
      <c r="J499" s="175">
        <v>9.8824000000000005</v>
      </c>
      <c r="K499" s="176">
        <v>18.899999999999999</v>
      </c>
      <c r="L499" s="177">
        <v>0</v>
      </c>
      <c r="M499" s="177">
        <v>1</v>
      </c>
      <c r="N499" s="175">
        <v>47.420699999999997</v>
      </c>
      <c r="O499" s="174">
        <v>2318822</v>
      </c>
    </row>
    <row r="500" spans="2:15" ht="12.75" customHeight="1" x14ac:dyDescent="0.35">
      <c r="B500" s="178" t="s">
        <v>39</v>
      </c>
      <c r="C500" s="179">
        <v>2021</v>
      </c>
      <c r="D500" s="180">
        <v>28.39</v>
      </c>
      <c r="E500" s="180">
        <v>42.89</v>
      </c>
      <c r="F500" s="181">
        <v>2233</v>
      </c>
      <c r="G500" s="182">
        <v>6.4983000000000004</v>
      </c>
      <c r="H500" s="182">
        <v>6.9108000000000001</v>
      </c>
      <c r="I500" s="181">
        <v>22177</v>
      </c>
      <c r="J500" s="182">
        <v>10.0068</v>
      </c>
      <c r="K500" s="183">
        <v>18</v>
      </c>
      <c r="L500" s="184">
        <v>0</v>
      </c>
      <c r="M500" s="184">
        <v>1</v>
      </c>
      <c r="N500" s="182">
        <v>47.420699999999997</v>
      </c>
      <c r="O500" s="181">
        <v>2338474</v>
      </c>
    </row>
    <row r="501" spans="2:15" ht="12.75" customHeight="1" x14ac:dyDescent="0.35">
      <c r="B501" s="171" t="s">
        <v>39</v>
      </c>
      <c r="C501" s="172">
        <v>2022</v>
      </c>
      <c r="D501" s="173">
        <v>29.59</v>
      </c>
      <c r="E501" s="173">
        <v>47.42</v>
      </c>
      <c r="F501" s="174">
        <v>3281</v>
      </c>
      <c r="G501" s="175">
        <v>6.4831000000000003</v>
      </c>
      <c r="H501" s="175">
        <v>6.9546000000000001</v>
      </c>
      <c r="I501" s="174">
        <v>25960</v>
      </c>
      <c r="J501" s="175">
        <v>10.164300000000001</v>
      </c>
      <c r="K501" s="176">
        <v>13.1</v>
      </c>
      <c r="L501" s="177">
        <v>0</v>
      </c>
      <c r="M501" s="177">
        <v>0</v>
      </c>
      <c r="N501" s="175">
        <v>47.420699999999997</v>
      </c>
      <c r="O501" s="174">
        <v>2210004</v>
      </c>
    </row>
    <row r="502" spans="2:15" ht="12.75" customHeight="1" x14ac:dyDescent="0.35">
      <c r="B502" s="178" t="s">
        <v>39</v>
      </c>
      <c r="C502" s="179">
        <v>2023</v>
      </c>
      <c r="D502" s="180">
        <v>25.88</v>
      </c>
      <c r="E502" s="180">
        <v>0.05</v>
      </c>
      <c r="F502" s="181">
        <v>3282</v>
      </c>
      <c r="G502" s="182">
        <v>6.3491</v>
      </c>
      <c r="H502" s="182">
        <v>0</v>
      </c>
      <c r="I502" s="181">
        <v>27519</v>
      </c>
      <c r="J502" s="182">
        <v>10.2226</v>
      </c>
      <c r="K502" s="183">
        <v>10.9</v>
      </c>
      <c r="L502" s="184">
        <v>1</v>
      </c>
      <c r="M502" s="184">
        <v>0</v>
      </c>
      <c r="N502" s="182">
        <v>47.420699999999997</v>
      </c>
      <c r="O502" s="181">
        <v>2210004</v>
      </c>
    </row>
    <row r="503" spans="2:15" ht="12.75" customHeight="1" x14ac:dyDescent="0.35">
      <c r="B503" s="171" t="s">
        <v>39</v>
      </c>
      <c r="C503" s="172">
        <v>2024</v>
      </c>
      <c r="D503" s="173">
        <v>17.28</v>
      </c>
      <c r="E503" s="173">
        <v>1.05</v>
      </c>
      <c r="F503" s="174">
        <v>3306</v>
      </c>
      <c r="G503" s="175">
        <v>5.9813999999999998</v>
      </c>
      <c r="H503" s="175">
        <v>3.1781000000000001</v>
      </c>
      <c r="I503" s="174">
        <v>28579</v>
      </c>
      <c r="J503" s="175">
        <v>10.260400000000001</v>
      </c>
      <c r="K503" s="176">
        <v>8.9</v>
      </c>
      <c r="L503" s="177">
        <v>1</v>
      </c>
      <c r="M503" s="177">
        <v>0</v>
      </c>
      <c r="N503" s="175">
        <v>47.420699999999997</v>
      </c>
      <c r="O503" s="174">
        <v>2291077</v>
      </c>
    </row>
    <row r="504" spans="2:15" ht="12.75" customHeight="1" x14ac:dyDescent="0.35">
      <c r="B504" s="157" t="s">
        <v>40</v>
      </c>
      <c r="C504" s="158">
        <v>2005</v>
      </c>
      <c r="D504" s="159">
        <v>14.3</v>
      </c>
      <c r="E504" s="159">
        <v>1.48</v>
      </c>
      <c r="F504" s="160">
        <v>598</v>
      </c>
      <c r="G504" s="161">
        <v>8.6629000000000005</v>
      </c>
      <c r="H504" s="161">
        <v>6.3936000000000002</v>
      </c>
      <c r="I504" s="160">
        <v>17976</v>
      </c>
      <c r="J504" s="161">
        <v>9.7967999999999993</v>
      </c>
      <c r="K504" s="162">
        <v>11.76</v>
      </c>
      <c r="L504" s="163">
        <v>0</v>
      </c>
      <c r="M504" s="163">
        <v>0</v>
      </c>
      <c r="N504" s="161">
        <v>190.7603</v>
      </c>
      <c r="O504" s="160">
        <v>40442795</v>
      </c>
    </row>
    <row r="505" spans="2:15" ht="12.75" customHeight="1" x14ac:dyDescent="0.35">
      <c r="B505" s="164" t="s">
        <v>40</v>
      </c>
      <c r="C505" s="165">
        <v>2006</v>
      </c>
      <c r="D505" s="166">
        <v>14</v>
      </c>
      <c r="E505" s="166">
        <v>1.58</v>
      </c>
      <c r="F505" s="167">
        <v>1248</v>
      </c>
      <c r="G505" s="168">
        <v>8.6565999999999992</v>
      </c>
      <c r="H505" s="168">
        <v>6.4770000000000003</v>
      </c>
      <c r="I505" s="167">
        <v>19550</v>
      </c>
      <c r="J505" s="168">
        <v>9.8806999999999992</v>
      </c>
      <c r="K505" s="169">
        <v>10.23</v>
      </c>
      <c r="L505" s="170">
        <v>0</v>
      </c>
      <c r="M505" s="170">
        <v>0</v>
      </c>
      <c r="N505" s="168">
        <v>190.7603</v>
      </c>
      <c r="O505" s="167">
        <v>41055734</v>
      </c>
    </row>
    <row r="506" spans="2:15" ht="12.75" customHeight="1" x14ac:dyDescent="0.35">
      <c r="B506" s="157" t="s">
        <v>40</v>
      </c>
      <c r="C506" s="158">
        <v>2007</v>
      </c>
      <c r="D506" s="159">
        <v>10.37</v>
      </c>
      <c r="E506" s="159">
        <v>2.2999999999999998</v>
      </c>
      <c r="F506" s="160">
        <v>2164</v>
      </c>
      <c r="G506" s="161">
        <v>8.3257999999999992</v>
      </c>
      <c r="H506" s="161">
        <v>6.82</v>
      </c>
      <c r="I506" s="160">
        <v>22667</v>
      </c>
      <c r="J506" s="161">
        <v>10.028700000000001</v>
      </c>
      <c r="K506" s="162">
        <v>9.52</v>
      </c>
      <c r="L506" s="163">
        <v>0</v>
      </c>
      <c r="M506" s="163">
        <v>0</v>
      </c>
      <c r="N506" s="161">
        <v>190.7603</v>
      </c>
      <c r="O506" s="160">
        <v>39827690</v>
      </c>
    </row>
    <row r="507" spans="2:15" ht="12.75" customHeight="1" x14ac:dyDescent="0.35">
      <c r="B507" s="164" t="s">
        <v>40</v>
      </c>
      <c r="C507" s="165">
        <v>2008</v>
      </c>
      <c r="D507" s="166">
        <v>9.42</v>
      </c>
      <c r="E507" s="166">
        <v>3.15</v>
      </c>
      <c r="F507" s="167">
        <v>3455</v>
      </c>
      <c r="G507" s="168">
        <v>8.2597000000000005</v>
      </c>
      <c r="H507" s="168">
        <v>7.1631999999999998</v>
      </c>
      <c r="I507" s="167">
        <v>24457</v>
      </c>
      <c r="J507" s="168">
        <v>10.104699999999999</v>
      </c>
      <c r="K507" s="169">
        <v>8.19</v>
      </c>
      <c r="L507" s="170">
        <v>0</v>
      </c>
      <c r="M507" s="170">
        <v>0</v>
      </c>
      <c r="N507" s="168">
        <v>190.7603</v>
      </c>
      <c r="O507" s="167">
        <v>41011638</v>
      </c>
    </row>
    <row r="508" spans="2:15" ht="12.75" customHeight="1" x14ac:dyDescent="0.35">
      <c r="B508" s="157" t="s">
        <v>40</v>
      </c>
      <c r="C508" s="158">
        <v>2009</v>
      </c>
      <c r="D508" s="159">
        <v>9.26</v>
      </c>
      <c r="E508" s="159">
        <v>6.39</v>
      </c>
      <c r="F508" s="160">
        <v>6101</v>
      </c>
      <c r="G508" s="161">
        <v>8.2508999999999997</v>
      </c>
      <c r="H508" s="161">
        <v>7.8807999999999998</v>
      </c>
      <c r="I508" s="160">
        <v>26202</v>
      </c>
      <c r="J508" s="161">
        <v>10.1736</v>
      </c>
      <c r="K508" s="162">
        <v>9.8000000000000007</v>
      </c>
      <c r="L508" s="163">
        <v>0</v>
      </c>
      <c r="M508" s="163">
        <v>0</v>
      </c>
      <c r="N508" s="161">
        <v>190.7603</v>
      </c>
      <c r="O508" s="160">
        <v>41384039</v>
      </c>
    </row>
    <row r="509" spans="2:15" ht="12.75" customHeight="1" x14ac:dyDescent="0.35">
      <c r="B509" s="164" t="s">
        <v>40</v>
      </c>
      <c r="C509" s="165">
        <v>2010</v>
      </c>
      <c r="D509" s="166">
        <v>8.32</v>
      </c>
      <c r="E509" s="166">
        <v>6.35</v>
      </c>
      <c r="F509" s="167">
        <v>8721</v>
      </c>
      <c r="G509" s="168">
        <v>8.1415000000000006</v>
      </c>
      <c r="H509" s="168">
        <v>7.8708999999999998</v>
      </c>
      <c r="I509" s="167">
        <v>31377</v>
      </c>
      <c r="J509" s="168">
        <v>10.3538</v>
      </c>
      <c r="K509" s="169">
        <v>8.48</v>
      </c>
      <c r="L509" s="170">
        <v>0</v>
      </c>
      <c r="M509" s="170">
        <v>0</v>
      </c>
      <c r="N509" s="168">
        <v>190.7603</v>
      </c>
      <c r="O509" s="167">
        <v>41262199</v>
      </c>
    </row>
    <row r="510" spans="2:15" ht="12.75" customHeight="1" x14ac:dyDescent="0.35">
      <c r="B510" s="157" t="s">
        <v>40</v>
      </c>
      <c r="C510" s="158">
        <v>2011</v>
      </c>
      <c r="D510" s="159">
        <v>7.77</v>
      </c>
      <c r="E510" s="159">
        <v>5.91</v>
      </c>
      <c r="F510" s="160">
        <v>11178</v>
      </c>
      <c r="G510" s="161">
        <v>8.0805000000000007</v>
      </c>
      <c r="H510" s="161">
        <v>7.8067000000000002</v>
      </c>
      <c r="I510" s="160">
        <v>34546</v>
      </c>
      <c r="J510" s="161">
        <v>10.45</v>
      </c>
      <c r="K510" s="162">
        <v>7.15</v>
      </c>
      <c r="L510" s="163">
        <v>0</v>
      </c>
      <c r="M510" s="163">
        <v>0</v>
      </c>
      <c r="N510" s="161">
        <v>190.7603</v>
      </c>
      <c r="O510" s="160">
        <v>41587182</v>
      </c>
    </row>
    <row r="511" spans="2:15" ht="12.75" customHeight="1" x14ac:dyDescent="0.35">
      <c r="B511" s="164" t="s">
        <v>40</v>
      </c>
      <c r="C511" s="165">
        <v>2012</v>
      </c>
      <c r="D511" s="166">
        <v>9.1199999999999992</v>
      </c>
      <c r="E511" s="166">
        <v>4.8600000000000003</v>
      </c>
      <c r="F511" s="167">
        <v>13214</v>
      </c>
      <c r="G511" s="168">
        <v>8.2483000000000004</v>
      </c>
      <c r="H511" s="168">
        <v>7.6186999999999996</v>
      </c>
      <c r="I511" s="167">
        <v>37207</v>
      </c>
      <c r="J511" s="168">
        <v>10.5243</v>
      </c>
      <c r="K511" s="169">
        <v>6.37</v>
      </c>
      <c r="L511" s="170">
        <v>0</v>
      </c>
      <c r="M511" s="170">
        <v>0</v>
      </c>
      <c r="N511" s="168">
        <v>190.7603</v>
      </c>
      <c r="O511" s="167">
        <v>41901219</v>
      </c>
    </row>
    <row r="512" spans="2:15" ht="12.75" customHeight="1" x14ac:dyDescent="0.35">
      <c r="B512" s="157" t="s">
        <v>40</v>
      </c>
      <c r="C512" s="158">
        <v>2013</v>
      </c>
      <c r="D512" s="159">
        <v>7.81</v>
      </c>
      <c r="E512" s="159">
        <v>3.08</v>
      </c>
      <c r="F512" s="160">
        <v>14558</v>
      </c>
      <c r="G512" s="161">
        <v>8.1339000000000006</v>
      </c>
      <c r="H512" s="161">
        <v>7.2034000000000002</v>
      </c>
      <c r="I512" s="160">
        <v>39283</v>
      </c>
      <c r="J512" s="161">
        <v>10.5785</v>
      </c>
      <c r="K512" s="162">
        <v>6.67</v>
      </c>
      <c r="L512" s="163">
        <v>0</v>
      </c>
      <c r="M512" s="163">
        <v>0</v>
      </c>
      <c r="N512" s="161">
        <v>190.7603</v>
      </c>
      <c r="O512" s="160">
        <v>43663669</v>
      </c>
    </row>
    <row r="513" spans="2:15" ht="12.75" customHeight="1" x14ac:dyDescent="0.35">
      <c r="B513" s="164" t="s">
        <v>40</v>
      </c>
      <c r="C513" s="165">
        <v>2014</v>
      </c>
      <c r="D513" s="166">
        <v>8.0299999999999994</v>
      </c>
      <c r="E513" s="166">
        <v>1.52</v>
      </c>
      <c r="F513" s="167">
        <v>15228</v>
      </c>
      <c r="G513" s="168">
        <v>8.1707999999999998</v>
      </c>
      <c r="H513" s="168">
        <v>6.5072999999999999</v>
      </c>
      <c r="I513" s="167">
        <v>42198</v>
      </c>
      <c r="J513" s="168">
        <v>10.6501</v>
      </c>
      <c r="K513" s="169">
        <v>7.9</v>
      </c>
      <c r="L513" s="170">
        <v>0</v>
      </c>
      <c r="M513" s="170">
        <v>0</v>
      </c>
      <c r="N513" s="168">
        <v>190.7603</v>
      </c>
      <c r="O513" s="167">
        <v>44035304</v>
      </c>
    </row>
    <row r="514" spans="2:15" ht="12.75" customHeight="1" x14ac:dyDescent="0.35">
      <c r="B514" s="157" t="s">
        <v>40</v>
      </c>
      <c r="C514" s="158">
        <v>2015</v>
      </c>
      <c r="D514" s="159">
        <v>6.91</v>
      </c>
      <c r="E514" s="159">
        <v>2.14</v>
      </c>
      <c r="F514" s="160">
        <v>16179</v>
      </c>
      <c r="G514" s="161">
        <v>8.0281000000000002</v>
      </c>
      <c r="H514" s="161">
        <v>6.8574999999999999</v>
      </c>
      <c r="I514" s="160">
        <v>43695</v>
      </c>
      <c r="J514" s="161">
        <v>10.685</v>
      </c>
      <c r="K514" s="162">
        <v>9.4</v>
      </c>
      <c r="L514" s="163">
        <v>0</v>
      </c>
      <c r="M514" s="163">
        <v>0</v>
      </c>
      <c r="N514" s="161">
        <v>190.7603</v>
      </c>
      <c r="O514" s="160">
        <v>44396484</v>
      </c>
    </row>
    <row r="515" spans="2:15" ht="12.75" customHeight="1" x14ac:dyDescent="0.35">
      <c r="B515" s="171" t="s">
        <v>40</v>
      </c>
      <c r="C515" s="172">
        <v>2016</v>
      </c>
      <c r="D515" s="173">
        <v>6.01</v>
      </c>
      <c r="E515" s="173">
        <v>4.46</v>
      </c>
      <c r="F515" s="174">
        <v>18173</v>
      </c>
      <c r="G515" s="175">
        <v>7.8973000000000004</v>
      </c>
      <c r="H515" s="175">
        <v>7.5979000000000001</v>
      </c>
      <c r="I515" s="174">
        <v>45559</v>
      </c>
      <c r="J515" s="175">
        <v>10.726800000000001</v>
      </c>
      <c r="K515" s="176">
        <v>12.5</v>
      </c>
      <c r="L515" s="177">
        <v>0</v>
      </c>
      <c r="M515" s="177">
        <v>0</v>
      </c>
      <c r="N515" s="175">
        <v>190.7603</v>
      </c>
      <c r="O515" s="174">
        <v>44749699</v>
      </c>
    </row>
    <row r="516" spans="2:15" ht="12.75" customHeight="1" x14ac:dyDescent="0.35">
      <c r="B516" s="178" t="s">
        <v>40</v>
      </c>
      <c r="C516" s="179">
        <v>2017</v>
      </c>
      <c r="D516" s="180">
        <v>5.52</v>
      </c>
      <c r="E516" s="180">
        <v>7.2</v>
      </c>
      <c r="F516" s="181">
        <v>21421</v>
      </c>
      <c r="G516" s="182">
        <v>7.82</v>
      </c>
      <c r="H516" s="182">
        <v>8.0858000000000008</v>
      </c>
      <c r="I516" s="181">
        <v>47029</v>
      </c>
      <c r="J516" s="182">
        <v>10.7585</v>
      </c>
      <c r="K516" s="183">
        <v>13.5</v>
      </c>
      <c r="L516" s="184">
        <v>0</v>
      </c>
      <c r="M516" s="184">
        <v>0</v>
      </c>
      <c r="N516" s="182">
        <v>190.7603</v>
      </c>
      <c r="O516" s="181">
        <v>45094866</v>
      </c>
    </row>
    <row r="517" spans="2:15" ht="12.75" customHeight="1" x14ac:dyDescent="0.35">
      <c r="B517" s="171" t="s">
        <v>40</v>
      </c>
      <c r="C517" s="172">
        <v>2018</v>
      </c>
      <c r="D517" s="173">
        <v>4.32</v>
      </c>
      <c r="E517" s="173">
        <v>10.01</v>
      </c>
      <c r="F517" s="174">
        <v>25980</v>
      </c>
      <c r="G517" s="175">
        <v>7.5838000000000001</v>
      </c>
      <c r="H517" s="175">
        <v>8.4248999999999992</v>
      </c>
      <c r="I517" s="174">
        <v>48542</v>
      </c>
      <c r="J517" s="175">
        <v>10.7902</v>
      </c>
      <c r="K517" s="176">
        <v>13.4</v>
      </c>
      <c r="L517" s="177">
        <v>0</v>
      </c>
      <c r="M517" s="177">
        <v>0</v>
      </c>
      <c r="N517" s="175">
        <v>190.7603</v>
      </c>
      <c r="O517" s="174">
        <v>45538936</v>
      </c>
    </row>
    <row r="518" spans="2:15" ht="12.75" customHeight="1" x14ac:dyDescent="0.35">
      <c r="B518" s="178" t="s">
        <v>40</v>
      </c>
      <c r="C518" s="179">
        <v>2019</v>
      </c>
      <c r="D518" s="180">
        <v>3.75</v>
      </c>
      <c r="E518" s="180">
        <v>53.87</v>
      </c>
      <c r="F518" s="181">
        <v>50717</v>
      </c>
      <c r="G518" s="182">
        <v>7.4507000000000003</v>
      </c>
      <c r="H518" s="182">
        <v>10.116099999999999</v>
      </c>
      <c r="I518" s="181">
        <v>51141</v>
      </c>
      <c r="J518" s="182">
        <v>10.8423</v>
      </c>
      <c r="K518" s="183">
        <v>12.6</v>
      </c>
      <c r="L518" s="184">
        <v>0</v>
      </c>
      <c r="M518" s="184">
        <v>0</v>
      </c>
      <c r="N518" s="182">
        <v>190.7603</v>
      </c>
      <c r="O518" s="181">
        <v>45919049</v>
      </c>
    </row>
    <row r="519" spans="2:15" ht="12.75" customHeight="1" x14ac:dyDescent="0.35">
      <c r="B519" s="171" t="s">
        <v>40</v>
      </c>
      <c r="C519" s="172">
        <v>2020</v>
      </c>
      <c r="D519" s="173">
        <v>3.81</v>
      </c>
      <c r="E519" s="173">
        <v>50.59</v>
      </c>
      <c r="F519" s="174">
        <v>74133</v>
      </c>
      <c r="G519" s="175">
        <v>7.4741999999999997</v>
      </c>
      <c r="H519" s="175">
        <v>10.061199999999999</v>
      </c>
      <c r="I519" s="174">
        <v>51365</v>
      </c>
      <c r="J519" s="175">
        <v>10.8467</v>
      </c>
      <c r="K519" s="176">
        <v>14.1</v>
      </c>
      <c r="L519" s="177">
        <v>0</v>
      </c>
      <c r="M519" s="177">
        <v>1</v>
      </c>
      <c r="N519" s="175">
        <v>190.7603</v>
      </c>
      <c r="O519" s="174">
        <v>46289333</v>
      </c>
    </row>
    <row r="520" spans="2:15" ht="12.75" customHeight="1" x14ac:dyDescent="0.35">
      <c r="B520" s="178" t="s">
        <v>40</v>
      </c>
      <c r="C520" s="179">
        <v>2021</v>
      </c>
      <c r="D520" s="180">
        <v>3.48</v>
      </c>
      <c r="E520" s="180">
        <v>129.04</v>
      </c>
      <c r="F520" s="181">
        <v>134327</v>
      </c>
      <c r="G520" s="182">
        <v>7.3914</v>
      </c>
      <c r="H520" s="182">
        <v>11.0053</v>
      </c>
      <c r="I520" s="181">
        <v>58302</v>
      </c>
      <c r="J520" s="182">
        <v>10.9734</v>
      </c>
      <c r="K520" s="183">
        <v>13.5</v>
      </c>
      <c r="L520" s="184">
        <v>0</v>
      </c>
      <c r="M520" s="184">
        <v>1</v>
      </c>
      <c r="N520" s="182">
        <v>190.7603</v>
      </c>
      <c r="O520" s="181">
        <v>46649132</v>
      </c>
    </row>
    <row r="521" spans="2:15" ht="12.75" customHeight="1" x14ac:dyDescent="0.35">
      <c r="B521" s="171" t="s">
        <v>40</v>
      </c>
      <c r="C521" s="172">
        <v>2022</v>
      </c>
      <c r="D521" s="173">
        <v>3.71</v>
      </c>
      <c r="E521" s="173">
        <v>190.76</v>
      </c>
      <c r="F521" s="174">
        <v>219046</v>
      </c>
      <c r="G521" s="175">
        <v>7.4078999999999997</v>
      </c>
      <c r="H521" s="175">
        <v>11.347099999999999</v>
      </c>
      <c r="I521" s="174">
        <v>70485</v>
      </c>
      <c r="J521" s="175">
        <v>11.1632</v>
      </c>
      <c r="K521" s="176">
        <v>9.1</v>
      </c>
      <c r="L521" s="177">
        <v>0</v>
      </c>
      <c r="M521" s="177">
        <v>0</v>
      </c>
      <c r="N521" s="175">
        <v>190.7603</v>
      </c>
      <c r="O521" s="174">
        <v>44411238</v>
      </c>
    </row>
    <row r="522" spans="2:15" ht="12.75" customHeight="1" x14ac:dyDescent="0.35">
      <c r="B522" s="178" t="s">
        <v>40</v>
      </c>
      <c r="C522" s="179">
        <v>2023</v>
      </c>
      <c r="D522" s="180">
        <v>3.29</v>
      </c>
      <c r="E522" s="180">
        <v>0.44</v>
      </c>
      <c r="F522" s="181">
        <v>219242</v>
      </c>
      <c r="G522" s="182">
        <v>7.2876000000000003</v>
      </c>
      <c r="H522" s="182">
        <v>5.2781000000000002</v>
      </c>
      <c r="I522" s="181">
        <v>77566</v>
      </c>
      <c r="J522" s="182">
        <v>11.258900000000001</v>
      </c>
      <c r="K522" s="183">
        <v>7.6</v>
      </c>
      <c r="L522" s="184">
        <v>1</v>
      </c>
      <c r="M522" s="184">
        <v>0</v>
      </c>
      <c r="N522" s="182">
        <v>190.7603</v>
      </c>
      <c r="O522" s="181">
        <v>44411238</v>
      </c>
    </row>
    <row r="523" spans="2:15" ht="12.75" customHeight="1" x14ac:dyDescent="0.35">
      <c r="B523" s="171" t="s">
        <v>40</v>
      </c>
      <c r="C523" s="172">
        <v>2024</v>
      </c>
      <c r="D523" s="173">
        <v>3.13</v>
      </c>
      <c r="E523" s="173">
        <v>59.74</v>
      </c>
      <c r="F523" s="174">
        <v>246705</v>
      </c>
      <c r="G523" s="175">
        <v>7.2724000000000002</v>
      </c>
      <c r="H523" s="175">
        <v>10.220599999999999</v>
      </c>
      <c r="I523" s="174">
        <v>82767</v>
      </c>
      <c r="J523" s="175">
        <v>11.3238</v>
      </c>
      <c r="K523" s="176">
        <v>6.5</v>
      </c>
      <c r="L523" s="177">
        <v>1</v>
      </c>
      <c r="M523" s="177">
        <v>0</v>
      </c>
      <c r="N523" s="175">
        <v>190.7603</v>
      </c>
      <c r="O523" s="174">
        <v>45973194</v>
      </c>
    </row>
    <row r="524" spans="2:15" ht="12.75" customHeight="1" x14ac:dyDescent="0.35">
      <c r="B524" s="157" t="s">
        <v>41</v>
      </c>
      <c r="C524" s="158">
        <v>2005</v>
      </c>
      <c r="D524" s="159">
        <v>6.28</v>
      </c>
      <c r="E524" s="159">
        <v>1.38</v>
      </c>
      <c r="F524" s="160">
        <v>18</v>
      </c>
      <c r="G524" s="161">
        <v>4.4066999999999998</v>
      </c>
      <c r="H524" s="161">
        <v>2.8904000000000001</v>
      </c>
      <c r="I524" s="160">
        <v>6939</v>
      </c>
      <c r="J524" s="161">
        <v>8.8449000000000009</v>
      </c>
      <c r="K524" s="162">
        <v>7.1</v>
      </c>
      <c r="L524" s="163">
        <v>0</v>
      </c>
      <c r="M524" s="163">
        <v>0</v>
      </c>
      <c r="N524" s="161">
        <v>202.18860000000001</v>
      </c>
      <c r="O524" s="160">
        <v>1305728</v>
      </c>
    </row>
    <row r="525" spans="2:15" ht="12.75" customHeight="1" x14ac:dyDescent="0.35">
      <c r="B525" s="164" t="s">
        <v>41</v>
      </c>
      <c r="C525" s="165">
        <v>2006</v>
      </c>
      <c r="D525" s="166">
        <v>6.68</v>
      </c>
      <c r="E525" s="166">
        <v>1.65</v>
      </c>
      <c r="F525" s="167">
        <v>40</v>
      </c>
      <c r="G525" s="168">
        <v>4.4885999999999999</v>
      </c>
      <c r="H525" s="168">
        <v>3.0910000000000002</v>
      </c>
      <c r="I525" s="167">
        <v>7209</v>
      </c>
      <c r="J525" s="168">
        <v>8.8831000000000007</v>
      </c>
      <c r="K525" s="169">
        <v>6.91</v>
      </c>
      <c r="L525" s="170">
        <v>0</v>
      </c>
      <c r="M525" s="170">
        <v>0</v>
      </c>
      <c r="N525" s="168">
        <v>202.18860000000001</v>
      </c>
      <c r="O525" s="167">
        <v>1332441</v>
      </c>
    </row>
    <row r="526" spans="2:15" ht="12.75" customHeight="1" x14ac:dyDescent="0.35">
      <c r="B526" s="157" t="s">
        <v>41</v>
      </c>
      <c r="C526" s="158">
        <v>2007</v>
      </c>
      <c r="D526" s="159">
        <v>6.83</v>
      </c>
      <c r="E526" s="159">
        <v>1.05</v>
      </c>
      <c r="F526" s="160">
        <v>53</v>
      </c>
      <c r="G526" s="161">
        <v>4.4427000000000003</v>
      </c>
      <c r="H526" s="161">
        <v>2.5649000000000002</v>
      </c>
      <c r="I526" s="160">
        <v>8921</v>
      </c>
      <c r="J526" s="161">
        <v>9.0961999999999996</v>
      </c>
      <c r="K526" s="162">
        <v>6.83</v>
      </c>
      <c r="L526" s="163">
        <v>0</v>
      </c>
      <c r="M526" s="163">
        <v>0</v>
      </c>
      <c r="N526" s="161">
        <v>202.18860000000001</v>
      </c>
      <c r="O526" s="160">
        <v>1243627</v>
      </c>
    </row>
    <row r="527" spans="2:15" ht="12.75" customHeight="1" x14ac:dyDescent="0.35">
      <c r="B527" s="164" t="s">
        <v>41</v>
      </c>
      <c r="C527" s="165">
        <v>2008</v>
      </c>
      <c r="D527" s="166">
        <v>7.34</v>
      </c>
      <c r="E527" s="166">
        <v>0.7</v>
      </c>
      <c r="F527" s="167">
        <v>62</v>
      </c>
      <c r="G527" s="168">
        <v>4.5433000000000003</v>
      </c>
      <c r="H527" s="168">
        <v>2.1972</v>
      </c>
      <c r="I527" s="167">
        <v>10222</v>
      </c>
      <c r="J527" s="168">
        <v>9.2323000000000004</v>
      </c>
      <c r="K527" s="169">
        <v>6.49</v>
      </c>
      <c r="L527" s="170">
        <v>0</v>
      </c>
      <c r="M527" s="170">
        <v>0</v>
      </c>
      <c r="N527" s="168">
        <v>202.18860000000001</v>
      </c>
      <c r="O527" s="167">
        <v>1280513</v>
      </c>
    </row>
    <row r="528" spans="2:15" ht="12.75" customHeight="1" x14ac:dyDescent="0.35">
      <c r="B528" s="157" t="s">
        <v>41</v>
      </c>
      <c r="C528" s="158">
        <v>2009</v>
      </c>
      <c r="D528" s="159">
        <v>9.52</v>
      </c>
      <c r="E528" s="159">
        <v>0.93</v>
      </c>
      <c r="F528" s="160">
        <v>74</v>
      </c>
      <c r="G528" s="161">
        <v>4.8121999999999998</v>
      </c>
      <c r="H528" s="161">
        <v>2.4849000000000001</v>
      </c>
      <c r="I528" s="160">
        <v>11277</v>
      </c>
      <c r="J528" s="161">
        <v>9.3305000000000007</v>
      </c>
      <c r="K528" s="162">
        <v>7.88</v>
      </c>
      <c r="L528" s="163">
        <v>0</v>
      </c>
      <c r="M528" s="163">
        <v>0</v>
      </c>
      <c r="N528" s="161">
        <v>202.18860000000001</v>
      </c>
      <c r="O528" s="160">
        <v>1292051</v>
      </c>
    </row>
    <row r="529" spans="1:15" ht="12.75" customHeight="1" x14ac:dyDescent="0.35">
      <c r="B529" s="164" t="s">
        <v>41</v>
      </c>
      <c r="C529" s="165">
        <v>2010</v>
      </c>
      <c r="D529" s="166">
        <v>9.0399999999999991</v>
      </c>
      <c r="E529" s="166">
        <v>1.73</v>
      </c>
      <c r="F529" s="167">
        <v>98</v>
      </c>
      <c r="G529" s="168">
        <v>4.8282999999999996</v>
      </c>
      <c r="H529" s="168">
        <v>3.1781000000000001</v>
      </c>
      <c r="I529" s="167">
        <v>11858</v>
      </c>
      <c r="J529" s="168">
        <v>9.3808000000000007</v>
      </c>
      <c r="K529" s="169">
        <v>7.61</v>
      </c>
      <c r="L529" s="170">
        <v>0</v>
      </c>
      <c r="M529" s="170">
        <v>0</v>
      </c>
      <c r="N529" s="168">
        <v>202.18860000000001</v>
      </c>
      <c r="O529" s="167">
        <v>1383445</v>
      </c>
    </row>
    <row r="530" spans="1:15" ht="12.75" customHeight="1" x14ac:dyDescent="0.35">
      <c r="B530" s="157" t="s">
        <v>41</v>
      </c>
      <c r="C530" s="158">
        <v>2011</v>
      </c>
      <c r="D530" s="159">
        <v>11.21</v>
      </c>
      <c r="E530" s="159">
        <v>2.64</v>
      </c>
      <c r="F530" s="160">
        <v>135</v>
      </c>
      <c r="G530" s="161">
        <v>5.0561999999999996</v>
      </c>
      <c r="H530" s="161">
        <v>3.6109</v>
      </c>
      <c r="I530" s="160">
        <v>13096</v>
      </c>
      <c r="J530" s="161">
        <v>9.4801000000000002</v>
      </c>
      <c r="K530" s="162">
        <v>7.33</v>
      </c>
      <c r="L530" s="163">
        <v>0</v>
      </c>
      <c r="M530" s="163">
        <v>0</v>
      </c>
      <c r="N530" s="161">
        <v>202.18860000000001</v>
      </c>
      <c r="O530" s="160">
        <v>1400892</v>
      </c>
    </row>
    <row r="531" spans="1:15" ht="12.75" customHeight="1" x14ac:dyDescent="0.35">
      <c r="B531" s="164" t="s">
        <v>41</v>
      </c>
      <c r="C531" s="165">
        <v>2012</v>
      </c>
      <c r="D531" s="166">
        <v>12.13</v>
      </c>
      <c r="E531" s="166">
        <v>3.1</v>
      </c>
      <c r="F531" s="167">
        <v>179</v>
      </c>
      <c r="G531" s="168">
        <v>5.1475</v>
      </c>
      <c r="H531" s="168">
        <v>3.7841999999999998</v>
      </c>
      <c r="I531" s="167">
        <v>14590</v>
      </c>
      <c r="J531" s="168">
        <v>9.5881000000000007</v>
      </c>
      <c r="K531" s="169">
        <v>6.47</v>
      </c>
      <c r="L531" s="170">
        <v>0</v>
      </c>
      <c r="M531" s="170">
        <v>0</v>
      </c>
      <c r="N531" s="168">
        <v>202.18860000000001</v>
      </c>
      <c r="O531" s="167">
        <v>1417694</v>
      </c>
    </row>
    <row r="532" spans="1:15" ht="12.75" customHeight="1" x14ac:dyDescent="0.35">
      <c r="B532" s="157" t="s">
        <v>41</v>
      </c>
      <c r="C532" s="158">
        <v>2013</v>
      </c>
      <c r="D532" s="159">
        <v>9.4700000000000006</v>
      </c>
      <c r="E532" s="159">
        <v>1.56</v>
      </c>
      <c r="F532" s="160">
        <v>202</v>
      </c>
      <c r="G532" s="161">
        <v>4.9416000000000002</v>
      </c>
      <c r="H532" s="161">
        <v>3.1355</v>
      </c>
      <c r="I532" s="160">
        <v>16099</v>
      </c>
      <c r="J532" s="161">
        <v>9.6865000000000006</v>
      </c>
      <c r="K532" s="162">
        <v>7.06</v>
      </c>
      <c r="L532" s="163">
        <v>0</v>
      </c>
      <c r="M532" s="163">
        <v>0</v>
      </c>
      <c r="N532" s="161">
        <v>202.18860000000001</v>
      </c>
      <c r="O532" s="160">
        <v>1478164</v>
      </c>
    </row>
    <row r="533" spans="1:15" ht="12.75" customHeight="1" x14ac:dyDescent="0.35">
      <c r="B533" s="164" t="s">
        <v>41</v>
      </c>
      <c r="C533" s="165">
        <v>2014</v>
      </c>
      <c r="D533" s="166">
        <v>10.96</v>
      </c>
      <c r="E533" s="166">
        <v>1.1399999999999999</v>
      </c>
      <c r="F533" s="167">
        <v>219</v>
      </c>
      <c r="G533" s="168">
        <v>5.0998999999999999</v>
      </c>
      <c r="H533" s="168">
        <v>2.8332000000000002</v>
      </c>
      <c r="I533" s="167">
        <v>17496</v>
      </c>
      <c r="J533" s="168">
        <v>9.7697000000000003</v>
      </c>
      <c r="K533" s="169">
        <v>6.44</v>
      </c>
      <c r="L533" s="170">
        <v>0</v>
      </c>
      <c r="M533" s="170">
        <v>0</v>
      </c>
      <c r="N533" s="168">
        <v>202.18860000000001</v>
      </c>
      <c r="O533" s="167">
        <v>1496880</v>
      </c>
    </row>
    <row r="534" spans="1:15" ht="12.75" customHeight="1" x14ac:dyDescent="0.35">
      <c r="B534" s="157" t="s">
        <v>41</v>
      </c>
      <c r="C534" s="158">
        <v>2015</v>
      </c>
      <c r="D534" s="159">
        <v>17.75</v>
      </c>
      <c r="E534" s="159">
        <v>0.53</v>
      </c>
      <c r="F534" s="160">
        <v>227</v>
      </c>
      <c r="G534" s="161">
        <v>5.5946999999999996</v>
      </c>
      <c r="H534" s="161">
        <v>2.0794000000000001</v>
      </c>
      <c r="I534" s="160">
        <v>19094</v>
      </c>
      <c r="J534" s="161">
        <v>9.8571000000000009</v>
      </c>
      <c r="K534" s="162">
        <v>8.6999999999999993</v>
      </c>
      <c r="L534" s="163">
        <v>0</v>
      </c>
      <c r="M534" s="163">
        <v>0</v>
      </c>
      <c r="N534" s="161">
        <v>202.18860000000001</v>
      </c>
      <c r="O534" s="160">
        <v>1515126</v>
      </c>
    </row>
    <row r="535" spans="1:15" ht="12.75" customHeight="1" x14ac:dyDescent="0.35">
      <c r="B535" s="171" t="s">
        <v>41</v>
      </c>
      <c r="C535" s="172">
        <v>2016</v>
      </c>
      <c r="D535" s="173">
        <v>19.77</v>
      </c>
      <c r="E535" s="173">
        <v>3.85</v>
      </c>
      <c r="F535" s="174">
        <v>286</v>
      </c>
      <c r="G535" s="175">
        <v>5.7137000000000002</v>
      </c>
      <c r="H535" s="175">
        <v>4.0774999999999997</v>
      </c>
      <c r="I535" s="174">
        <v>20605</v>
      </c>
      <c r="J535" s="175">
        <v>9.9332999999999991</v>
      </c>
      <c r="K535" s="176">
        <v>11.5</v>
      </c>
      <c r="L535" s="177">
        <v>0</v>
      </c>
      <c r="M535" s="177">
        <v>0</v>
      </c>
      <c r="N535" s="175">
        <v>202.18860000000001</v>
      </c>
      <c r="O535" s="174">
        <v>1532902</v>
      </c>
    </row>
    <row r="536" spans="1:15" ht="12.75" customHeight="1" x14ac:dyDescent="0.35">
      <c r="B536" s="178" t="s">
        <v>41</v>
      </c>
      <c r="C536" s="179">
        <v>2017</v>
      </c>
      <c r="D536" s="180">
        <v>20.71</v>
      </c>
      <c r="E536" s="180">
        <v>3.74</v>
      </c>
      <c r="F536" s="181">
        <v>344</v>
      </c>
      <c r="G536" s="182">
        <v>5.7713999999999999</v>
      </c>
      <c r="H536" s="182">
        <v>4.0603999999999996</v>
      </c>
      <c r="I536" s="181">
        <v>22002</v>
      </c>
      <c r="J536" s="182">
        <v>9.9989000000000008</v>
      </c>
      <c r="K536" s="183">
        <v>11.7</v>
      </c>
      <c r="L536" s="184">
        <v>0</v>
      </c>
      <c r="M536" s="184">
        <v>0</v>
      </c>
      <c r="N536" s="182">
        <v>202.18860000000001</v>
      </c>
      <c r="O536" s="181">
        <v>1550194</v>
      </c>
    </row>
    <row r="537" spans="1:15" ht="12.75" customHeight="1" x14ac:dyDescent="0.35">
      <c r="B537" s="171" t="s">
        <v>41</v>
      </c>
      <c r="C537" s="172">
        <v>2018</v>
      </c>
      <c r="D537" s="173">
        <v>19.739999999999998</v>
      </c>
      <c r="E537" s="173">
        <v>6.62</v>
      </c>
      <c r="F537" s="174">
        <v>447</v>
      </c>
      <c r="G537" s="175">
        <v>5.7267999999999999</v>
      </c>
      <c r="H537" s="175">
        <v>4.6346999999999996</v>
      </c>
      <c r="I537" s="174">
        <v>22933</v>
      </c>
      <c r="J537" s="175">
        <v>10.0403</v>
      </c>
      <c r="K537" s="176">
        <v>10.7</v>
      </c>
      <c r="L537" s="177">
        <v>0</v>
      </c>
      <c r="M537" s="177">
        <v>0</v>
      </c>
      <c r="N537" s="175">
        <v>202.18860000000001</v>
      </c>
      <c r="O537" s="174">
        <v>1555229</v>
      </c>
    </row>
    <row r="538" spans="1:15" ht="12.75" customHeight="1" x14ac:dyDescent="0.35">
      <c r="B538" s="178" t="s">
        <v>41</v>
      </c>
      <c r="C538" s="179">
        <v>2019</v>
      </c>
      <c r="D538" s="180">
        <v>15.7</v>
      </c>
      <c r="E538" s="180">
        <v>27.47</v>
      </c>
      <c r="F538" s="181">
        <v>879</v>
      </c>
      <c r="G538" s="182">
        <v>5.5094000000000003</v>
      </c>
      <c r="H538" s="182">
        <v>6.0683999999999996</v>
      </c>
      <c r="I538" s="181">
        <v>25022</v>
      </c>
      <c r="J538" s="182">
        <v>10.1275</v>
      </c>
      <c r="K538" s="183">
        <v>11</v>
      </c>
      <c r="L538" s="184">
        <v>0</v>
      </c>
      <c r="M538" s="184">
        <v>0</v>
      </c>
      <c r="N538" s="182">
        <v>202.18860000000001</v>
      </c>
      <c r="O538" s="181">
        <v>1572866</v>
      </c>
    </row>
    <row r="539" spans="1:15" ht="12.75" customHeight="1" x14ac:dyDescent="0.35">
      <c r="B539" s="171" t="s">
        <v>41</v>
      </c>
      <c r="C539" s="172">
        <v>2020</v>
      </c>
      <c r="D539" s="173">
        <v>17.29</v>
      </c>
      <c r="E539" s="173">
        <v>47.35</v>
      </c>
      <c r="F539" s="174">
        <v>1632</v>
      </c>
      <c r="G539" s="175">
        <v>5.6167999999999996</v>
      </c>
      <c r="H539" s="175">
        <v>6.6241000000000003</v>
      </c>
      <c r="I539" s="174">
        <v>27448</v>
      </c>
      <c r="J539" s="175">
        <v>10.220000000000001</v>
      </c>
      <c r="K539" s="176">
        <v>12.1</v>
      </c>
      <c r="L539" s="177">
        <v>0</v>
      </c>
      <c r="M539" s="177">
        <v>1</v>
      </c>
      <c r="N539" s="175">
        <v>202.18860000000001</v>
      </c>
      <c r="O539" s="174">
        <v>1590248</v>
      </c>
    </row>
    <row r="540" spans="1:15" ht="12.75" customHeight="1" x14ac:dyDescent="0.35">
      <c r="B540" s="178" t="s">
        <v>41</v>
      </c>
      <c r="C540" s="179">
        <v>2021</v>
      </c>
      <c r="D540" s="180">
        <v>15.62</v>
      </c>
      <c r="E540" s="180">
        <v>100.91</v>
      </c>
      <c r="F540" s="181">
        <v>3254</v>
      </c>
      <c r="G540" s="182">
        <v>5.5255000000000001</v>
      </c>
      <c r="H540" s="182">
        <v>7.3914</v>
      </c>
      <c r="I540" s="181">
        <v>32215</v>
      </c>
      <c r="J540" s="182">
        <v>10.3802</v>
      </c>
      <c r="K540" s="183">
        <v>13.4</v>
      </c>
      <c r="L540" s="184">
        <v>0</v>
      </c>
      <c r="M540" s="184">
        <v>1</v>
      </c>
      <c r="N540" s="182">
        <v>202.18860000000001</v>
      </c>
      <c r="O540" s="181">
        <v>1607363</v>
      </c>
    </row>
    <row r="541" spans="1:15" ht="12.75" customHeight="1" x14ac:dyDescent="0.35">
      <c r="B541" s="171" t="s">
        <v>41</v>
      </c>
      <c r="C541" s="172">
        <v>2022</v>
      </c>
      <c r="D541" s="173">
        <v>16.41</v>
      </c>
      <c r="E541" s="173">
        <v>202.19</v>
      </c>
      <c r="F541" s="174">
        <v>6310</v>
      </c>
      <c r="G541" s="175">
        <v>5.5133999999999999</v>
      </c>
      <c r="H541" s="175">
        <v>8.0249000000000006</v>
      </c>
      <c r="I541" s="174">
        <v>38512</v>
      </c>
      <c r="J541" s="175">
        <v>10.5587</v>
      </c>
      <c r="K541" s="176">
        <v>6.4</v>
      </c>
      <c r="L541" s="177">
        <v>0</v>
      </c>
      <c r="M541" s="177">
        <v>0</v>
      </c>
      <c r="N541" s="175">
        <v>202.18860000000001</v>
      </c>
      <c r="O541" s="174">
        <v>1511460</v>
      </c>
    </row>
    <row r="542" spans="1:15" ht="12.75" customHeight="1" x14ac:dyDescent="0.35">
      <c r="B542" s="178" t="s">
        <v>41</v>
      </c>
      <c r="C542" s="179">
        <v>2023</v>
      </c>
      <c r="D542" s="180">
        <v>17.670000000000002</v>
      </c>
      <c r="E542" s="180">
        <v>0.33</v>
      </c>
      <c r="F542" s="181">
        <v>6315</v>
      </c>
      <c r="G542" s="182">
        <v>5.5872000000000002</v>
      </c>
      <c r="H542" s="182">
        <v>1.6093999999999999</v>
      </c>
      <c r="I542" s="181">
        <v>42553</v>
      </c>
      <c r="J542" s="182">
        <v>10.6585</v>
      </c>
      <c r="K542" s="183">
        <v>6.1</v>
      </c>
      <c r="L542" s="184">
        <v>1</v>
      </c>
      <c r="M542" s="184">
        <v>0</v>
      </c>
      <c r="N542" s="182">
        <v>202.18860000000001</v>
      </c>
      <c r="O542" s="181">
        <v>1511460</v>
      </c>
    </row>
    <row r="543" spans="1:15" ht="12.75" customHeight="1" x14ac:dyDescent="0.35">
      <c r="B543" s="171" t="s">
        <v>41</v>
      </c>
      <c r="C543" s="172">
        <v>2024</v>
      </c>
      <c r="D543" s="173">
        <v>8.6199999999999992</v>
      </c>
      <c r="E543" s="173">
        <v>41.34</v>
      </c>
      <c r="F543" s="174">
        <v>6967</v>
      </c>
      <c r="G543" s="175">
        <v>4.9127000000000001</v>
      </c>
      <c r="H543" s="175">
        <v>6.48</v>
      </c>
      <c r="I543" s="174">
        <v>45296</v>
      </c>
      <c r="J543" s="175">
        <v>10.721</v>
      </c>
      <c r="K543" s="176">
        <v>5.4</v>
      </c>
      <c r="L543" s="177">
        <v>1</v>
      </c>
      <c r="M543" s="177">
        <v>0</v>
      </c>
      <c r="N543" s="175">
        <v>202.18860000000001</v>
      </c>
      <c r="O543" s="174">
        <v>1577342</v>
      </c>
    </row>
    <row r="544" spans="1:15" ht="39.75" customHeight="1" x14ac:dyDescent="0.35">
      <c r="A544" s="197" t="s">
        <v>193</v>
      </c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</row>
  </sheetData>
  <mergeCells count="3">
    <mergeCell ref="A544:O544"/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CRs_por_UF_Ano</vt:lpstr>
      <vt:lpstr>Serie_Nacional</vt:lpstr>
      <vt:lpstr>Notas_Metodologicas</vt:lpstr>
      <vt:lpstr>Estoque_Total_UF</vt:lpstr>
      <vt:lpstr>Estoque_UsoRestrito_UF</vt:lpstr>
      <vt:lpstr>Estoque_UsoPermitido_UF</vt:lpstr>
      <vt:lpstr>Var_Tratamento_DiD</vt:lpstr>
      <vt:lpstr>Homicidios_ArmaFogo_UF</vt:lpstr>
      <vt:lpstr>PIB_UF_IBGE</vt:lpstr>
      <vt:lpstr>Populacao_UF</vt:lpstr>
      <vt:lpstr>PIB_PerCapita_UF</vt:lpstr>
      <vt:lpstr>Desemprego_UF</vt:lpstr>
      <vt:lpstr>Painel_Variaveis_Modelos</vt:lpstr>
      <vt:lpstr>painel</vt:lpstr>
      <vt:lpstr>dados_crs</vt:lpstr>
      <vt:lpstr>CRs_Expandido_2005_2025</vt:lpstr>
      <vt:lpstr>Homicidios_2005_2024</vt:lpstr>
      <vt:lpstr>Populacao_2005_2024</vt:lpstr>
      <vt:lpstr>Desemprego_2005_2024</vt:lpstr>
      <vt:lpstr>painel_expandido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Borges Griese</cp:lastModifiedBy>
  <cp:revision>0</cp:revision>
  <dcterms:created xsi:type="dcterms:W3CDTF">2026-07-12T16:56:50Z</dcterms:created>
  <dcterms:modified xsi:type="dcterms:W3CDTF">2026-07-19T20:09:33Z</dcterms:modified>
  <dc:language>en-US</dc:language>
</cp:coreProperties>
</file>