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7" activeTab="8" autoFilterDateGrouping="1"/>
  </bookViews>
  <sheets>
    <sheet xmlns:r="http://schemas.openxmlformats.org/officeDocument/2006/relationships" name="CRs_por_UF_Ano" sheetId="1" state="visible" r:id="rId1"/>
    <sheet xmlns:r="http://schemas.openxmlformats.org/officeDocument/2006/relationships" name="Serie_Nacional" sheetId="2" state="visible" r:id="rId2"/>
    <sheet xmlns:r="http://schemas.openxmlformats.org/officeDocument/2006/relationships" name="Notas_Metodologicas" sheetId="3" state="visible" r:id="rId3"/>
    <sheet xmlns:r="http://schemas.openxmlformats.org/officeDocument/2006/relationships" name="Estoque_Total_UF" sheetId="4" state="visible" r:id="rId4"/>
    <sheet xmlns:r="http://schemas.openxmlformats.org/officeDocument/2006/relationships" name="Estoque_UsoRestrito_UF" sheetId="5" state="visible" r:id="rId5"/>
    <sheet xmlns:r="http://schemas.openxmlformats.org/officeDocument/2006/relationships" name="Estoque_UsoPermitido_UF" sheetId="6" state="visible" r:id="rId6"/>
    <sheet xmlns:r="http://schemas.openxmlformats.org/officeDocument/2006/relationships" name="Var_Tratamento_DiD" sheetId="7" state="visible" r:id="rId7"/>
    <sheet xmlns:r="http://schemas.openxmlformats.org/officeDocument/2006/relationships" name="Homicidios_ArmaFogo_UF" sheetId="8" state="visible" r:id="rId8"/>
    <sheet xmlns:r="http://schemas.openxmlformats.org/officeDocument/2006/relationships" name="PIB_UF_IBGE" sheetId="9" state="visible" r:id="rId9"/>
    <sheet xmlns:r="http://schemas.openxmlformats.org/officeDocument/2006/relationships" name="Populacao_UF" sheetId="10" state="visible" r:id="rId10"/>
    <sheet xmlns:r="http://schemas.openxmlformats.org/officeDocument/2006/relationships" name="PIB_PerCapita_UF" sheetId="11" state="visible" r:id="rId11"/>
    <sheet xmlns:r="http://schemas.openxmlformats.org/officeDocument/2006/relationships" name="Desemprego_UF" sheetId="12" state="visible" r:id="rId12"/>
    <sheet xmlns:r="http://schemas.openxmlformats.org/officeDocument/2006/relationships" name="Painel_Variaveis_Modelos" sheetId="13" state="visible" r:id="rId13"/>
    <sheet xmlns:r="http://schemas.openxmlformats.org/officeDocument/2006/relationships" name="painel" sheetId="14" state="visible" r:id="rId14"/>
    <sheet xmlns:r="http://schemas.openxmlformats.org/officeDocument/2006/relationships" name="dados_crs" sheetId="15" state="visible" r:id="rId15"/>
    <sheet xmlns:r="http://schemas.openxmlformats.org/officeDocument/2006/relationships" name="CRs_Expandido_2005_2025" sheetId="16" state="visible" r:id="rId16"/>
    <sheet xmlns:r="http://schemas.openxmlformats.org/officeDocument/2006/relationships" name="Homicidios_2005_2024" sheetId="17" state="visible" r:id="rId17"/>
    <sheet xmlns:r="http://schemas.openxmlformats.org/officeDocument/2006/relationships" name="Populacao_2005_2024" sheetId="18" state="visible" r:id="rId18"/>
    <sheet xmlns:r="http://schemas.openxmlformats.org/officeDocument/2006/relationships" name="Desemprego_2005_2024" sheetId="19" state="visible" r:id="rId19"/>
    <sheet xmlns:r="http://schemas.openxmlformats.org/officeDocument/2006/relationships" name="painel_expandido" sheetId="20" state="visible" r:id="rId2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.0"/>
    <numFmt numFmtId="167" formatCode="0.0000"/>
  </numFmts>
  <fonts count="26">
    <font>
      <name val="Calibri"/>
      <charset val="1"/>
      <family val="2"/>
      <color theme="1"/>
      <sz val="11"/>
    </font>
    <font>
      <name val="Times New Roman"/>
      <charset val="1"/>
      <b val="1"/>
      <color rgb="FFFFFFFF"/>
      <sz val="12"/>
    </font>
    <font>
      <name val="Times New Roman"/>
      <charset val="1"/>
      <i val="1"/>
      <color rgb="FF7F6000"/>
      <sz val="9"/>
    </font>
    <font>
      <name val="Times New Roman"/>
      <charset val="1"/>
      <b val="1"/>
      <color rgb="FFFFFFFF"/>
      <sz val="10"/>
    </font>
    <font>
      <name val="Times New Roman"/>
      <charset val="1"/>
      <b val="1"/>
      <color rgb="FFFFFFFF"/>
      <sz val="9"/>
    </font>
    <font>
      <name val="Times New Roman"/>
      <charset val="1"/>
      <b val="1"/>
      <color rgb="FF1F4E79"/>
      <sz val="10"/>
    </font>
    <font>
      <name val="Times New Roman"/>
      <charset val="1"/>
      <color rgb="FF000000"/>
      <sz val="10"/>
    </font>
    <font>
      <name val="Times New Roman"/>
      <charset val="1"/>
      <color rgb="FF595959"/>
      <sz val="10"/>
    </font>
    <font>
      <name val="Times New Roman"/>
      <charset val="1"/>
      <b val="1"/>
      <color rgb="FF000000"/>
      <sz val="10"/>
    </font>
    <font>
      <name val="Times New Roman"/>
      <charset val="1"/>
      <sz val="10"/>
    </font>
    <font>
      <name val="Times New Roman"/>
      <charset val="1"/>
      <color rgb="FFC00000"/>
      <sz val="10"/>
    </font>
    <font>
      <name val="Times New Roman"/>
      <charset val="1"/>
      <i val="1"/>
      <color rgb="FF7F6000"/>
      <sz val="8"/>
    </font>
    <font>
      <name val="Times New Roman"/>
      <charset val="1"/>
      <color rgb="FFFFFFFF"/>
      <sz val="10"/>
    </font>
    <font>
      <name val="Times New Roman"/>
      <charset val="1"/>
      <i val="1"/>
      <color rgb="FF808080"/>
      <sz val="10"/>
    </font>
    <font>
      <name val="Times New Roman"/>
      <charset val="1"/>
      <i val="1"/>
      <color rgb="FFE26B0A"/>
      <sz val="10"/>
    </font>
    <font>
      <name val="Times New Roman"/>
      <charset val="1"/>
      <b val="1"/>
      <color rgb="FFFFFFFF"/>
      <sz val="11"/>
    </font>
    <font>
      <name val="Times New Roman"/>
      <charset val="1"/>
      <color rgb="FF000000"/>
      <sz val="9"/>
    </font>
    <font>
      <name val="Times New Roman"/>
      <charset val="1"/>
      <b val="1"/>
      <color rgb="FF1F4E79"/>
      <sz val="9"/>
    </font>
    <font>
      <name val="Times New Roman"/>
      <charset val="1"/>
      <i val="1"/>
      <color rgb="FF595959"/>
      <sz val="8"/>
    </font>
    <font>
      <name val="Times New Roman"/>
      <charset val="1"/>
      <b val="1"/>
      <i val="1"/>
      <color rgb="FF1F4E79"/>
      <sz val="9"/>
    </font>
    <font>
      <name val="Times New Roman"/>
      <charset val="1"/>
      <i val="1"/>
      <color rgb="FF000000"/>
      <sz val="9"/>
    </font>
    <font>
      <name val="Times New Roman"/>
      <charset val="1"/>
      <i val="1"/>
      <color rgb="FFE26B0A"/>
      <sz val="9"/>
    </font>
    <font>
      <name val="Times New Roman"/>
      <charset val="1"/>
      <b val="1"/>
      <color rgb="FF1F4E79"/>
      <sz val="8"/>
    </font>
    <font>
      <name val="Times New Roman"/>
      <charset val="1"/>
      <color rgb="FF000000"/>
      <sz val="8"/>
    </font>
    <font>
      <name val="Arial"/>
      <b val="1"/>
      <color rgb="00FFFFFF"/>
      <sz val="10"/>
    </font>
    <font>
      <name val="Arial"/>
      <sz val="10"/>
    </font>
  </fonts>
  <fills count="33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3E0"/>
      </patternFill>
    </fill>
    <fill>
      <patternFill patternType="solid">
        <fgColor rgb="FF2E75B6"/>
        <bgColor rgb="FF1F7391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8FFF8"/>
      </patternFill>
    </fill>
    <fill>
      <patternFill patternType="solid">
        <fgColor rgb="FFEEF4FB"/>
        <bgColor rgb="FFF0F5FF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0F7EE"/>
      </patternFill>
    </fill>
    <fill>
      <patternFill patternType="solid">
        <fgColor rgb="FFFCE4D6"/>
        <bgColor rgb="FFFFF2CC"/>
      </patternFill>
    </fill>
    <fill>
      <patternFill patternType="solid">
        <fgColor rgb="FF1F7391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FEF0EF"/>
        <bgColor rgb="FFFEF5F3"/>
      </patternFill>
    </fill>
    <fill>
      <patternFill patternType="solid">
        <fgColor rgb="FFE26B0A"/>
        <bgColor rgb="FF7F6000"/>
      </patternFill>
    </fill>
    <fill>
      <patternFill patternType="solid">
        <fgColor rgb="FFF0F7EE"/>
        <bgColor rgb="FFF2F2F2"/>
      </patternFill>
    </fill>
    <fill>
      <patternFill patternType="solid">
        <fgColor rgb="FFFEF5F3"/>
        <bgColor rgb="FFFFF5F5"/>
      </patternFill>
    </fill>
    <fill>
      <patternFill patternType="solid">
        <fgColor rgb="FF808080"/>
        <bgColor rgb="FF595959"/>
      </patternFill>
    </fill>
    <fill>
      <patternFill patternType="solid">
        <fgColor rgb="FFF2F2F2"/>
        <bgColor rgb="FFEEF4FB"/>
      </patternFill>
    </fill>
    <fill>
      <patternFill patternType="solid">
        <fgColor rgb="FFFFE0B2"/>
        <bgColor rgb="FFFCE4D6"/>
      </patternFill>
    </fill>
    <fill>
      <patternFill patternType="solid">
        <fgColor rgb="FFFFF3E0"/>
        <bgColor rgb="FFFEF0EF"/>
      </patternFill>
    </fill>
    <fill>
      <patternFill patternType="solid">
        <fgColor rgb="FFF0FFF0"/>
        <bgColor rgb="FFF5FFF5"/>
      </patternFill>
    </fill>
    <fill>
      <patternFill patternType="solid">
        <fgColor rgb="FFFFF5F5"/>
        <bgColor rgb="FFFEF5F3"/>
      </patternFill>
    </fill>
    <fill>
      <patternFill patternType="solid">
        <fgColor rgb="FFD6EAF8"/>
        <bgColor rgb="FFD6E4F0"/>
      </patternFill>
    </fill>
    <fill>
      <patternFill patternType="solid">
        <fgColor rgb="FFF8FFF8"/>
        <bgColor rgb="FFF5FFF5"/>
      </patternFill>
    </fill>
    <fill>
      <patternFill patternType="solid">
        <fgColor rgb="FFEAF5FB"/>
        <bgColor rgb="FFEEF4FB"/>
      </patternFill>
    </fill>
    <fill>
      <patternFill patternType="solid">
        <fgColor rgb="FFEDE7F6"/>
        <bgColor rgb="FFF2F2F2"/>
      </patternFill>
    </fill>
    <fill>
      <patternFill patternType="solid">
        <fgColor rgb="FFF0F5FF"/>
        <bgColor rgb="FFEEF4FB"/>
      </patternFill>
    </fill>
    <fill>
      <patternFill patternType="solid">
        <fgColor rgb="FFF5FFF5"/>
        <bgColor rgb="FFF8FFF8"/>
      </patternFill>
    </fill>
    <fill>
      <patternFill patternType="solid">
        <fgColor rgb="FFF5FDFF"/>
        <bgColor rgb="FFF8FFF8"/>
      </patternFill>
    </fill>
    <fill>
      <patternFill patternType="solid">
        <fgColor rgb="FF7F3F00"/>
        <bgColor rgb="FF7F6000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 wrapText="1"/>
    </xf>
    <xf numFmtId="3" fontId="5" fillId="8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right" vertical="center" wrapText="1"/>
    </xf>
    <xf numFmtId="164" fontId="3" fillId="5" borderId="2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right" vertical="center" wrapText="1"/>
    </xf>
    <xf numFmtId="164" fontId="6" fillId="7" borderId="1" applyAlignment="1" pivotButton="0" quotePrefix="0" xfId="0">
      <alignment horizontal="right" vertical="center" wrapText="1"/>
    </xf>
    <xf numFmtId="164" fontId="6" fillId="6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164" fontId="3" fillId="9" borderId="1" applyAlignment="1" pivotButton="0" quotePrefix="0" xfId="0">
      <alignment horizontal="right" vertical="center" wrapText="1"/>
    </xf>
    <xf numFmtId="3" fontId="6" fillId="3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 wrapText="1"/>
    </xf>
    <xf numFmtId="164" fontId="6" fillId="10" borderId="1" applyAlignment="1" pivotButton="0" quotePrefix="0" xfId="0">
      <alignment horizontal="right" vertical="center" wrapText="1"/>
    </xf>
    <xf numFmtId="3" fontId="6" fillId="10" borderId="1" applyAlignment="1" pivotButton="0" quotePrefix="0" xfId="0">
      <alignment horizontal="right" vertical="center" wrapText="1"/>
    </xf>
    <xf numFmtId="0" fontId="8" fillId="11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right" vertical="center" wrapText="1"/>
    </xf>
    <xf numFmtId="3" fontId="6" fillId="11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right" vertical="center" wrapText="1"/>
    </xf>
    <xf numFmtId="164" fontId="10" fillId="14" borderId="1" applyAlignment="1" pivotButton="0" quotePrefix="0" xfId="0">
      <alignment horizontal="right" vertical="center" wrapText="1"/>
    </xf>
    <xf numFmtId="164" fontId="3" fillId="2" borderId="2" applyAlignment="1" pivotButton="0" quotePrefix="0" xfId="0">
      <alignment horizontal="right" vertical="center" wrapText="1"/>
    </xf>
    <xf numFmtId="0" fontId="11" fillId="3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 wrapText="1"/>
    </xf>
    <xf numFmtId="164" fontId="12" fillId="5" borderId="1" applyAlignment="1" pivotButton="0" quotePrefix="0" xfId="0">
      <alignment horizontal="right" vertical="center" wrapText="1"/>
    </xf>
    <xf numFmtId="164" fontId="8" fillId="11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right" vertical="center" wrapText="1"/>
    </xf>
    <xf numFmtId="164" fontId="8" fillId="10" borderId="1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5" fontId="3" fillId="15" borderId="1" applyAlignment="1" pivotButton="0" quotePrefix="0" xfId="0">
      <alignment horizontal="right" vertical="center" wrapText="1"/>
    </xf>
    <xf numFmtId="3" fontId="6" fillId="16" borderId="1" applyAlignment="1" pivotButton="0" quotePrefix="0" xfId="0">
      <alignment horizontal="right" vertical="center" wrapText="1"/>
    </xf>
    <xf numFmtId="3" fontId="6" fillId="17" borderId="1" applyAlignment="1" pivotButton="0" quotePrefix="0" xfId="0">
      <alignment horizontal="right" vertical="center" wrapText="1"/>
    </xf>
    <xf numFmtId="165" fontId="3" fillId="5" borderId="1" applyAlignment="1" pivotButton="0" quotePrefix="0" xfId="0">
      <alignment horizontal="right" vertical="center" wrapText="1"/>
    </xf>
    <xf numFmtId="165" fontId="3" fillId="12" borderId="1" applyAlignment="1" pivotButton="0" quotePrefix="0" xfId="0">
      <alignment horizontal="right" vertical="center" wrapText="1"/>
    </xf>
    <xf numFmtId="165" fontId="3" fillId="2" borderId="2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right" vertical="center" wrapText="1"/>
    </xf>
    <xf numFmtId="166" fontId="6" fillId="10" borderId="1" applyAlignment="1" pivotButton="0" quotePrefix="0" xfId="0">
      <alignment horizontal="right" vertical="center" wrapText="1"/>
    </xf>
    <xf numFmtId="166" fontId="6" fillId="11" borderId="1" applyAlignment="1" pivotButton="0" quotePrefix="0" xfId="0">
      <alignment horizontal="right" vertical="center" wrapText="1"/>
    </xf>
    <xf numFmtId="166" fontId="13" fillId="19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  <xf numFmtId="166" fontId="14" fillId="20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 wrapText="1"/>
    </xf>
    <xf numFmtId="166" fontId="6" fillId="16" borderId="1" applyAlignment="1" pivotButton="0" quotePrefix="0" xfId="0">
      <alignment horizontal="right" vertical="center" wrapText="1"/>
    </xf>
    <xf numFmtId="166" fontId="6" fillId="17" borderId="1" applyAlignment="1" pivotButton="0" quotePrefix="0" xfId="0">
      <alignment horizontal="right" vertical="center" wrapText="1"/>
    </xf>
    <xf numFmtId="166" fontId="14" fillId="21" borderId="1" applyAlignment="1" pivotButton="0" quotePrefix="0" xfId="0">
      <alignment horizontal="right" vertical="center"/>
    </xf>
    <xf numFmtId="166" fontId="3" fillId="2" borderId="2" applyAlignment="1" pivotButton="0" quotePrefix="0" xfId="0">
      <alignment horizontal="right" vertical="center" wrapText="1"/>
    </xf>
    <xf numFmtId="3" fontId="16" fillId="6" borderId="1" applyAlignment="1" pivotButton="0" quotePrefix="0" xfId="0">
      <alignment horizontal="right" vertical="center"/>
    </xf>
    <xf numFmtId="3" fontId="16" fillId="10" borderId="1" applyAlignment="1" pivotButton="0" quotePrefix="0" xfId="0">
      <alignment horizontal="right" vertical="center"/>
    </xf>
    <xf numFmtId="3" fontId="16" fillId="11" borderId="1" applyAlignment="1" pivotButton="0" quotePrefix="0" xfId="0">
      <alignment horizontal="right" vertical="center"/>
    </xf>
    <xf numFmtId="3" fontId="16" fillId="7" borderId="1" applyAlignment="1" pivotButton="0" quotePrefix="0" xfId="0">
      <alignment horizontal="right" vertical="center"/>
    </xf>
    <xf numFmtId="3" fontId="16" fillId="22" borderId="1" applyAlignment="1" pivotButton="0" quotePrefix="0" xfId="0">
      <alignment horizontal="right" vertical="center"/>
    </xf>
    <xf numFmtId="3" fontId="16" fillId="23" borderId="1" applyAlignment="1" pivotButton="0" quotePrefix="0" xfId="0">
      <alignment horizontal="right" vertical="center"/>
    </xf>
    <xf numFmtId="3" fontId="14" fillId="20" borderId="1" applyAlignment="1" pivotButton="0" quotePrefix="0" xfId="0">
      <alignment horizontal="right" vertical="center"/>
    </xf>
    <xf numFmtId="3" fontId="14" fillId="21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 wrapText="1"/>
    </xf>
    <xf numFmtId="165" fontId="16" fillId="6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right" vertical="center"/>
    </xf>
    <xf numFmtId="165" fontId="16" fillId="10" borderId="1" applyAlignment="1" pivotButton="0" quotePrefix="0" xfId="0">
      <alignment horizontal="right" vertical="center"/>
    </xf>
    <xf numFmtId="165" fontId="16" fillId="11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 vertical="center"/>
    </xf>
    <xf numFmtId="165" fontId="16" fillId="22" borderId="1" applyAlignment="1" pivotButton="0" quotePrefix="0" xfId="0">
      <alignment horizontal="right" vertical="center"/>
    </xf>
    <xf numFmtId="165" fontId="16" fillId="2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2" fontId="16" fillId="11" borderId="1" applyAlignment="1" pivotButton="0" quotePrefix="0" xfId="0">
      <alignment horizontal="right" vertical="center"/>
    </xf>
    <xf numFmtId="2" fontId="16" fillId="6" borderId="1" applyAlignment="1" pivotButton="0" quotePrefix="0" xfId="0">
      <alignment horizontal="right" vertical="center"/>
    </xf>
    <xf numFmtId="167" fontId="16" fillId="11" borderId="1" applyAlignment="1" pivotButton="0" quotePrefix="0" xfId="0">
      <alignment horizontal="right" vertical="center"/>
    </xf>
    <xf numFmtId="167" fontId="16" fillId="6" borderId="1" applyAlignment="1" pivotButton="0" quotePrefix="0" xfId="0">
      <alignment horizontal="right" vertical="center"/>
    </xf>
    <xf numFmtId="167" fontId="16" fillId="10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right" vertical="center"/>
    </xf>
    <xf numFmtId="167" fontId="16" fillId="24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2" fontId="16" fillId="23" borderId="1" applyAlignment="1" pivotButton="0" quotePrefix="0" xfId="0">
      <alignment horizontal="right" vertical="center"/>
    </xf>
    <xf numFmtId="2" fontId="16" fillId="7" borderId="1" applyAlignment="1" pivotButton="0" quotePrefix="0" xfId="0">
      <alignment horizontal="right" vertical="center"/>
    </xf>
    <xf numFmtId="167" fontId="16" fillId="23" borderId="1" applyAlignment="1" pivotButton="0" quotePrefix="0" xfId="0">
      <alignment horizontal="right" vertical="center"/>
    </xf>
    <xf numFmtId="167" fontId="16" fillId="7" borderId="1" applyAlignment="1" pivotButton="0" quotePrefix="0" xfId="0">
      <alignment horizontal="right" vertical="center"/>
    </xf>
    <xf numFmtId="3" fontId="16" fillId="25" borderId="1" applyAlignment="1" pivotButton="0" quotePrefix="0" xfId="0">
      <alignment horizontal="right" vertical="center"/>
    </xf>
    <xf numFmtId="167" fontId="16" fillId="25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right" vertical="center"/>
    </xf>
    <xf numFmtId="167" fontId="16" fillId="26" borderId="1" applyAlignment="1" pivotButton="0" quotePrefix="0" xfId="0">
      <alignment horizontal="right" vertical="center"/>
    </xf>
    <xf numFmtId="0" fontId="16" fillId="20" borderId="1" applyAlignment="1" pivotButton="0" quotePrefix="0" xfId="0">
      <alignment horizontal="right" vertical="center"/>
    </xf>
    <xf numFmtId="0" fontId="16" fillId="27" borderId="1" applyAlignment="1" pivotButton="0" quotePrefix="0" xfId="0">
      <alignment horizontal="right" vertical="center"/>
    </xf>
    <xf numFmtId="0" fontId="18" fillId="1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6" fillId="24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2" fontId="16" fillId="28" borderId="1" applyAlignment="1" pivotButton="0" quotePrefix="0" xfId="0">
      <alignment horizontal="right" vertical="center"/>
    </xf>
    <xf numFmtId="167" fontId="16" fillId="28" borderId="1" applyAlignment="1" pivotButton="0" quotePrefix="0" xfId="0">
      <alignment horizontal="right" vertical="center"/>
    </xf>
    <xf numFmtId="3" fontId="16" fillId="29" borderId="1" applyAlignment="1" pivotButton="0" quotePrefix="0" xfId="0">
      <alignment horizontal="right" vertical="center"/>
    </xf>
    <xf numFmtId="167" fontId="16" fillId="29" borderId="1" applyAlignment="1" pivotButton="0" quotePrefix="0" xfId="0">
      <alignment horizontal="right" vertical="center"/>
    </xf>
    <xf numFmtId="3" fontId="16" fillId="26" borderId="1" applyAlignment="1" pivotButton="0" quotePrefix="0" xfId="0">
      <alignment horizontal="right" vertical="center"/>
    </xf>
    <xf numFmtId="0" fontId="16" fillId="20" borderId="1" applyAlignment="1" pivotButton="0" quotePrefix="0" xfId="0">
      <alignment horizontal="center" vertical="center"/>
    </xf>
    <xf numFmtId="0" fontId="16" fillId="27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3" fontId="20" fillId="20" borderId="1" applyAlignment="1" pivotButton="0" quotePrefix="0" xfId="0">
      <alignment horizontal="right" vertical="center"/>
    </xf>
    <xf numFmtId="0" fontId="19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center" vertical="center"/>
    </xf>
    <xf numFmtId="2" fontId="20" fillId="21" borderId="1" applyAlignment="1" pivotButton="0" quotePrefix="0" xfId="0">
      <alignment horizontal="right" vertical="center"/>
    </xf>
    <xf numFmtId="167" fontId="20" fillId="21" borderId="1" applyAlignment="1" pivotButton="0" quotePrefix="0" xfId="0">
      <alignment horizontal="right" vertical="center"/>
    </xf>
    <xf numFmtId="3" fontId="21" fillId="21" borderId="1" applyAlignment="1" pivotButton="0" quotePrefix="0" xfId="0">
      <alignment horizontal="right" vertical="center"/>
    </xf>
    <xf numFmtId="167" fontId="21" fillId="21" borderId="1" applyAlignment="1" pivotButton="0" quotePrefix="0" xfId="0">
      <alignment horizontal="right" vertical="center"/>
    </xf>
    <xf numFmtId="165" fontId="20" fillId="21" borderId="1" applyAlignment="1" pivotButton="0" quotePrefix="0" xfId="0">
      <alignment horizontal="right" vertical="center"/>
    </xf>
    <xf numFmtId="0" fontId="20" fillId="21" borderId="1" applyAlignment="1" pivotButton="0" quotePrefix="0" xfId="0">
      <alignment horizontal="right" vertical="center"/>
    </xf>
    <xf numFmtId="3" fontId="20" fillId="21" borderId="1" applyAlignment="1" pivotButton="0" quotePrefix="0" xfId="0">
      <alignment horizontal="right" vertical="center"/>
    </xf>
    <xf numFmtId="0" fontId="20" fillId="20" borderId="1" applyAlignment="1" pivotButton="0" quotePrefix="0" xfId="0">
      <alignment horizontal="center" vertical="center"/>
    </xf>
    <xf numFmtId="2" fontId="20" fillId="20" borderId="1" applyAlignment="1" pivotButton="0" quotePrefix="0" xfId="0">
      <alignment horizontal="right" vertical="center"/>
    </xf>
    <xf numFmtId="167" fontId="20" fillId="20" borderId="1" applyAlignment="1" pivotButton="0" quotePrefix="0" xfId="0">
      <alignment horizontal="right" vertical="center"/>
    </xf>
    <xf numFmtId="3" fontId="21" fillId="20" borderId="1" applyAlignment="1" pivotButton="0" quotePrefix="0" xfId="0">
      <alignment horizontal="right" vertical="center"/>
    </xf>
    <xf numFmtId="167" fontId="21" fillId="20" borderId="1" applyAlignment="1" pivotButton="0" quotePrefix="0" xfId="0">
      <alignment horizontal="right" vertical="center"/>
    </xf>
    <xf numFmtId="165" fontId="20" fillId="20" borderId="1" applyAlignment="1" pivotButton="0" quotePrefix="0" xfId="0">
      <alignment horizontal="right" vertical="center"/>
    </xf>
    <xf numFmtId="0" fontId="20" fillId="2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16" fillId="3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165" fontId="16" fillId="26" borderId="1" applyAlignment="1" pivotButton="0" quotePrefix="0" xfId="0">
      <alignment horizontal="right" vertical="center"/>
    </xf>
    <xf numFmtId="165" fontId="16" fillId="30" borderId="1" applyAlignment="1" pivotButton="0" quotePrefix="0" xfId="0">
      <alignment horizontal="right" vertical="center"/>
    </xf>
    <xf numFmtId="0" fontId="22" fillId="26" borderId="1" applyAlignment="1" pivotButton="0" quotePrefix="0" xfId="0">
      <alignment horizontal="center" vertical="center"/>
    </xf>
    <xf numFmtId="0" fontId="23" fillId="26" borderId="1" applyAlignment="1" pivotButton="0" quotePrefix="0" xfId="0">
      <alignment horizontal="center" vertical="center"/>
    </xf>
    <xf numFmtId="2" fontId="23" fillId="26" borderId="1" applyAlignment="1" pivotButton="0" quotePrefix="0" xfId="0">
      <alignment horizontal="right" vertical="center"/>
    </xf>
    <xf numFmtId="3" fontId="23" fillId="26" borderId="1" applyAlignment="1" pivotButton="0" quotePrefix="0" xfId="0">
      <alignment horizontal="right" vertical="center"/>
    </xf>
    <xf numFmtId="167" fontId="23" fillId="26" borderId="1" applyAlignment="1" pivotButton="0" quotePrefix="0" xfId="0">
      <alignment horizontal="right" vertical="center"/>
    </xf>
    <xf numFmtId="165" fontId="23" fillId="26" borderId="1" applyAlignment="1" pivotButton="0" quotePrefix="0" xfId="0">
      <alignment horizontal="right" vertical="center"/>
    </xf>
    <xf numFmtId="0" fontId="23" fillId="26" borderId="1" applyAlignment="1" pivotButton="0" quotePrefix="0" xfId="0">
      <alignment horizontal="right" vertical="center"/>
    </xf>
    <xf numFmtId="0" fontId="22" fillId="30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2" fontId="23" fillId="30" borderId="1" applyAlignment="1" pivotButton="0" quotePrefix="0" xfId="0">
      <alignment horizontal="right" vertical="center"/>
    </xf>
    <xf numFmtId="3" fontId="23" fillId="30" borderId="1" applyAlignment="1" pivotButton="0" quotePrefix="0" xfId="0">
      <alignment horizontal="right" vertical="center"/>
    </xf>
    <xf numFmtId="167" fontId="23" fillId="30" borderId="1" applyAlignment="1" pivotButton="0" quotePrefix="0" xfId="0">
      <alignment horizontal="right" vertical="center"/>
    </xf>
    <xf numFmtId="165" fontId="23" fillId="30" borderId="1" applyAlignment="1" pivotButton="0" quotePrefix="0" xfId="0">
      <alignment horizontal="right" vertical="center"/>
    </xf>
    <xf numFmtId="0" fontId="23" fillId="30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2" fontId="23" fillId="7" borderId="1" applyAlignment="1" pivotButton="0" quotePrefix="0" xfId="0">
      <alignment horizontal="right" vertical="center"/>
    </xf>
    <xf numFmtId="3" fontId="23" fillId="7" borderId="1" applyAlignment="1" pivotButton="0" quotePrefix="0" xfId="0">
      <alignment horizontal="right" vertical="center"/>
    </xf>
    <xf numFmtId="167" fontId="23" fillId="7" borderId="1" applyAlignment="1" pivotButton="0" quotePrefix="0" xfId="0">
      <alignment horizontal="right" vertical="center"/>
    </xf>
    <xf numFmtId="165" fontId="23" fillId="7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2" fontId="23" fillId="6" borderId="1" applyAlignment="1" pivotButton="0" quotePrefix="0" xfId="0">
      <alignment horizontal="right" vertical="center"/>
    </xf>
    <xf numFmtId="3" fontId="23" fillId="6" borderId="1" applyAlignment="1" pivotButton="0" quotePrefix="0" xfId="0">
      <alignment horizontal="right" vertical="center"/>
    </xf>
    <xf numFmtId="167" fontId="23" fillId="6" borderId="1" applyAlignment="1" pivotButton="0" quotePrefix="0" xfId="0">
      <alignment horizontal="right" vertical="center"/>
    </xf>
    <xf numFmtId="165" fontId="23" fillId="6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5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wrapText="1"/>
    </xf>
    <xf numFmtId="0" fontId="11" fillId="3" borderId="0" applyAlignment="1" pivotButton="0" quotePrefix="0" xfId="0">
      <alignment horizontal="left"/>
    </xf>
    <xf numFmtId="0" fontId="15" fillId="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 wrapText="1"/>
    </xf>
    <xf numFmtId="3" fontId="25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0F7EE"/>
      <rgbColor rgb="FFFF00FF"/>
      <rgbColor rgb="FFF8FFF8"/>
      <rgbColor rgb="FF800000"/>
      <rgbColor rgb="FF008000"/>
      <rgbColor rgb="FF000080"/>
      <rgbColor rgb="FF7F6000"/>
      <rgbColor rgb="FF800080"/>
      <rgbColor rgb="FF1F7391"/>
      <rgbColor rgb="FFCCCCCC"/>
      <rgbColor rgb="FF808080"/>
      <rgbColor rgb="FFEEF4FB"/>
      <rgbColor rgb="FF7030A0"/>
      <rgbColor rgb="FFFFF2CC"/>
      <rgbColor rgb="FFD6EAF8"/>
      <rgbColor rgb="FF660066"/>
      <rgbColor rgb="FFFEF5F3"/>
      <rgbColor rgb="FF0066CC"/>
      <rgbColor rgb="FFD6E4F0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AF5FB"/>
      <rgbColor rgb="FFE2EFDA"/>
      <rgbColor rgb="FFFFF3E0"/>
      <rgbColor rgb="FFEDE7F6"/>
      <rgbColor rgb="FFFCE4D6"/>
      <rgbColor rgb="FFF2F2F2"/>
      <rgbColor rgb="FFFFE0B2"/>
      <rgbColor rgb="FF2E75B6"/>
      <rgbColor rgb="FFF5FDFF"/>
      <rgbColor rgb="FFF5FFF5"/>
      <rgbColor rgb="FFFEF0EF"/>
      <rgbColor rgb="FFFFF5F5"/>
      <rgbColor rgb="FFE26B0A"/>
      <rgbColor rgb="FF595959"/>
      <rgbColor rgb="FFF0F5FF"/>
      <rgbColor rgb="FF003366"/>
      <rgbColor rgb="FF339966"/>
      <rgbColor rgb="FF003300"/>
      <rgbColor rgb="FF333300"/>
      <rgbColor rgb="FF7F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Pedro Griese</author>
  </authors>
  <commentList>
    <comment ref="P3" authorId="0" shapeId="0">
      <text>
        <t>Óbitos arma de fogo (X93–X95) — contagem abs. SIM/DATASUS</t>
      </text>
    </comment>
    <comment ref="Q3" authorId="0" shapeId="0">
      <text>
        <t>Óbitos causas externas Cap. XX — contagem abs. SIM/DATASUS</t>
      </text>
    </comment>
    <comment ref="R3" authorId="0" shapeId="0">
      <text>
        <t>Óbitos causas externas NÃO arma de fogo (placebo) = XX−(X93:X95)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N2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0" customWidth="1" style="186" min="3" max="12"/>
    <col width="12" customWidth="1" style="186" min="13" max="13"/>
    <col width="14" customWidth="1" style="186" min="14" max="14"/>
  </cols>
  <sheetData>
    <row r="1" ht="21.75" customHeight="1" s="186">
      <c r="B1" s="185" t="inlineStr">
        <is>
          <t>Certificados de Registro CAC por Unidade Federativa e Ano (2016–2025)</t>
        </is>
      </c>
    </row>
    <row r="2" ht="12.75" customHeight="1" s="186">
      <c r="B2" s="187" t="inlineStr">
        <is>
          <t>Fonte: Exército Brasileiro / Polícia Federal — Dashboard SINARM/CAC (extração: jul/2025)</t>
        </is>
      </c>
    </row>
    <row r="3" ht="21.75" customHeight="1" s="186">
      <c r="B3" s="1" t="inlineStr">
        <is>
          <t>UF</t>
        </is>
      </c>
      <c r="C3" s="2" t="inlineStr">
        <is>
          <t>2016</t>
        </is>
      </c>
      <c r="D3" s="2" t="inlineStr">
        <is>
          <t>2017</t>
        </is>
      </c>
      <c r="E3" s="2" t="inlineStr">
        <is>
          <t>2018</t>
        </is>
      </c>
      <c r="F3" s="2" t="inlineStr">
        <is>
          <t>2019</t>
        </is>
      </c>
      <c r="G3" s="2" t="inlineStr">
        <is>
          <t>2020</t>
        </is>
      </c>
      <c r="H3" s="2" t="inlineStr">
        <is>
          <t>2021</t>
        </is>
      </c>
      <c r="I3" s="2" t="inlineStr">
        <is>
          <t>2022</t>
        </is>
      </c>
      <c r="J3" s="2" t="inlineStr">
        <is>
          <t>2023</t>
        </is>
      </c>
      <c r="K3" s="2" t="inlineStr">
        <is>
          <t>2024</t>
        </is>
      </c>
      <c r="L3" s="2" t="inlineStr">
        <is>
          <t>2025</t>
        </is>
      </c>
      <c r="M3" s="1" t="inlineStr">
        <is>
          <t>TOTAL</t>
        </is>
      </c>
      <c r="N3" s="3" t="inlineStr">
        <is>
          <t>Var% 22→23</t>
        </is>
      </c>
    </row>
    <row r="4" ht="15.75" customHeight="1" s="186">
      <c r="B4" s="4" t="inlineStr">
        <is>
          <t>AC</t>
        </is>
      </c>
      <c r="C4" s="5" t="n">
        <v>10</v>
      </c>
      <c r="D4" s="5" t="n">
        <v>23</v>
      </c>
      <c r="E4" s="5" t="n">
        <v>66</v>
      </c>
      <c r="F4" s="5" t="n">
        <v>159</v>
      </c>
      <c r="G4" s="5" t="n">
        <v>337</v>
      </c>
      <c r="H4" s="5" t="n">
        <v>544</v>
      </c>
      <c r="I4" s="5" t="n">
        <v>605</v>
      </c>
      <c r="J4" s="5" t="n">
        <v>1</v>
      </c>
      <c r="K4" s="5" t="n">
        <v>39</v>
      </c>
      <c r="L4" s="5" t="n">
        <v>99</v>
      </c>
      <c r="M4" s="6">
        <f>SUM(C4:L4)</f>
        <v/>
      </c>
      <c r="N4" s="7">
        <f>(J4-I4)/I4</f>
        <v/>
      </c>
    </row>
    <row r="5" ht="15.75" customHeight="1" s="186">
      <c r="B5" s="8" t="inlineStr">
        <is>
          <t>AL</t>
        </is>
      </c>
      <c r="C5" s="9" t="n">
        <v>27</v>
      </c>
      <c r="D5" s="9" t="n">
        <v>77</v>
      </c>
      <c r="E5" s="9" t="n">
        <v>121</v>
      </c>
      <c r="F5" s="9" t="n">
        <v>722</v>
      </c>
      <c r="G5" s="9" t="n">
        <v>1261</v>
      </c>
      <c r="H5" s="9" t="n">
        <v>2587</v>
      </c>
      <c r="I5" s="9" t="n">
        <v>3488</v>
      </c>
      <c r="J5" s="9" t="n">
        <v>4</v>
      </c>
      <c r="K5" s="9" t="n">
        <v>532</v>
      </c>
      <c r="L5" s="9" t="n">
        <v>756</v>
      </c>
      <c r="M5" s="10">
        <f>SUM(C5:L5)</f>
        <v/>
      </c>
      <c r="N5" s="7">
        <f>(J5-I5)/I5</f>
        <v/>
      </c>
    </row>
    <row r="6" ht="15.75" customHeight="1" s="186">
      <c r="B6" s="4" t="inlineStr">
        <is>
          <t>AM</t>
        </is>
      </c>
      <c r="C6" s="5" t="n">
        <v>20</v>
      </c>
      <c r="D6" s="5" t="n">
        <v>88</v>
      </c>
      <c r="E6" s="5" t="n">
        <v>192</v>
      </c>
      <c r="F6" s="5" t="n">
        <v>397</v>
      </c>
      <c r="G6" s="5" t="n">
        <v>1067</v>
      </c>
      <c r="H6" s="5" t="n">
        <v>2142</v>
      </c>
      <c r="I6" s="5" t="n">
        <v>4005</v>
      </c>
      <c r="J6" s="5" t="n">
        <v>16</v>
      </c>
      <c r="K6" s="5" t="n">
        <v>122</v>
      </c>
      <c r="L6" s="5" t="n">
        <v>232</v>
      </c>
      <c r="M6" s="6">
        <f>SUM(C6:L6)</f>
        <v/>
      </c>
      <c r="N6" s="7">
        <f>(J6-I6)/I6</f>
        <v/>
      </c>
    </row>
    <row r="7" ht="15.75" customHeight="1" s="186">
      <c r="B7" s="8" t="inlineStr">
        <is>
          <t>AP</t>
        </is>
      </c>
      <c r="C7" s="9" t="n">
        <v>0</v>
      </c>
      <c r="D7" s="9" t="n">
        <v>22</v>
      </c>
      <c r="E7" s="9" t="n">
        <v>21</v>
      </c>
      <c r="F7" s="9" t="n">
        <v>111</v>
      </c>
      <c r="G7" s="9" t="n">
        <v>226</v>
      </c>
      <c r="H7" s="9" t="n">
        <v>355</v>
      </c>
      <c r="I7" s="9" t="n">
        <v>551</v>
      </c>
      <c r="J7" s="9" t="n">
        <v>41</v>
      </c>
      <c r="K7" s="9" t="n">
        <v>66</v>
      </c>
      <c r="L7" s="9" t="n">
        <v>170</v>
      </c>
      <c r="M7" s="10">
        <f>SUM(C7:L7)</f>
        <v/>
      </c>
      <c r="N7" s="7">
        <f>(J7-I7)/I7</f>
        <v/>
      </c>
    </row>
    <row r="8" ht="15.75" customHeight="1" s="186">
      <c r="B8" s="4" t="inlineStr">
        <is>
          <t>BA</t>
        </is>
      </c>
      <c r="C8" s="5" t="n">
        <v>245</v>
      </c>
      <c r="D8" s="5" t="n">
        <v>455</v>
      </c>
      <c r="E8" s="5" t="n">
        <v>790</v>
      </c>
      <c r="F8" s="5" t="n">
        <v>2920</v>
      </c>
      <c r="G8" s="5" t="n">
        <v>6161</v>
      </c>
      <c r="H8" s="5" t="n">
        <v>8501</v>
      </c>
      <c r="I8" s="5" t="n">
        <v>11821</v>
      </c>
      <c r="J8" s="5" t="n">
        <v>72</v>
      </c>
      <c r="K8" s="5" t="n">
        <v>1541</v>
      </c>
      <c r="L8" s="5" t="n">
        <v>4306</v>
      </c>
      <c r="M8" s="6">
        <f>SUM(C8:L8)</f>
        <v/>
      </c>
      <c r="N8" s="7">
        <f>(J8-I8)/I8</f>
        <v/>
      </c>
    </row>
    <row r="9" ht="15.75" customHeight="1" s="186">
      <c r="B9" s="8" t="inlineStr">
        <is>
          <t>CE</t>
        </is>
      </c>
      <c r="C9" s="9" t="n">
        <v>388</v>
      </c>
      <c r="D9" s="9" t="n">
        <v>692</v>
      </c>
      <c r="E9" s="9" t="n">
        <v>993</v>
      </c>
      <c r="F9" s="9" t="n">
        <v>2102</v>
      </c>
      <c r="G9" s="9" t="n">
        <v>3117</v>
      </c>
      <c r="H9" s="9" t="n">
        <v>6179</v>
      </c>
      <c r="I9" s="9" t="n">
        <v>6438</v>
      </c>
      <c r="J9" s="9" t="n">
        <v>18</v>
      </c>
      <c r="K9" s="9" t="n">
        <v>1324</v>
      </c>
      <c r="L9" s="9" t="n">
        <v>1409</v>
      </c>
      <c r="M9" s="10">
        <f>SUM(C9:L9)</f>
        <v/>
      </c>
      <c r="N9" s="7">
        <f>(J9-I9)/I9</f>
        <v/>
      </c>
    </row>
    <row r="10" ht="15.75" customHeight="1" s="186">
      <c r="B10" s="4" t="inlineStr">
        <is>
          <t>DF</t>
        </is>
      </c>
      <c r="C10" s="5" t="n">
        <v>189</v>
      </c>
      <c r="D10" s="5" t="n">
        <v>319</v>
      </c>
      <c r="E10" s="5" t="n">
        <v>500</v>
      </c>
      <c r="F10" s="5" t="n">
        <v>2483</v>
      </c>
      <c r="G10" s="5" t="n">
        <v>5045</v>
      </c>
      <c r="H10" s="5" t="n">
        <v>8289</v>
      </c>
      <c r="I10" s="5" t="n">
        <v>10861</v>
      </c>
      <c r="J10" s="5" t="n">
        <v>18</v>
      </c>
      <c r="K10" s="5" t="n">
        <v>1148</v>
      </c>
      <c r="L10" s="5" t="n">
        <v>1512</v>
      </c>
      <c r="M10" s="6">
        <f>SUM(C10:L10)</f>
        <v/>
      </c>
      <c r="N10" s="7">
        <f>(J10-I10)/I10</f>
        <v/>
      </c>
    </row>
    <row r="11" ht="15.75" customHeight="1" s="186">
      <c r="B11" s="8" t="inlineStr">
        <is>
          <t>ES</t>
        </is>
      </c>
      <c r="C11" s="9" t="n">
        <v>40</v>
      </c>
      <c r="D11" s="9" t="n">
        <v>135</v>
      </c>
      <c r="E11" s="9" t="n">
        <v>321</v>
      </c>
      <c r="F11" s="9" t="n">
        <v>658</v>
      </c>
      <c r="G11" s="9" t="n">
        <v>750</v>
      </c>
      <c r="H11" s="9" t="n">
        <v>2320</v>
      </c>
      <c r="I11" s="9" t="n">
        <v>3015</v>
      </c>
      <c r="J11" s="9" t="n">
        <v>39</v>
      </c>
      <c r="K11" s="9" t="n">
        <v>515</v>
      </c>
      <c r="L11" s="9" t="n">
        <v>1496</v>
      </c>
      <c r="M11" s="10">
        <f>SUM(C11:L11)</f>
        <v/>
      </c>
      <c r="N11" s="7">
        <f>(J11-I11)/I11</f>
        <v/>
      </c>
    </row>
    <row r="12" ht="15.75" customHeight="1" s="186">
      <c r="B12" s="4" t="inlineStr">
        <is>
          <t>GO</t>
        </is>
      </c>
      <c r="C12" s="5" t="n">
        <v>115</v>
      </c>
      <c r="D12" s="5" t="n">
        <v>301</v>
      </c>
      <c r="E12" s="5" t="n">
        <v>594</v>
      </c>
      <c r="F12" s="5" t="n">
        <v>3046</v>
      </c>
      <c r="G12" s="5" t="n">
        <v>8498</v>
      </c>
      <c r="H12" s="5" t="n">
        <v>22040</v>
      </c>
      <c r="I12" s="5" t="n">
        <v>29119</v>
      </c>
      <c r="J12" s="5" t="n">
        <v>52</v>
      </c>
      <c r="K12" s="5" t="n">
        <v>5050</v>
      </c>
      <c r="L12" s="5" t="n">
        <v>5594</v>
      </c>
      <c r="M12" s="6">
        <f>SUM(C12:L12)</f>
        <v/>
      </c>
      <c r="N12" s="7">
        <f>(J12-I12)/I12</f>
        <v/>
      </c>
    </row>
    <row r="13" ht="15.75" customHeight="1" s="186">
      <c r="B13" s="8" t="inlineStr">
        <is>
          <t>MA</t>
        </is>
      </c>
      <c r="C13" s="9" t="n">
        <v>32</v>
      </c>
      <c r="D13" s="9" t="n">
        <v>90</v>
      </c>
      <c r="E13" s="9" t="n">
        <v>118</v>
      </c>
      <c r="F13" s="9" t="n">
        <v>636</v>
      </c>
      <c r="G13" s="9" t="n">
        <v>1500</v>
      </c>
      <c r="H13" s="9" t="n">
        <v>2852</v>
      </c>
      <c r="I13" s="9" t="n">
        <v>4983</v>
      </c>
      <c r="J13" s="9" t="n">
        <v>2</v>
      </c>
      <c r="K13" s="9" t="n">
        <v>513</v>
      </c>
      <c r="L13" s="9" t="n">
        <v>2285</v>
      </c>
      <c r="M13" s="10">
        <f>SUM(C13:L13)</f>
        <v/>
      </c>
      <c r="N13" s="7">
        <f>(J13-I13)/I13</f>
        <v/>
      </c>
    </row>
    <row r="14" ht="15.75" customHeight="1" s="186">
      <c r="B14" s="4" t="inlineStr">
        <is>
          <t>MG</t>
        </is>
      </c>
      <c r="C14" s="5" t="n">
        <v>272</v>
      </c>
      <c r="D14" s="5" t="n">
        <v>489</v>
      </c>
      <c r="E14" s="5" t="n">
        <v>1089</v>
      </c>
      <c r="F14" s="5" t="n">
        <v>6591</v>
      </c>
      <c r="G14" s="5" t="n">
        <v>10111</v>
      </c>
      <c r="H14" s="5" t="n">
        <v>23876</v>
      </c>
      <c r="I14" s="5" t="n">
        <v>36600</v>
      </c>
      <c r="J14" s="5" t="n">
        <v>101</v>
      </c>
      <c r="K14" s="5" t="n">
        <v>7766</v>
      </c>
      <c r="L14" s="5" t="n">
        <v>8984</v>
      </c>
      <c r="M14" s="6">
        <f>SUM(C14:L14)</f>
        <v/>
      </c>
      <c r="N14" s="7">
        <f>(J14-I14)/I14</f>
        <v/>
      </c>
    </row>
    <row r="15" ht="15.75" customHeight="1" s="186">
      <c r="B15" s="8" t="inlineStr">
        <is>
          <t>MS</t>
        </is>
      </c>
      <c r="C15" s="9" t="n">
        <v>117</v>
      </c>
      <c r="D15" s="9" t="n">
        <v>190</v>
      </c>
      <c r="E15" s="9" t="n">
        <v>187</v>
      </c>
      <c r="F15" s="9" t="n">
        <v>1053</v>
      </c>
      <c r="G15" s="9" t="n">
        <v>2364</v>
      </c>
      <c r="H15" s="9" t="n">
        <v>4750</v>
      </c>
      <c r="I15" s="9" t="n">
        <v>8979</v>
      </c>
      <c r="J15" s="9" t="n">
        <v>18</v>
      </c>
      <c r="K15" s="9" t="n">
        <v>1180</v>
      </c>
      <c r="L15" s="9" t="n">
        <v>1513</v>
      </c>
      <c r="M15" s="10">
        <f>SUM(C15:L15)</f>
        <v/>
      </c>
      <c r="N15" s="7">
        <f>(J15-I15)/I15</f>
        <v/>
      </c>
    </row>
    <row r="16" ht="15.75" customHeight="1" s="186">
      <c r="B16" s="4" t="inlineStr">
        <is>
          <t>MT</t>
        </is>
      </c>
      <c r="C16" s="5" t="n">
        <v>143</v>
      </c>
      <c r="D16" s="5" t="n">
        <v>226</v>
      </c>
      <c r="E16" s="5" t="n">
        <v>325</v>
      </c>
      <c r="F16" s="5" t="n">
        <v>1654</v>
      </c>
      <c r="G16" s="5" t="n">
        <v>2269</v>
      </c>
      <c r="H16" s="5" t="n">
        <v>6044</v>
      </c>
      <c r="I16" s="5" t="n">
        <v>13272</v>
      </c>
      <c r="J16" s="5" t="n">
        <v>37</v>
      </c>
      <c r="K16" s="5" t="n">
        <v>2254</v>
      </c>
      <c r="L16" s="5" t="n">
        <v>3388</v>
      </c>
      <c r="M16" s="6">
        <f>SUM(C16:L16)</f>
        <v/>
      </c>
      <c r="N16" s="7">
        <f>(J16-I16)/I16</f>
        <v/>
      </c>
    </row>
    <row r="17" ht="15.75" customHeight="1" s="186">
      <c r="B17" s="8" t="inlineStr">
        <is>
          <t>PA</t>
        </is>
      </c>
      <c r="C17" s="9" t="n">
        <v>51</v>
      </c>
      <c r="D17" s="9" t="n">
        <v>68</v>
      </c>
      <c r="E17" s="9" t="n">
        <v>84</v>
      </c>
      <c r="F17" s="9" t="n">
        <v>490</v>
      </c>
      <c r="G17" s="9" t="n">
        <v>1937</v>
      </c>
      <c r="H17" s="9" t="n">
        <v>4052</v>
      </c>
      <c r="I17" s="9" t="n">
        <v>6128</v>
      </c>
      <c r="J17" s="9" t="n">
        <v>18</v>
      </c>
      <c r="K17" s="9" t="n">
        <v>966</v>
      </c>
      <c r="L17" s="9" t="n">
        <v>1668</v>
      </c>
      <c r="M17" s="10">
        <f>SUM(C17:L17)</f>
        <v/>
      </c>
      <c r="N17" s="7">
        <f>(J17-I17)/I17</f>
        <v/>
      </c>
    </row>
    <row r="18" ht="15.75" customHeight="1" s="186">
      <c r="B18" s="4" t="inlineStr">
        <is>
          <t>PB</t>
        </is>
      </c>
      <c r="C18" s="5" t="n">
        <v>60</v>
      </c>
      <c r="D18" s="5" t="n">
        <v>104</v>
      </c>
      <c r="E18" s="5" t="n">
        <v>639</v>
      </c>
      <c r="F18" s="5" t="n">
        <v>1179</v>
      </c>
      <c r="G18" s="5" t="n">
        <v>1636</v>
      </c>
      <c r="H18" s="5" t="n">
        <v>2913</v>
      </c>
      <c r="I18" s="5" t="n">
        <v>3712</v>
      </c>
      <c r="J18" s="5" t="n">
        <v>4</v>
      </c>
      <c r="K18" s="5" t="n">
        <v>541</v>
      </c>
      <c r="L18" s="5" t="n">
        <v>901</v>
      </c>
      <c r="M18" s="6">
        <f>SUM(C18:L18)</f>
        <v/>
      </c>
      <c r="N18" s="7">
        <f>(J18-I18)/I18</f>
        <v/>
      </c>
    </row>
    <row r="19" ht="15.75" customHeight="1" s="186">
      <c r="B19" s="8" t="inlineStr">
        <is>
          <t>PE</t>
        </is>
      </c>
      <c r="C19" s="9" t="n">
        <v>125</v>
      </c>
      <c r="D19" s="9" t="n">
        <v>286</v>
      </c>
      <c r="E19" s="9" t="n">
        <v>384</v>
      </c>
      <c r="F19" s="9" t="n">
        <v>1968</v>
      </c>
      <c r="G19" s="9" t="n">
        <v>3765</v>
      </c>
      <c r="H19" s="9" t="n">
        <v>6335</v>
      </c>
      <c r="I19" s="9" t="n">
        <v>8307</v>
      </c>
      <c r="J19" s="9" t="n">
        <v>10</v>
      </c>
      <c r="K19" s="9" t="n">
        <v>955</v>
      </c>
      <c r="L19" s="9" t="n">
        <v>1515</v>
      </c>
      <c r="M19" s="10">
        <f>SUM(C19:L19)</f>
        <v/>
      </c>
      <c r="N19" s="7">
        <f>(J19-I19)/I19</f>
        <v/>
      </c>
    </row>
    <row r="20" ht="15.75" customHeight="1" s="186">
      <c r="B20" s="4" t="inlineStr">
        <is>
          <t>PI</t>
        </is>
      </c>
      <c r="C20" s="5" t="n">
        <v>37</v>
      </c>
      <c r="D20" s="5" t="n">
        <v>112</v>
      </c>
      <c r="E20" s="5" t="n">
        <v>129</v>
      </c>
      <c r="F20" s="5" t="n">
        <v>288</v>
      </c>
      <c r="G20" s="5" t="n">
        <v>462</v>
      </c>
      <c r="H20" s="5" t="n">
        <v>1209</v>
      </c>
      <c r="I20" s="5" t="n">
        <v>1426</v>
      </c>
      <c r="J20" s="5" t="n">
        <v>0</v>
      </c>
      <c r="K20" s="5" t="n">
        <v>272</v>
      </c>
      <c r="L20" s="5" t="n">
        <v>284</v>
      </c>
      <c r="M20" s="6">
        <f>SUM(C20:L20)</f>
        <v/>
      </c>
      <c r="N20" s="7">
        <f>(J20-I20)/I20</f>
        <v/>
      </c>
    </row>
    <row r="21" ht="15.75" customHeight="1" s="186">
      <c r="B21" s="8" t="inlineStr">
        <is>
          <t>PR</t>
        </is>
      </c>
      <c r="C21" s="9" t="n">
        <v>386</v>
      </c>
      <c r="D21" s="9" t="n">
        <v>518</v>
      </c>
      <c r="E21" s="9" t="n">
        <v>1238</v>
      </c>
      <c r="F21" s="9" t="n">
        <v>7341</v>
      </c>
      <c r="G21" s="9" t="n">
        <v>17292</v>
      </c>
      <c r="H21" s="9" t="n">
        <v>15235</v>
      </c>
      <c r="I21" s="9" t="n">
        <v>38850</v>
      </c>
      <c r="J21" s="9" t="n">
        <v>87</v>
      </c>
      <c r="K21" s="9" t="n">
        <v>5326</v>
      </c>
      <c r="L21" s="9" t="n">
        <v>7310</v>
      </c>
      <c r="M21" s="10">
        <f>SUM(C21:L21)</f>
        <v/>
      </c>
      <c r="N21" s="7">
        <f>(J21-I21)/I21</f>
        <v/>
      </c>
    </row>
    <row r="22" ht="15.75" customHeight="1" s="186">
      <c r="B22" s="4" t="inlineStr">
        <is>
          <t>RJ</t>
        </is>
      </c>
      <c r="C22" s="5" t="n">
        <v>399</v>
      </c>
      <c r="D22" s="5" t="n">
        <v>672</v>
      </c>
      <c r="E22" s="5" t="n">
        <v>1481</v>
      </c>
      <c r="F22" s="5" t="n">
        <v>1502</v>
      </c>
      <c r="G22" s="5" t="n">
        <v>3221</v>
      </c>
      <c r="H22" s="5" t="n">
        <v>7957</v>
      </c>
      <c r="I22" s="5" t="n">
        <v>14706</v>
      </c>
      <c r="J22" s="5" t="n">
        <v>49</v>
      </c>
      <c r="K22" s="5" t="n">
        <v>2736</v>
      </c>
      <c r="L22" s="5" t="n">
        <v>5065</v>
      </c>
      <c r="M22" s="6">
        <f>SUM(C22:L22)</f>
        <v/>
      </c>
      <c r="N22" s="7">
        <f>(J22-I22)/I22</f>
        <v/>
      </c>
    </row>
    <row r="23" ht="15.75" customHeight="1" s="186">
      <c r="B23" s="8" t="inlineStr">
        <is>
          <t>RN</t>
        </is>
      </c>
      <c r="C23" s="9" t="n">
        <v>76</v>
      </c>
      <c r="D23" s="9" t="n">
        <v>78</v>
      </c>
      <c r="E23" s="9" t="n">
        <v>107</v>
      </c>
      <c r="F23" s="9" t="n">
        <v>939</v>
      </c>
      <c r="G23" s="9" t="n">
        <v>1181</v>
      </c>
      <c r="H23" s="9" t="n">
        <v>1932</v>
      </c>
      <c r="I23" s="9" t="n">
        <v>2477</v>
      </c>
      <c r="J23" s="9" t="n">
        <v>3</v>
      </c>
      <c r="K23" s="9" t="n">
        <v>652</v>
      </c>
      <c r="L23" s="9" t="n">
        <v>564</v>
      </c>
      <c r="M23" s="10">
        <f>SUM(C23:L23)</f>
        <v/>
      </c>
      <c r="N23" s="7">
        <f>(J23-I23)/I23</f>
        <v/>
      </c>
    </row>
    <row r="24" ht="15.75" customHeight="1" s="186">
      <c r="B24" s="4" t="inlineStr">
        <is>
          <t>RO</t>
        </is>
      </c>
      <c r="C24" s="5" t="n">
        <v>84</v>
      </c>
      <c r="D24" s="5" t="n">
        <v>88</v>
      </c>
      <c r="E24" s="5" t="n">
        <v>207</v>
      </c>
      <c r="F24" s="5" t="n">
        <v>956</v>
      </c>
      <c r="G24" s="5" t="n">
        <v>1899</v>
      </c>
      <c r="H24" s="5" t="n">
        <v>3543</v>
      </c>
      <c r="I24" s="5" t="n">
        <v>5550</v>
      </c>
      <c r="J24" s="5" t="n">
        <v>8</v>
      </c>
      <c r="K24" s="5" t="n">
        <v>378</v>
      </c>
      <c r="L24" s="5" t="n">
        <v>650</v>
      </c>
      <c r="M24" s="6">
        <f>SUM(C24:L24)</f>
        <v/>
      </c>
      <c r="N24" s="7">
        <f>(J24-I24)/I24</f>
        <v/>
      </c>
    </row>
    <row r="25" ht="15.75" customHeight="1" s="186">
      <c r="B25" s="8" t="inlineStr">
        <is>
          <t>RR</t>
        </is>
      </c>
      <c r="C25" s="9" t="n">
        <v>0</v>
      </c>
      <c r="D25" s="9" t="n">
        <v>7</v>
      </c>
      <c r="E25" s="9" t="n">
        <v>16</v>
      </c>
      <c r="F25" s="9" t="n">
        <v>63</v>
      </c>
      <c r="G25" s="9" t="n">
        <v>104</v>
      </c>
      <c r="H25" s="9" t="n">
        <v>241</v>
      </c>
      <c r="I25" s="9" t="n">
        <v>515</v>
      </c>
      <c r="J25" s="9" t="n">
        <v>6</v>
      </c>
      <c r="K25" s="9" t="n">
        <v>56</v>
      </c>
      <c r="L25" s="9" t="n">
        <v>47</v>
      </c>
      <c r="M25" s="10">
        <f>SUM(C25:L25)</f>
        <v/>
      </c>
      <c r="N25" s="7">
        <f>(J25-I25)/I25</f>
        <v/>
      </c>
    </row>
    <row r="26" ht="15.75" customHeight="1" s="186">
      <c r="B26" s="4" t="inlineStr">
        <is>
          <t>RS</t>
        </is>
      </c>
      <c r="C26" s="5" t="n">
        <v>863</v>
      </c>
      <c r="D26" s="5" t="n">
        <v>1460</v>
      </c>
      <c r="E26" s="5" t="n">
        <v>2059</v>
      </c>
      <c r="F26" s="5" t="n">
        <v>10957</v>
      </c>
      <c r="G26" s="5" t="n">
        <v>15875</v>
      </c>
      <c r="H26" s="5" t="n">
        <v>24668</v>
      </c>
      <c r="I26" s="5" t="n">
        <v>29744</v>
      </c>
      <c r="J26" s="5" t="n">
        <v>150</v>
      </c>
      <c r="K26" s="5" t="n">
        <v>5362</v>
      </c>
      <c r="L26" s="5" t="n">
        <v>4808</v>
      </c>
      <c r="M26" s="6">
        <f>SUM(C26:L26)</f>
        <v/>
      </c>
      <c r="N26" s="7">
        <f>(J26-I26)/I26</f>
        <v/>
      </c>
    </row>
    <row r="27" ht="15.75" customHeight="1" s="186">
      <c r="B27" s="8" t="inlineStr">
        <is>
          <t>SC</t>
        </is>
      </c>
      <c r="C27" s="9" t="n">
        <v>435</v>
      </c>
      <c r="D27" s="9" t="n">
        <v>500</v>
      </c>
      <c r="E27" s="9" t="n">
        <v>1043</v>
      </c>
      <c r="F27" s="9" t="n">
        <v>7220</v>
      </c>
      <c r="G27" s="9" t="n">
        <v>13006</v>
      </c>
      <c r="H27" s="9" t="n">
        <v>11286</v>
      </c>
      <c r="I27" s="9" t="n">
        <v>28247</v>
      </c>
      <c r="J27" s="9" t="n">
        <v>74</v>
      </c>
      <c r="K27" s="9" t="n">
        <v>5865</v>
      </c>
      <c r="L27" s="9" t="n">
        <v>5749</v>
      </c>
      <c r="M27" s="10">
        <f>SUM(C27:L27)</f>
        <v/>
      </c>
      <c r="N27" s="7">
        <f>(J27-I27)/I27</f>
        <v/>
      </c>
    </row>
    <row r="28" ht="15.75" customHeight="1" s="186">
      <c r="B28" s="4" t="inlineStr">
        <is>
          <t>SE</t>
        </is>
      </c>
      <c r="C28" s="5" t="n">
        <v>55</v>
      </c>
      <c r="D28" s="5" t="n">
        <v>86</v>
      </c>
      <c r="E28" s="5" t="n">
        <v>94</v>
      </c>
      <c r="F28" s="5" t="n">
        <v>364</v>
      </c>
      <c r="G28" s="5" t="n">
        <v>619</v>
      </c>
      <c r="H28" s="5" t="n">
        <v>1003</v>
      </c>
      <c r="I28" s="5" t="n">
        <v>1048</v>
      </c>
      <c r="J28" s="5" t="n">
        <v>1</v>
      </c>
      <c r="K28" s="5" t="n">
        <v>24</v>
      </c>
      <c r="L28" s="5" t="n">
        <v>467</v>
      </c>
      <c r="M28" s="6">
        <f>SUM(C28:L28)</f>
        <v/>
      </c>
      <c r="N28" s="7">
        <f>(J28-I28)/I28</f>
        <v/>
      </c>
    </row>
    <row r="29" ht="15.75" customHeight="1" s="186">
      <c r="B29" s="8" t="inlineStr">
        <is>
          <t>SP</t>
        </is>
      </c>
      <c r="C29" s="9" t="n">
        <v>1994</v>
      </c>
      <c r="D29" s="9" t="n">
        <v>3248</v>
      </c>
      <c r="E29" s="9" t="n">
        <v>4559</v>
      </c>
      <c r="F29" s="9" t="n">
        <v>24737</v>
      </c>
      <c r="G29" s="9" t="n">
        <v>23416</v>
      </c>
      <c r="H29" s="9" t="n">
        <v>60194</v>
      </c>
      <c r="I29" s="9" t="n">
        <v>84719</v>
      </c>
      <c r="J29" s="9" t="n">
        <v>196</v>
      </c>
      <c r="K29" s="9" t="n">
        <v>27463</v>
      </c>
      <c r="L29" s="9" t="n">
        <v>22670</v>
      </c>
      <c r="M29" s="10">
        <f>SUM(C29:L29)</f>
        <v/>
      </c>
      <c r="N29" s="7">
        <f>(J29-I29)/I29</f>
        <v/>
      </c>
    </row>
    <row r="30" ht="15.75" customHeight="1" s="186">
      <c r="B30" s="4" t="inlineStr">
        <is>
          <t>TO</t>
        </is>
      </c>
      <c r="C30" s="5" t="n">
        <v>59</v>
      </c>
      <c r="D30" s="5" t="n">
        <v>58</v>
      </c>
      <c r="E30" s="5" t="n">
        <v>103</v>
      </c>
      <c r="F30" s="5" t="n">
        <v>432</v>
      </c>
      <c r="G30" s="5" t="n">
        <v>753</v>
      </c>
      <c r="H30" s="5" t="n">
        <v>1622</v>
      </c>
      <c r="I30" s="5" t="n">
        <v>3056</v>
      </c>
      <c r="J30" s="5" t="n">
        <v>5</v>
      </c>
      <c r="K30" s="5" t="n">
        <v>652</v>
      </c>
      <c r="L30" s="5" t="n">
        <v>819</v>
      </c>
      <c r="M30" s="6">
        <f>SUM(C30:L30)</f>
        <v/>
      </c>
      <c r="N30" s="7">
        <f>(J30-I30)/I30</f>
        <v/>
      </c>
    </row>
    <row r="31" ht="18" customHeight="1" s="186">
      <c r="B31" s="11" t="inlineStr">
        <is>
          <t>BRASIL</t>
        </is>
      </c>
      <c r="C31" s="12">
        <f>SUM(C4:C30)</f>
        <v/>
      </c>
      <c r="D31" s="12">
        <f>SUM(D4:D30)</f>
        <v/>
      </c>
      <c r="E31" s="12">
        <f>SUM(E4:E30)</f>
        <v/>
      </c>
      <c r="F31" s="12">
        <f>SUM(F4:F30)</f>
        <v/>
      </c>
      <c r="G31" s="12">
        <f>SUM(G4:G30)</f>
        <v/>
      </c>
      <c r="H31" s="12">
        <f>SUM(H4:H30)</f>
        <v/>
      </c>
      <c r="I31" s="12">
        <f>SUM(I4:I30)</f>
        <v/>
      </c>
      <c r="J31" s="12">
        <f>SUM(J4:J30)</f>
        <v/>
      </c>
      <c r="K31" s="12">
        <f>SUM(K4:K30)</f>
        <v/>
      </c>
      <c r="L31" s="12">
        <f>SUM(L4:L30)</f>
        <v/>
      </c>
      <c r="M31" s="12">
        <f>SUM(B31:L31)</f>
        <v/>
      </c>
      <c r="N31" s="13">
        <f>(J31-I31)/I31</f>
        <v/>
      </c>
    </row>
  </sheetData>
  <mergeCells count="2">
    <mergeCell ref="B1:N1"/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6" customWidth="1" style="186" min="3" max="3"/>
    <col width="14" customWidth="1" style="186" min="4" max="7"/>
  </cols>
  <sheetData>
    <row r="1" ht="21.75" customHeight="1" s="186">
      <c r="B1" s="189" t="inlineStr">
        <is>
          <t>Série Nacional de CRs CAC Emitidos por Ano (2000–2025)</t>
        </is>
      </c>
    </row>
    <row r="2" ht="12.75" customHeight="1" s="186">
      <c r="B2" s="188" t="inlineStr">
        <is>
          <t>Fonte: Exército Brasileiro / Polícia Federal — Dashboard SINARM/CAC</t>
        </is>
      </c>
    </row>
    <row r="3" ht="19.5" customHeight="1" s="186">
      <c r="B3" s="1" t="inlineStr">
        <is>
          <t>Ano</t>
        </is>
      </c>
      <c r="C3" s="1" t="inlineStr">
        <is>
          <t>Total CRs</t>
        </is>
      </c>
      <c r="D3" s="1" t="inlineStr">
        <is>
          <t>Var% a/a</t>
        </is>
      </c>
      <c r="E3" s="1" t="inlineStr">
        <is>
          <t>Uso Desportivo</t>
        </is>
      </c>
      <c r="F3" s="1" t="inlineStr">
        <is>
          <t>Caçador</t>
        </is>
      </c>
      <c r="G3" s="1" t="inlineStr">
        <is>
          <t>Colecionador</t>
        </is>
      </c>
    </row>
    <row r="4" ht="15.75" customHeight="1" s="186">
      <c r="B4" s="14" t="n">
        <v>2000</v>
      </c>
      <c r="C4" s="6" t="n">
        <v>44</v>
      </c>
      <c r="D4" s="15" t="inlineStr">
        <is>
          <t>—</t>
        </is>
      </c>
      <c r="E4" s="5" t="n">
        <v>44</v>
      </c>
      <c r="F4" s="5" t="n">
        <v>0</v>
      </c>
      <c r="G4" s="5" t="n">
        <v>0</v>
      </c>
    </row>
    <row r="5" ht="15.75" customHeight="1" s="186">
      <c r="B5" s="16" t="n">
        <v>2001</v>
      </c>
      <c r="C5" s="17" t="n">
        <v>68</v>
      </c>
      <c r="D5" s="18">
        <f>(C5-C4)/C4</f>
        <v/>
      </c>
      <c r="E5" s="9" t="n">
        <v>68</v>
      </c>
      <c r="F5" s="9" t="n">
        <v>0</v>
      </c>
      <c r="G5" s="9" t="n">
        <v>0</v>
      </c>
    </row>
    <row r="6" ht="15.75" customHeight="1" s="186">
      <c r="B6" s="14" t="n">
        <v>2005</v>
      </c>
      <c r="C6" s="6" t="n">
        <v>501</v>
      </c>
      <c r="D6" s="19">
        <f>(C6-C5)/C5</f>
        <v/>
      </c>
      <c r="E6" s="5" t="n">
        <v>501</v>
      </c>
      <c r="F6" s="5" t="n">
        <v>0</v>
      </c>
      <c r="G6" s="5" t="n">
        <v>0</v>
      </c>
    </row>
    <row r="7" ht="15.75" customHeight="1" s="186">
      <c r="B7" s="16" t="n">
        <v>2010</v>
      </c>
      <c r="C7" s="17" t="n">
        <v>2500</v>
      </c>
      <c r="D7" s="18">
        <f>(C7-C6)/C6</f>
        <v/>
      </c>
      <c r="E7" s="9" t="n">
        <v>2500</v>
      </c>
      <c r="F7" s="9" t="n">
        <v>0</v>
      </c>
      <c r="G7" s="9" t="n">
        <v>0</v>
      </c>
    </row>
    <row r="8" ht="15.75" customHeight="1" s="186">
      <c r="B8" s="14" t="n">
        <v>2012</v>
      </c>
      <c r="C8" s="6" t="n">
        <v>4268</v>
      </c>
      <c r="D8" s="19">
        <f>(C8-C7)/C7</f>
        <v/>
      </c>
      <c r="E8" s="5" t="n">
        <v>4268</v>
      </c>
      <c r="F8" s="5" t="n">
        <v>0</v>
      </c>
      <c r="G8" s="5" t="n">
        <v>0</v>
      </c>
    </row>
    <row r="9" ht="15.75" customHeight="1" s="186">
      <c r="B9" s="16" t="n">
        <v>2013</v>
      </c>
      <c r="C9" s="17" t="n">
        <v>4311</v>
      </c>
      <c r="D9" s="18">
        <f>(C9-C8)/C8</f>
        <v/>
      </c>
      <c r="E9" s="9" t="n">
        <v>4311</v>
      </c>
      <c r="F9" s="9" t="n">
        <v>0</v>
      </c>
      <c r="G9" s="9" t="n">
        <v>0</v>
      </c>
    </row>
    <row r="10" ht="15.75" customHeight="1" s="186">
      <c r="B10" s="14" t="n">
        <v>2014</v>
      </c>
      <c r="C10" s="6" t="n">
        <v>5497</v>
      </c>
      <c r="D10" s="19">
        <f>(C10-C9)/C9</f>
        <v/>
      </c>
      <c r="E10" s="5" t="n">
        <v>5497</v>
      </c>
      <c r="F10" s="5" t="n">
        <v>0</v>
      </c>
      <c r="G10" s="5" t="n">
        <v>0</v>
      </c>
    </row>
    <row r="11" ht="15.75" customHeight="1" s="186">
      <c r="B11" s="16" t="n">
        <v>2015</v>
      </c>
      <c r="C11" s="17" t="n">
        <v>2875</v>
      </c>
      <c r="D11" s="18">
        <f>(C11-C10)/C10</f>
        <v/>
      </c>
      <c r="E11" s="9" t="n">
        <v>2875</v>
      </c>
      <c r="F11" s="9" t="n">
        <v>0</v>
      </c>
      <c r="G11" s="9" t="n">
        <v>0</v>
      </c>
    </row>
    <row r="12" ht="15.75" customHeight="1" s="186">
      <c r="B12" s="14" t="n">
        <v>2016</v>
      </c>
      <c r="C12" s="6" t="n">
        <v>6222</v>
      </c>
      <c r="D12" s="19">
        <f>(C12-C11)/C11</f>
        <v/>
      </c>
      <c r="E12" s="5" t="n">
        <v>6023</v>
      </c>
      <c r="F12" s="5" t="n">
        <v>2375</v>
      </c>
      <c r="G12" s="5" t="n">
        <v>2170</v>
      </c>
    </row>
    <row r="13" ht="15.75" customHeight="1" s="186">
      <c r="B13" s="16" t="n">
        <v>2017</v>
      </c>
      <c r="C13" s="17" t="n">
        <v>10392</v>
      </c>
      <c r="D13" s="18">
        <f>(C13-C12)/C12</f>
        <v/>
      </c>
      <c r="E13" s="9" t="n">
        <v>10223</v>
      </c>
      <c r="F13" s="9" t="n">
        <v>1432</v>
      </c>
      <c r="G13" s="9" t="n">
        <v>1371</v>
      </c>
    </row>
    <row r="14" ht="15.75" customHeight="1" s="186">
      <c r="B14" s="14" t="n">
        <v>2018</v>
      </c>
      <c r="C14" s="6" t="n">
        <v>17460</v>
      </c>
      <c r="D14" s="19">
        <f>(C14-C13)/C13</f>
        <v/>
      </c>
      <c r="E14" s="5" t="n">
        <v>17397</v>
      </c>
      <c r="F14" s="5" t="n">
        <v>444</v>
      </c>
      <c r="G14" s="5" t="n">
        <v>3</v>
      </c>
    </row>
    <row r="15" ht="15.75" customHeight="1" s="186">
      <c r="B15" s="20" t="n">
        <v>2019</v>
      </c>
      <c r="C15" s="21" t="n">
        <v>80969</v>
      </c>
      <c r="D15" s="22">
        <f>(C15-C14)/C14</f>
        <v/>
      </c>
      <c r="E15" s="23" t="n">
        <v>80824</v>
      </c>
      <c r="F15" s="23" t="n">
        <v>4123</v>
      </c>
      <c r="G15" s="23" t="n">
        <v>8</v>
      </c>
    </row>
    <row r="16" ht="15.75" customHeight="1" s="186">
      <c r="B16" s="14" t="n">
        <v>2020</v>
      </c>
      <c r="C16" s="6" t="n">
        <v>127872</v>
      </c>
      <c r="D16" s="19">
        <f>(C16-C15)/C15</f>
        <v/>
      </c>
      <c r="E16" s="5" t="n">
        <v>127751</v>
      </c>
      <c r="F16" s="5" t="n">
        <v>2325</v>
      </c>
      <c r="G16" s="5" t="n">
        <v>5</v>
      </c>
    </row>
    <row r="17" ht="15.75" customHeight="1" s="186">
      <c r="B17" s="20" t="n">
        <v>2021</v>
      </c>
      <c r="C17" s="21" t="n">
        <v>232669</v>
      </c>
      <c r="D17" s="24">
        <f>(C17-C16)/C16</f>
        <v/>
      </c>
      <c r="E17" s="23" t="n">
        <v>232505</v>
      </c>
      <c r="F17" s="23" t="n">
        <v>3110</v>
      </c>
      <c r="G17" s="23" t="n">
        <v>54</v>
      </c>
    </row>
    <row r="18" ht="15.75" customHeight="1" s="186">
      <c r="B18" s="25" t="n">
        <v>2022</v>
      </c>
      <c r="C18" s="26" t="n">
        <v>362224</v>
      </c>
      <c r="D18" s="27">
        <f>(C18-C17)/C17</f>
        <v/>
      </c>
      <c r="E18" s="28" t="n">
        <v>362072</v>
      </c>
      <c r="F18" s="28" t="n">
        <v>3574</v>
      </c>
      <c r="G18" s="28" t="n">
        <v>578</v>
      </c>
    </row>
    <row r="19" ht="15.75" customHeight="1" s="186">
      <c r="B19" s="29" t="n">
        <v>2023</v>
      </c>
      <c r="C19" s="30" t="n">
        <v>1030</v>
      </c>
      <c r="D19" s="7">
        <f>(C19-C18)/C18</f>
        <v/>
      </c>
      <c r="E19" s="31" t="n">
        <v>1024</v>
      </c>
      <c r="F19" s="31" t="n">
        <v>61</v>
      </c>
      <c r="G19" s="31" t="n">
        <v>43</v>
      </c>
    </row>
    <row r="20" ht="15.75" customHeight="1" s="186">
      <c r="B20" s="32" t="n">
        <v>2024</v>
      </c>
      <c r="C20" s="6" t="n">
        <v>73298</v>
      </c>
      <c r="D20" s="19">
        <f>(C20-C19)/C19</f>
        <v/>
      </c>
      <c r="E20" s="5" t="n">
        <v>73243</v>
      </c>
      <c r="F20" s="5" t="n">
        <v>3</v>
      </c>
      <c r="G20" s="5" t="n">
        <v>929</v>
      </c>
    </row>
    <row r="21" ht="15.75" customHeight="1" s="186">
      <c r="B21" s="16" t="n">
        <v>2025</v>
      </c>
      <c r="C21" s="17" t="n">
        <v>84263</v>
      </c>
      <c r="D21" s="18">
        <f>(C21-C20)/C20</f>
        <v/>
      </c>
      <c r="E21" s="9" t="n">
        <v>84205</v>
      </c>
      <c r="F21" s="9" t="n">
        <v>0</v>
      </c>
      <c r="G21" s="9" t="n">
        <v>703</v>
      </c>
    </row>
  </sheetData>
  <mergeCells count="2">
    <mergeCell ref="B2:G2"/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topLeftCell="A8" zoomScaleNormal="100" workbookViewId="0">
      <selection activeCell="C13" sqref="C13"/>
    </sheetView>
  </sheetViews>
  <sheetFormatPr baseColWidth="8" defaultColWidth="8.6328125" defaultRowHeight="14.5"/>
  <cols>
    <col width="3" customWidth="1" style="186" min="1" max="1"/>
    <col width="25" customWidth="1" style="186" min="2" max="2"/>
    <col width="70" customWidth="1" style="186" min="3" max="3"/>
  </cols>
  <sheetData>
    <row r="1" ht="21.75" customHeight="1" s="186">
      <c r="B1" s="189" t="inlineStr">
        <is>
          <t>Notas Metodológicas — Base de Dados CAC</t>
        </is>
      </c>
    </row>
    <row r="2" ht="36" customHeight="1" s="186">
      <c r="B2" s="33" t="inlineStr">
        <is>
          <t>Fonte primária</t>
        </is>
      </c>
      <c r="C2" s="34" t="inlineStr">
        <is>
          <t>Dashboard Certificado de Registro-CAC — Exército Brasileiro / Polícia Federal. Disponível em: app.fabric.microsoft.com. Acesso em: jul/2025.</t>
        </is>
      </c>
    </row>
    <row r="3" ht="36" customHeight="1" s="186">
      <c r="B3" s="35" t="inlineStr">
        <is>
          <t>Responsabilidade</t>
        </is>
      </c>
      <c r="C3" s="36" t="inlineStr">
        <is>
          <t>Dados de 2000 a jun/2025 mantidos pelo Exército Brasileiro. A Polícia Federal passou a ser responsável a partir de julho de 2025.</t>
        </is>
      </c>
    </row>
    <row r="4" ht="36" customHeight="1" s="186">
      <c r="B4" s="33" t="inlineStr">
        <is>
          <t>Método de coleta</t>
        </is>
      </c>
      <c r="C4" s="34" t="inlineStr">
        <is>
          <t>Extração manual via screenshots do dashboard filtrando ano a ano e UF. Valores conferidos com os totais nacionais exibidos no painel.</t>
        </is>
      </c>
    </row>
    <row r="5" ht="36" customHeight="1" s="186">
      <c r="B5" s="35" t="inlineStr">
        <is>
          <t>Categoria 'XX'</t>
        </is>
      </c>
      <c r="C5" s="36" t="inlineStr">
        <is>
          <t>Aparece em 2019 (1 registro), 2022 (2 registros) e 2025 (2 registros). Provável erro de cadastro de UF. Excluído da análise espacial.</t>
        </is>
      </c>
    </row>
    <row r="6" ht="36" customHeight="1" s="186">
      <c r="B6" s="33" t="inlineStr">
        <is>
          <t>Anos 2001-2004 / 2006-2009</t>
        </is>
      </c>
      <c r="C6" s="34" t="inlineStr">
        <is>
          <t>Não individualizados no dashboard — apresentados como valores de referência agregados. Não incluídos no painel UF×Ano.</t>
        </is>
      </c>
    </row>
    <row r="7" ht="36" customHeight="1" s="186">
      <c r="B7" s="35" t="inlineStr">
        <is>
          <t>Cobertura do painel</t>
        </is>
      </c>
      <c r="C7" s="36" t="inlineStr">
        <is>
          <t>Painel UF×Ano cobre 2016–2025 (10 anos × 27 UFs = 270 observações). Série nacional cobre 2000–2025.</t>
        </is>
      </c>
    </row>
    <row r="8" ht="36" customHeight="1" s="186">
      <c r="B8" s="33" t="inlineStr">
        <is>
          <t>Evento chave 2023</t>
        </is>
      </c>
      <c r="C8" s="34" t="inlineStr">
        <is>
          <t>O colapso de 362.224 (2022) para 1.030 (2023) representa queda de -99,7%, reflexo do Decreto n. 11.366 de 1.º/jan/2023 que revogou os decretos de flexibilização sem publicar nova regulamentação. Período de vácuo normativo: jan-jul/2023.</t>
        </is>
      </c>
    </row>
    <row r="9" ht="36" customHeight="1" s="186">
      <c r="B9" s="35" t="inlineStr">
        <is>
          <t>Categorias de CR</t>
        </is>
      </c>
      <c r="C9" s="36" t="inlineStr">
        <is>
          <t>Uso Desportivo (Atirador Desportivo), Caçador e Colecionador. Uso Desportivo responde por &gt;99% dos certificados na maioria dos anos.</t>
        </is>
      </c>
    </row>
    <row r="10" ht="36" customHeight="1" s="186">
      <c r="B10" s="33" t="inlineStr">
        <is>
          <t>Uso recomendado</t>
        </is>
      </c>
      <c r="C10" s="34" t="inlineStr">
        <is>
          <t>Variável de fluxo (novos CRs/ano) para análise de regressão. Variável de estoque (Dashboard 1 — total acumulado por UF) para variável de intensidade de tratamento.</t>
        </is>
      </c>
    </row>
    <row r="11" ht="36" customHeight="1" s="186">
      <c r="B11" s="35" t="inlineStr">
        <is>
          <t>Limitação</t>
        </is>
      </c>
      <c r="C11" s="36" t="inlineStr">
        <is>
          <t>Os dados refletem certificados emitidos, não o universo de atiradores ativos. Cancelamentos e suspensões de CRs não estão disponíveis neste dashboard.</t>
        </is>
      </c>
    </row>
    <row r="12" ht="39.75" customHeight="1" s="186">
      <c r="B12" s="33" t="inlineStr">
        <is>
          <t>Projeção PIB 2024</t>
        </is>
      </c>
      <c r="C12" s="37" t="inlineStr">
        <is>
          <t>PIB per capita 2024 projetado individualmente por UF aplicando a média das taxas de crescimento nominal dos anos 2019, 2022 e 2023 — excluindo 2020 e 2021 pelo efeito excepcional da pandemia de COVID-19. Fórmula: taxa_i = média(Δ%2019, Δ%2022, Δ%2023); PIB_2024_i = PIB_2023_i × (1 + taxa_i). Fonte base: IBGE Contas Regionais SCR 2023.</t>
        </is>
      </c>
    </row>
    <row r="13" ht="39.75" customHeight="1" s="186">
      <c r="B13" s="35" t="inlineStr">
        <is>
          <t>População 2024</t>
        </is>
      </c>
      <c r="C13" s="38" t="inlineStr">
        <is>
          <t>Estimativas da população residente por UF com data de referência em 1.º de julho de 2024. Fonte: IBGE/DPE/COPIS — publicado no DOU. Total Brasil: 212.583.750 habitantes.</t>
        </is>
      </c>
    </row>
    <row r="14" ht="39.75" customHeight="1" s="186">
      <c r="B14" s="33" t="inlineStr">
        <is>
          <t>Links de acesso</t>
        </is>
      </c>
      <c r="C14" s="37" t="inlineStr">
        <is>
          <t>DataSUS/TABNET: datasus.saude.gov.br/informacoes-de-saude-tabnet/ | PF — CRs CAC: gov.br/pf/pt-br/assuntos/armas/dados-abertos/certificados-de-registro-cac/ | PF — Estoque armas: gov.br/pf/pt-br/assuntos/armas/dados-abertos/registros-de-armas-de-fogo-cac/ | IBGE Contas Regionais: ibge.gov.br/estatisticas/economicas/contas-nacionais/9054 (edição 45139)</t>
        </is>
      </c>
    </row>
  </sheetData>
  <mergeCells count="1">
    <mergeCell ref="B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8" customWidth="1" style="186" min="3" max="3"/>
    <col width="14" customWidth="1" style="186" min="4" max="5"/>
    <col width="16" customWidth="1" style="186" min="6" max="6"/>
    <col width="14" customWidth="1" style="186" min="7" max="7"/>
    <col width="16" customWidth="1" style="186" min="8" max="8"/>
  </cols>
  <sheetData>
    <row r="1" ht="21.75" customHeight="1" s="186">
      <c r="B1" s="189" t="inlineStr">
        <is>
          <t>Estoque de Armas CAC por UF — Total Geral (acumulado histórico)</t>
        </is>
      </c>
    </row>
    <row r="2" ht="12.75" customHeight="1" s="186">
      <c r="B2" s="188" t="inlineStr">
        <is>
          <t>Total nacional: 1,644,084 armas — Fonte: Exército Brasileiro / PF — Dashboard SINARM/CAC (jul/2025)</t>
        </is>
      </c>
    </row>
    <row r="3" ht="27.75" customHeight="1" s="186">
      <c r="B3" s="1" t="inlineStr">
        <is>
          <t>UF</t>
        </is>
      </c>
      <c r="C3" s="2" t="inlineStr">
        <is>
          <t>Atirador Desportivo</t>
        </is>
      </c>
      <c r="D3" s="39" t="inlineStr">
        <is>
          <t>Caçador</t>
        </is>
      </c>
      <c r="E3" s="40" t="inlineStr">
        <is>
          <t>Colecionador</t>
        </is>
      </c>
      <c r="F3" s="1" t="inlineStr">
        <is>
          <t>TOTAL ARMAS</t>
        </is>
      </c>
      <c r="G3" s="2" t="inlineStr">
        <is>
          <t>% Atirador</t>
        </is>
      </c>
      <c r="H3" s="41" t="inlineStr">
        <is>
          <t>% Restrito*</t>
        </is>
      </c>
    </row>
    <row r="4" ht="15.75" customHeight="1" s="186">
      <c r="B4" s="4" t="inlineStr">
        <is>
          <t>AC</t>
        </is>
      </c>
      <c r="C4" s="5" t="n">
        <v>2645</v>
      </c>
      <c r="D4" s="5" t="n">
        <v>7</v>
      </c>
      <c r="E4" s="5" t="n">
        <v>27</v>
      </c>
      <c r="F4" s="6">
        <f>C4+D4+E4</f>
        <v/>
      </c>
      <c r="G4" s="19">
        <f>C4/F4</f>
        <v/>
      </c>
      <c r="H4" s="42" t="n">
        <v>0.536394176931691</v>
      </c>
    </row>
    <row r="5" ht="15.75" customHeight="1" s="186">
      <c r="B5" s="8" t="inlineStr">
        <is>
          <t>AL</t>
        </is>
      </c>
      <c r="C5" s="9" t="n">
        <v>11937</v>
      </c>
      <c r="D5" s="9" t="n">
        <v>122</v>
      </c>
      <c r="E5" s="9" t="n">
        <v>183</v>
      </c>
      <c r="F5" s="10">
        <f>C5+D5+E5</f>
        <v/>
      </c>
      <c r="G5" s="18">
        <f>C5/F5</f>
        <v/>
      </c>
      <c r="H5" s="43" t="n">
        <v>0.664760660022872</v>
      </c>
    </row>
    <row r="6" ht="15.75" customHeight="1" s="186">
      <c r="B6" s="4" t="inlineStr">
        <is>
          <t>AM</t>
        </is>
      </c>
      <c r="C6" s="5" t="n">
        <v>12079</v>
      </c>
      <c r="D6" s="5" t="n">
        <v>102</v>
      </c>
      <c r="E6" s="5" t="n">
        <v>395</v>
      </c>
      <c r="F6" s="6">
        <f>C6+D6+E6</f>
        <v/>
      </c>
      <c r="G6" s="19">
        <f>C6/F6</f>
        <v/>
      </c>
      <c r="H6" s="42" t="n">
        <v>0.635337150127227</v>
      </c>
    </row>
    <row r="7" ht="15.75" customHeight="1" s="186">
      <c r="B7" s="8" t="inlineStr">
        <is>
          <t>AP</t>
        </is>
      </c>
      <c r="C7" s="9" t="n">
        <v>2084</v>
      </c>
      <c r="D7" s="9" t="n">
        <v>71</v>
      </c>
      <c r="E7" s="9" t="n">
        <v>104</v>
      </c>
      <c r="F7" s="10">
        <f>C7+D7+E7</f>
        <v/>
      </c>
      <c r="G7" s="18">
        <f>C7/F7</f>
        <v/>
      </c>
      <c r="H7" s="43" t="n">
        <v>0.535192563081009</v>
      </c>
    </row>
    <row r="8" ht="15.75" customHeight="1" s="186">
      <c r="B8" s="4" t="inlineStr">
        <is>
          <t>BA</t>
        </is>
      </c>
      <c r="C8" s="5" t="n">
        <v>41817</v>
      </c>
      <c r="D8" s="5" t="n">
        <v>392</v>
      </c>
      <c r="E8" s="5" t="n">
        <v>1240</v>
      </c>
      <c r="F8" s="6">
        <f>C8+D8+E8</f>
        <v/>
      </c>
      <c r="G8" s="19">
        <f>C8/F8</f>
        <v/>
      </c>
      <c r="H8" s="42" t="n">
        <v>0.568942898570738</v>
      </c>
    </row>
    <row r="9" ht="15.75" customHeight="1" s="186">
      <c r="B9" s="8" t="inlineStr">
        <is>
          <t>CE</t>
        </is>
      </c>
      <c r="C9" s="9" t="n">
        <v>29720</v>
      </c>
      <c r="D9" s="9" t="n">
        <v>175</v>
      </c>
      <c r="E9" s="9" t="n">
        <v>1011</v>
      </c>
      <c r="F9" s="10">
        <f>C9+D9+E9</f>
        <v/>
      </c>
      <c r="G9" s="18">
        <f>C9/F9</f>
        <v/>
      </c>
      <c r="H9" s="43" t="n">
        <v>0.476574128001035</v>
      </c>
    </row>
    <row r="10" ht="15.75" customHeight="1" s="186">
      <c r="B10" s="4" t="inlineStr">
        <is>
          <t>DF</t>
        </is>
      </c>
      <c r="C10" s="5" t="n">
        <v>37541</v>
      </c>
      <c r="D10" s="5" t="n">
        <v>5153</v>
      </c>
      <c r="E10" s="5" t="n">
        <v>4828</v>
      </c>
      <c r="F10" s="6">
        <f>C10+D10+E10</f>
        <v/>
      </c>
      <c r="G10" s="19">
        <f>C10/F10</f>
        <v/>
      </c>
      <c r="H10" s="42" t="n">
        <v>0.552796599469719</v>
      </c>
    </row>
    <row r="11" ht="15.75" customHeight="1" s="186">
      <c r="B11" s="8" t="inlineStr">
        <is>
          <t>ES</t>
        </is>
      </c>
      <c r="C11" s="9" t="n">
        <v>11662</v>
      </c>
      <c r="D11" s="9" t="n">
        <v>331</v>
      </c>
      <c r="E11" s="9" t="n">
        <v>601</v>
      </c>
      <c r="F11" s="10">
        <f>C11+D11+E11</f>
        <v/>
      </c>
      <c r="G11" s="18">
        <f>C11/F11</f>
        <v/>
      </c>
      <c r="H11" s="43" t="n">
        <v>0.443385739240908</v>
      </c>
    </row>
    <row r="12" ht="15.75" customHeight="1" s="186">
      <c r="B12" s="4" t="inlineStr">
        <is>
          <t>GO</t>
        </is>
      </c>
      <c r="C12" s="5" t="n">
        <v>80529</v>
      </c>
      <c r="D12" s="5" t="n">
        <v>36518</v>
      </c>
      <c r="E12" s="5" t="n">
        <v>2137</v>
      </c>
      <c r="F12" s="6">
        <f>C12+D12+E12</f>
        <v/>
      </c>
      <c r="G12" s="19">
        <f>C12/F12</f>
        <v/>
      </c>
      <c r="H12" s="42" t="n">
        <v>0.491324338837428</v>
      </c>
    </row>
    <row r="13" ht="15.75" customHeight="1" s="186">
      <c r="B13" s="8" t="inlineStr">
        <is>
          <t>MA</t>
        </is>
      </c>
      <c r="C13" s="9" t="n">
        <v>16677</v>
      </c>
      <c r="D13" s="9" t="n">
        <v>58</v>
      </c>
      <c r="E13" s="9" t="n">
        <v>236</v>
      </c>
      <c r="F13" s="10">
        <f>C13+D13+E13</f>
        <v/>
      </c>
      <c r="G13" s="18">
        <f>C13/F13</f>
        <v/>
      </c>
      <c r="H13" s="43" t="n">
        <v>0.5297861057097401</v>
      </c>
    </row>
    <row r="14" ht="15.75" customHeight="1" s="186">
      <c r="B14" s="4" t="inlineStr">
        <is>
          <t>MG</t>
        </is>
      </c>
      <c r="C14" s="5" t="n">
        <v>110024</v>
      </c>
      <c r="D14" s="5" t="n">
        <v>17798</v>
      </c>
      <c r="E14" s="5" t="n">
        <v>4143</v>
      </c>
      <c r="F14" s="6">
        <f>C14+D14+E14</f>
        <v/>
      </c>
      <c r="G14" s="19">
        <f>C14/F14</f>
        <v/>
      </c>
      <c r="H14" s="42" t="n">
        <v>0.491834956238397</v>
      </c>
    </row>
    <row r="15" ht="15.75" customHeight="1" s="186">
      <c r="B15" s="8" t="inlineStr">
        <is>
          <t>MS</t>
        </is>
      </c>
      <c r="C15" s="9" t="n">
        <v>17109</v>
      </c>
      <c r="D15" s="9" t="n">
        <v>25760</v>
      </c>
      <c r="E15" s="9" t="n">
        <v>1014</v>
      </c>
      <c r="F15" s="10">
        <f>C15+D15+E15</f>
        <v/>
      </c>
      <c r="G15" s="18">
        <f>C15/F15</f>
        <v/>
      </c>
      <c r="H15" s="43" t="n">
        <v>0.498507394663081</v>
      </c>
    </row>
    <row r="16" ht="15.75" customHeight="1" s="186">
      <c r="B16" s="4" t="inlineStr">
        <is>
          <t>MT</t>
        </is>
      </c>
      <c r="C16" s="5" t="n">
        <v>43213</v>
      </c>
      <c r="D16" s="5" t="n">
        <v>9465</v>
      </c>
      <c r="E16" s="5" t="n">
        <v>472</v>
      </c>
      <c r="F16" s="6">
        <f>C16+D16+E16</f>
        <v/>
      </c>
      <c r="G16" s="19">
        <f>C16/F16</f>
        <v/>
      </c>
      <c r="H16" s="42" t="n">
        <v>0.443574788334901</v>
      </c>
    </row>
    <row r="17" ht="15.75" customHeight="1" s="186">
      <c r="B17" s="8" t="inlineStr">
        <is>
          <t>PA</t>
        </is>
      </c>
      <c r="C17" s="9" t="n">
        <v>24060</v>
      </c>
      <c r="D17" s="9" t="n">
        <v>1003</v>
      </c>
      <c r="E17" s="9" t="n">
        <v>712</v>
      </c>
      <c r="F17" s="10">
        <f>C17+D17+E17</f>
        <v/>
      </c>
      <c r="G17" s="18">
        <f>C17/F17</f>
        <v/>
      </c>
      <c r="H17" s="43" t="n">
        <v>0.5404849660523759</v>
      </c>
    </row>
    <row r="18" ht="15.75" customHeight="1" s="186">
      <c r="B18" s="4" t="inlineStr">
        <is>
          <t>PB</t>
        </is>
      </c>
      <c r="C18" s="5" t="n">
        <v>13239</v>
      </c>
      <c r="D18" s="5" t="n">
        <v>79</v>
      </c>
      <c r="E18" s="5" t="n">
        <v>87</v>
      </c>
      <c r="F18" s="6">
        <f>C18+D18+E18</f>
        <v/>
      </c>
      <c r="G18" s="19">
        <f>C18/F18</f>
        <v/>
      </c>
      <c r="H18" s="42" t="n">
        <v>0.671316672883253</v>
      </c>
    </row>
    <row r="19" ht="15.75" customHeight="1" s="186">
      <c r="B19" s="8" t="inlineStr">
        <is>
          <t>PE</t>
        </is>
      </c>
      <c r="C19" s="9" t="n">
        <v>25776</v>
      </c>
      <c r="D19" s="9" t="n">
        <v>215</v>
      </c>
      <c r="E19" s="9" t="n">
        <v>2577</v>
      </c>
      <c r="F19" s="10">
        <f>C19+D19+E19</f>
        <v/>
      </c>
      <c r="G19" s="18">
        <f>C19/F19</f>
        <v/>
      </c>
      <c r="H19" s="43" t="n">
        <v>0.657973956874825</v>
      </c>
    </row>
    <row r="20" ht="15.75" customHeight="1" s="186">
      <c r="B20" s="4" t="inlineStr">
        <is>
          <t>PI</t>
        </is>
      </c>
      <c r="C20" s="5" t="n">
        <v>5040</v>
      </c>
      <c r="D20" s="5" t="n">
        <v>16</v>
      </c>
      <c r="E20" s="5" t="n">
        <v>72</v>
      </c>
      <c r="F20" s="6">
        <f>C20+D20+E20</f>
        <v/>
      </c>
      <c r="G20" s="19">
        <f>C20/F20</f>
        <v/>
      </c>
      <c r="H20" s="42" t="n">
        <v>0.5333463338533539</v>
      </c>
    </row>
    <row r="21" ht="15.75" customHeight="1" s="186">
      <c r="B21" s="8" t="inlineStr">
        <is>
          <t>PR</t>
        </is>
      </c>
      <c r="C21" s="9" t="n">
        <v>133795</v>
      </c>
      <c r="D21" s="9" t="n">
        <v>21244</v>
      </c>
      <c r="E21" s="9" t="n">
        <v>3578</v>
      </c>
      <c r="F21" s="10">
        <f>C21+D21+E21</f>
        <v/>
      </c>
      <c r="G21" s="18">
        <f>C21/F21</f>
        <v/>
      </c>
      <c r="H21" s="43" t="n">
        <v>0.483523203691912</v>
      </c>
    </row>
    <row r="22" ht="15.75" customHeight="1" s="186">
      <c r="B22" s="4" t="inlineStr">
        <is>
          <t>RJ</t>
        </is>
      </c>
      <c r="C22" s="5" t="n">
        <v>53764</v>
      </c>
      <c r="D22" s="5" t="n">
        <v>1579</v>
      </c>
      <c r="E22" s="5" t="n">
        <v>9030</v>
      </c>
      <c r="F22" s="6">
        <f>C22+D22+E22</f>
        <v/>
      </c>
      <c r="G22" s="19">
        <f>C22/F22</f>
        <v/>
      </c>
      <c r="H22" s="42" t="n">
        <v>0.528855265406304</v>
      </c>
    </row>
    <row r="23" ht="15.75" customHeight="1" s="186">
      <c r="B23" s="8" t="inlineStr">
        <is>
          <t>RN</t>
        </is>
      </c>
      <c r="C23" s="9" t="n">
        <v>11027</v>
      </c>
      <c r="D23" s="9" t="n">
        <v>63</v>
      </c>
      <c r="E23" s="9" t="n">
        <v>273</v>
      </c>
      <c r="F23" s="10">
        <f>C23+D23+E23</f>
        <v/>
      </c>
      <c r="G23" s="18">
        <f>C23/F23</f>
        <v/>
      </c>
      <c r="H23" s="43" t="n">
        <v>0.63037930124087</v>
      </c>
    </row>
    <row r="24" ht="15.75" customHeight="1" s="186">
      <c r="B24" s="4" t="inlineStr">
        <is>
          <t>RO</t>
        </is>
      </c>
      <c r="C24" s="5" t="n">
        <v>21523</v>
      </c>
      <c r="D24" s="5" t="n">
        <v>248</v>
      </c>
      <c r="E24" s="5" t="n">
        <v>22</v>
      </c>
      <c r="F24" s="6">
        <f>C24+D24+E24</f>
        <v/>
      </c>
      <c r="G24" s="19">
        <f>C24/F24</f>
        <v/>
      </c>
      <c r="H24" s="42" t="n">
        <v>0.495067223420364</v>
      </c>
    </row>
    <row r="25" ht="15.75" customHeight="1" s="186">
      <c r="B25" s="8" t="inlineStr">
        <is>
          <t>RR</t>
        </is>
      </c>
      <c r="C25" s="9" t="n">
        <v>1826</v>
      </c>
      <c r="D25" s="9" t="n">
        <v>87</v>
      </c>
      <c r="E25" s="9" t="n">
        <v>7</v>
      </c>
      <c r="F25" s="10">
        <f>C25+D25+E25</f>
        <v/>
      </c>
      <c r="G25" s="18">
        <f>C25/F25</f>
        <v/>
      </c>
      <c r="H25" s="43" t="n">
        <v>0.533854166666667</v>
      </c>
    </row>
    <row r="26" ht="15.75" customHeight="1" s="186">
      <c r="B26" s="4" t="inlineStr">
        <is>
          <t>RS</t>
        </is>
      </c>
      <c r="C26" s="5" t="n">
        <v>121404</v>
      </c>
      <c r="D26" s="5" t="n">
        <v>78014</v>
      </c>
      <c r="E26" s="5" t="n">
        <v>6829</v>
      </c>
      <c r="F26" s="6">
        <f>C26+D26+E26</f>
        <v/>
      </c>
      <c r="G26" s="19">
        <f>C26/F26</f>
        <v/>
      </c>
      <c r="H26" s="42" t="n">
        <v>0.385494092035278</v>
      </c>
    </row>
    <row r="27" ht="15.75" customHeight="1" s="186">
      <c r="B27" s="8" t="inlineStr">
        <is>
          <t>SC</t>
        </is>
      </c>
      <c r="C27" s="9" t="n">
        <v>103995</v>
      </c>
      <c r="D27" s="9" t="n">
        <v>26462</v>
      </c>
      <c r="E27" s="9" t="n">
        <v>1557</v>
      </c>
      <c r="F27" s="10">
        <f>C27+D27+E27</f>
        <v/>
      </c>
      <c r="G27" s="18">
        <f>C27/F27</f>
        <v/>
      </c>
      <c r="H27" s="43" t="n">
        <v>0.456853061038981</v>
      </c>
    </row>
    <row r="28" ht="15.75" customHeight="1" s="186">
      <c r="B28" s="4" t="inlineStr">
        <is>
          <t>SE</t>
        </is>
      </c>
      <c r="C28" s="5" t="n">
        <v>3224</v>
      </c>
      <c r="D28" s="5" t="n">
        <v>15</v>
      </c>
      <c r="E28" s="5" t="n">
        <v>62</v>
      </c>
      <c r="F28" s="6">
        <f>C28+D28+E28</f>
        <v/>
      </c>
      <c r="G28" s="19">
        <f>C28/F28</f>
        <v/>
      </c>
      <c r="H28" s="42" t="n">
        <v>0.657982429566798</v>
      </c>
    </row>
    <row r="29" ht="15.75" customHeight="1" s="186">
      <c r="B29" s="8" t="inlineStr">
        <is>
          <t>SP</t>
        </is>
      </c>
      <c r="C29" s="9" t="n">
        <v>352432</v>
      </c>
      <c r="D29" s="9" t="n">
        <v>41290</v>
      </c>
      <c r="E29" s="9" t="n">
        <v>34665</v>
      </c>
      <c r="F29" s="10">
        <f>C29+D29+E29</f>
        <v/>
      </c>
      <c r="G29" s="18">
        <f>C29/F29</f>
        <v/>
      </c>
      <c r="H29" s="43" t="n">
        <v>0.514319995704818</v>
      </c>
    </row>
    <row r="30" ht="15.75" customHeight="1" s="186">
      <c r="B30" s="4" t="inlineStr">
        <is>
          <t>TO</t>
        </is>
      </c>
      <c r="C30" s="5" t="n">
        <v>12472</v>
      </c>
      <c r="D30" s="5" t="n">
        <v>994</v>
      </c>
      <c r="E30" s="5" t="n">
        <v>331</v>
      </c>
      <c r="F30" s="6">
        <f>C30+D30+E30</f>
        <v/>
      </c>
      <c r="G30" s="19">
        <f>C30/F30</f>
        <v/>
      </c>
      <c r="H30" s="42" t="n">
        <v>0.450677683554396</v>
      </c>
    </row>
    <row r="31" ht="18" customHeight="1" s="186">
      <c r="B31" s="11" t="inlineStr">
        <is>
          <t>BRASIL</t>
        </is>
      </c>
      <c r="C31" s="12">
        <f>SUM(C4:C30)</f>
        <v/>
      </c>
      <c r="D31" s="12">
        <f>SUM(D4:D30)</f>
        <v/>
      </c>
      <c r="E31" s="12">
        <f>SUM(E4:E30)</f>
        <v/>
      </c>
      <c r="F31" s="12">
        <f>SUM(F4:F30)</f>
        <v/>
      </c>
      <c r="G31" s="44">
        <f>C31/F31</f>
        <v/>
      </c>
      <c r="H31" s="13">
        <f>SUM(H4:H30)/27</f>
        <v/>
      </c>
    </row>
    <row r="32" ht="27.75" customHeight="1" s="186">
      <c r="B32" s="190" t="inlineStr">
        <is>
          <t>* % Restrito = armas de calibre restrito ao civil / total de armas por UF. Calibres restritos: 9x19mm, .40, .45 e outros de uso militar. XX = registros sem UF identificada (excluídos da análise).</t>
        </is>
      </c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8" customWidth="1" style="186" min="3" max="3"/>
    <col width="14" customWidth="1" style="186" min="4" max="5"/>
    <col width="16" customWidth="1" style="186" min="6" max="6"/>
    <col width="14" customWidth="1" style="186" min="7" max="7"/>
    <col width="16" customWidth="1" style="186" min="8" max="8"/>
  </cols>
  <sheetData>
    <row r="1" ht="21.75" customHeight="1" s="186">
      <c r="B1" s="189" t="inlineStr">
        <is>
          <t>Estoque de Armas CAC por UF — Uso Restrito (calibres restritos ao civil)</t>
        </is>
      </c>
    </row>
    <row r="2" ht="12.75" customHeight="1" s="186">
      <c r="B2" s="188" t="inlineStr">
        <is>
          <t>Total nacional: 810,705 armas — Fonte: Exército Brasileiro / PF — Dashboard SINARM/CAC (jul/2025) | Calibres restritos: 9x19mm, .40, .45 e outros de uso militar/policial</t>
        </is>
      </c>
    </row>
    <row r="3" ht="27.75" customHeight="1" s="186">
      <c r="B3" s="1" t="inlineStr">
        <is>
          <t>UF</t>
        </is>
      </c>
      <c r="C3" s="2" t="inlineStr">
        <is>
          <t>Atirador Desportivo</t>
        </is>
      </c>
      <c r="D3" s="39" t="inlineStr">
        <is>
          <t>Caçador</t>
        </is>
      </c>
      <c r="E3" s="40" t="inlineStr">
        <is>
          <t>Colecionador</t>
        </is>
      </c>
      <c r="F3" s="1" t="inlineStr">
        <is>
          <t>TOTAL ARMAS</t>
        </is>
      </c>
      <c r="G3" s="2" t="inlineStr">
        <is>
          <t>% Atirador</t>
        </is>
      </c>
      <c r="H3" s="41" t="inlineStr">
        <is>
          <t>% Restrito*</t>
        </is>
      </c>
    </row>
    <row r="4" ht="15.75" customHeight="1" s="186">
      <c r="B4" s="4" t="inlineStr">
        <is>
          <t>AC</t>
        </is>
      </c>
      <c r="C4" s="5" t="n">
        <v>1417</v>
      </c>
      <c r="D4" s="5" t="n">
        <v>3</v>
      </c>
      <c r="E4" s="5" t="n">
        <v>17</v>
      </c>
      <c r="F4" s="6">
        <f>C4+D4+E4</f>
        <v/>
      </c>
      <c r="G4" s="19">
        <f>C4/F4</f>
        <v/>
      </c>
      <c r="H4" s="15" t="inlineStr">
        <is>
          <t>—</t>
        </is>
      </c>
    </row>
    <row r="5" ht="15.75" customHeight="1" s="186">
      <c r="B5" s="8" t="inlineStr">
        <is>
          <t>AL</t>
        </is>
      </c>
      <c r="C5" s="9" t="n">
        <v>7966</v>
      </c>
      <c r="D5" s="9" t="n">
        <v>80</v>
      </c>
      <c r="E5" s="9" t="n">
        <v>92</v>
      </c>
      <c r="F5" s="10">
        <f>C5+D5+E5</f>
        <v/>
      </c>
      <c r="G5" s="18">
        <f>C5/F5</f>
        <v/>
      </c>
      <c r="H5" s="46" t="inlineStr">
        <is>
          <t>—</t>
        </is>
      </c>
    </row>
    <row r="6" ht="15.75" customHeight="1" s="186">
      <c r="B6" s="4" t="inlineStr">
        <is>
          <t>AM</t>
        </is>
      </c>
      <c r="C6" s="5" t="n">
        <v>7784</v>
      </c>
      <c r="D6" s="5" t="n">
        <v>40</v>
      </c>
      <c r="E6" s="5" t="n">
        <v>166</v>
      </c>
      <c r="F6" s="6">
        <f>C6+D6+E6</f>
        <v/>
      </c>
      <c r="G6" s="19">
        <f>C6/F6</f>
        <v/>
      </c>
      <c r="H6" s="15" t="inlineStr">
        <is>
          <t>—</t>
        </is>
      </c>
    </row>
    <row r="7" ht="15.75" customHeight="1" s="186">
      <c r="B7" s="8" t="inlineStr">
        <is>
          <t>AP</t>
        </is>
      </c>
      <c r="C7" s="9" t="n">
        <v>1109</v>
      </c>
      <c r="D7" s="9" t="n">
        <v>42</v>
      </c>
      <c r="E7" s="9" t="n">
        <v>58</v>
      </c>
      <c r="F7" s="10">
        <f>C7+D7+E7</f>
        <v/>
      </c>
      <c r="G7" s="18">
        <f>C7/F7</f>
        <v/>
      </c>
      <c r="H7" s="46" t="inlineStr">
        <is>
          <t>—</t>
        </is>
      </c>
    </row>
    <row r="8" ht="15.75" customHeight="1" s="186">
      <c r="B8" s="4" t="inlineStr">
        <is>
          <t>BA</t>
        </is>
      </c>
      <c r="C8" s="5" t="n">
        <v>24085</v>
      </c>
      <c r="D8" s="5" t="n">
        <v>179</v>
      </c>
      <c r="E8" s="5" t="n">
        <v>456</v>
      </c>
      <c r="F8" s="6">
        <f>C8+D8+E8</f>
        <v/>
      </c>
      <c r="G8" s="19">
        <f>C8/F8</f>
        <v/>
      </c>
      <c r="H8" s="15" t="inlineStr">
        <is>
          <t>—</t>
        </is>
      </c>
    </row>
    <row r="9" ht="15.75" customHeight="1" s="186">
      <c r="B9" s="8" t="inlineStr">
        <is>
          <t>CE</t>
        </is>
      </c>
      <c r="C9" s="9" t="n">
        <v>14146</v>
      </c>
      <c r="D9" s="9" t="n">
        <v>93</v>
      </c>
      <c r="E9" s="9" t="n">
        <v>490</v>
      </c>
      <c r="F9" s="10">
        <f>C9+D9+E9</f>
        <v/>
      </c>
      <c r="G9" s="18">
        <f>C9/F9</f>
        <v/>
      </c>
      <c r="H9" s="46" t="inlineStr">
        <is>
          <t>—</t>
        </is>
      </c>
    </row>
    <row r="10" ht="15.75" customHeight="1" s="186">
      <c r="B10" s="4" t="inlineStr">
        <is>
          <t>DF</t>
        </is>
      </c>
      <c r="C10" s="5" t="n">
        <v>21400</v>
      </c>
      <c r="D10" s="5" t="n">
        <v>2260</v>
      </c>
      <c r="E10" s="5" t="n">
        <v>2610</v>
      </c>
      <c r="F10" s="6">
        <f>C10+D10+E10</f>
        <v/>
      </c>
      <c r="G10" s="19">
        <f>C10/F10</f>
        <v/>
      </c>
      <c r="H10" s="15" t="inlineStr">
        <is>
          <t>—</t>
        </is>
      </c>
    </row>
    <row r="11" ht="15.75" customHeight="1" s="186">
      <c r="B11" s="8" t="inlineStr">
        <is>
          <t>ES</t>
        </is>
      </c>
      <c r="C11" s="9" t="n">
        <v>5226</v>
      </c>
      <c r="D11" s="9" t="n">
        <v>172</v>
      </c>
      <c r="E11" s="9" t="n">
        <v>186</v>
      </c>
      <c r="F11" s="10">
        <f>C11+D11+E11</f>
        <v/>
      </c>
      <c r="G11" s="18">
        <f>C11/F11</f>
        <v/>
      </c>
      <c r="H11" s="46" t="inlineStr">
        <is>
          <t>—</t>
        </is>
      </c>
    </row>
    <row r="12" ht="15.75" customHeight="1" s="186">
      <c r="B12" s="4" t="inlineStr">
        <is>
          <t>GO</t>
        </is>
      </c>
      <c r="C12" s="5" t="n">
        <v>41909</v>
      </c>
      <c r="D12" s="5" t="n">
        <v>15759</v>
      </c>
      <c r="E12" s="5" t="n">
        <v>890</v>
      </c>
      <c r="F12" s="6">
        <f>C12+D12+E12</f>
        <v/>
      </c>
      <c r="G12" s="19">
        <f>C12/F12</f>
        <v/>
      </c>
      <c r="H12" s="15" t="inlineStr">
        <is>
          <t>—</t>
        </is>
      </c>
    </row>
    <row r="13" ht="15.75" customHeight="1" s="186">
      <c r="B13" s="8" t="inlineStr">
        <is>
          <t>MA</t>
        </is>
      </c>
      <c r="C13" s="9" t="n">
        <v>8871</v>
      </c>
      <c r="D13" s="9" t="n">
        <v>31</v>
      </c>
      <c r="E13" s="9" t="n">
        <v>89</v>
      </c>
      <c r="F13" s="10">
        <f>C13+D13+E13</f>
        <v/>
      </c>
      <c r="G13" s="18">
        <f>C13/F13</f>
        <v/>
      </c>
      <c r="H13" s="46" t="inlineStr">
        <is>
          <t>—</t>
        </is>
      </c>
    </row>
    <row r="14" ht="15.75" customHeight="1" s="186">
      <c r="B14" s="4" t="inlineStr">
        <is>
          <t>MG</t>
        </is>
      </c>
      <c r="C14" s="5" t="n">
        <v>56404</v>
      </c>
      <c r="D14" s="5" t="n">
        <v>6935</v>
      </c>
      <c r="E14" s="5" t="n">
        <v>1566</v>
      </c>
      <c r="F14" s="6">
        <f>C14+D14+E14</f>
        <v/>
      </c>
      <c r="G14" s="19">
        <f>C14/F14</f>
        <v/>
      </c>
      <c r="H14" s="15" t="inlineStr">
        <is>
          <t>—</t>
        </is>
      </c>
    </row>
    <row r="15" ht="15.75" customHeight="1" s="186">
      <c r="B15" s="8" t="inlineStr">
        <is>
          <t>MS</t>
        </is>
      </c>
      <c r="C15" s="9" t="n">
        <v>8595</v>
      </c>
      <c r="D15" s="9" t="n">
        <v>12980</v>
      </c>
      <c r="E15" s="9" t="n">
        <v>301</v>
      </c>
      <c r="F15" s="10">
        <f>C15+D15+E15</f>
        <v/>
      </c>
      <c r="G15" s="18">
        <f>C15/F15</f>
        <v/>
      </c>
      <c r="H15" s="46" t="inlineStr">
        <is>
          <t>—</t>
        </is>
      </c>
    </row>
    <row r="16" ht="15.75" customHeight="1" s="186">
      <c r="B16" s="4" t="inlineStr">
        <is>
          <t>MT</t>
        </is>
      </c>
      <c r="C16" s="5" t="n">
        <v>19159</v>
      </c>
      <c r="D16" s="5" t="n">
        <v>4255</v>
      </c>
      <c r="E16" s="5" t="n">
        <v>162</v>
      </c>
      <c r="F16" s="6">
        <f>C16+D16+E16</f>
        <v/>
      </c>
      <c r="G16" s="19">
        <f>C16/F16</f>
        <v/>
      </c>
      <c r="H16" s="15" t="inlineStr">
        <is>
          <t>—</t>
        </is>
      </c>
    </row>
    <row r="17" ht="15.75" customHeight="1" s="186">
      <c r="B17" s="8" t="inlineStr">
        <is>
          <t>PA</t>
        </is>
      </c>
      <c r="C17" s="9" t="n">
        <v>13161</v>
      </c>
      <c r="D17" s="9" t="n">
        <v>431</v>
      </c>
      <c r="E17" s="9" t="n">
        <v>339</v>
      </c>
      <c r="F17" s="10">
        <f>C17+D17+E17</f>
        <v/>
      </c>
      <c r="G17" s="18">
        <f>C17/F17</f>
        <v/>
      </c>
      <c r="H17" s="46" t="inlineStr">
        <is>
          <t>—</t>
        </is>
      </c>
    </row>
    <row r="18" ht="15.75" customHeight="1" s="186">
      <c r="B18" s="4" t="inlineStr">
        <is>
          <t>PB</t>
        </is>
      </c>
      <c r="C18" s="5" t="n">
        <v>8914</v>
      </c>
      <c r="D18" s="5" t="n">
        <v>43</v>
      </c>
      <c r="E18" s="5" t="n">
        <v>42</v>
      </c>
      <c r="F18" s="6">
        <f>C18+D18+E18</f>
        <v/>
      </c>
      <c r="G18" s="19">
        <f>C18/F18</f>
        <v/>
      </c>
      <c r="H18" s="15" t="inlineStr">
        <is>
          <t>—</t>
        </is>
      </c>
    </row>
    <row r="19" ht="15.75" customHeight="1" s="186">
      <c r="B19" s="8" t="inlineStr">
        <is>
          <t>PE</t>
        </is>
      </c>
      <c r="C19" s="9" t="n">
        <v>17801</v>
      </c>
      <c r="D19" s="9" t="n">
        <v>79</v>
      </c>
      <c r="E19" s="9" t="n">
        <v>917</v>
      </c>
      <c r="F19" s="10">
        <f>C19+D19+E19</f>
        <v/>
      </c>
      <c r="G19" s="18">
        <f>C19/F19</f>
        <v/>
      </c>
      <c r="H19" s="46" t="inlineStr">
        <is>
          <t>—</t>
        </is>
      </c>
    </row>
    <row r="20" ht="15.75" customHeight="1" s="186">
      <c r="B20" s="4" t="inlineStr">
        <is>
          <t>PI</t>
        </is>
      </c>
      <c r="C20" s="5" t="n">
        <v>2704</v>
      </c>
      <c r="D20" s="5" t="n">
        <v>9</v>
      </c>
      <c r="E20" s="5" t="n">
        <v>22</v>
      </c>
      <c r="F20" s="6">
        <f>C20+D20+E20</f>
        <v/>
      </c>
      <c r="G20" s="19">
        <f>C20/F20</f>
        <v/>
      </c>
      <c r="H20" s="15" t="inlineStr">
        <is>
          <t>—</t>
        </is>
      </c>
    </row>
    <row r="21" ht="15.75" customHeight="1" s="186">
      <c r="B21" s="8" t="inlineStr">
        <is>
          <t>PR</t>
        </is>
      </c>
      <c r="C21" s="9" t="n">
        <v>66489</v>
      </c>
      <c r="D21" s="9" t="n">
        <v>8818</v>
      </c>
      <c r="E21" s="9" t="n">
        <v>1388</v>
      </c>
      <c r="F21" s="10">
        <f>C21+D21+E21</f>
        <v/>
      </c>
      <c r="G21" s="18">
        <f>C21/F21</f>
        <v/>
      </c>
      <c r="H21" s="46" t="inlineStr">
        <is>
          <t>—</t>
        </is>
      </c>
    </row>
    <row r="22" ht="15.75" customHeight="1" s="186">
      <c r="B22" s="4" t="inlineStr">
        <is>
          <t>RJ</t>
        </is>
      </c>
      <c r="C22" s="5" t="n">
        <v>29133</v>
      </c>
      <c r="D22" s="5" t="n">
        <v>867</v>
      </c>
      <c r="E22" s="5" t="n">
        <v>4044</v>
      </c>
      <c r="F22" s="6">
        <f>C22+D22+E22</f>
        <v/>
      </c>
      <c r="G22" s="19">
        <f>C22/F22</f>
        <v/>
      </c>
      <c r="H22" s="15" t="inlineStr">
        <is>
          <t>—</t>
        </is>
      </c>
    </row>
    <row r="23" ht="15.75" customHeight="1" s="186">
      <c r="B23" s="8" t="inlineStr">
        <is>
          <t>RN</t>
        </is>
      </c>
      <c r="C23" s="9" t="n">
        <v>6959</v>
      </c>
      <c r="D23" s="9" t="n">
        <v>38</v>
      </c>
      <c r="E23" s="9" t="n">
        <v>166</v>
      </c>
      <c r="F23" s="10">
        <f>C23+D23+E23</f>
        <v/>
      </c>
      <c r="G23" s="18">
        <f>C23/F23</f>
        <v/>
      </c>
      <c r="H23" s="46" t="inlineStr">
        <is>
          <t>—</t>
        </is>
      </c>
    </row>
    <row r="24" ht="15.75" customHeight="1" s="186">
      <c r="B24" s="4" t="inlineStr">
        <is>
          <t>RO</t>
        </is>
      </c>
      <c r="C24" s="5" t="n">
        <v>10637</v>
      </c>
      <c r="D24" s="5" t="n">
        <v>142</v>
      </c>
      <c r="E24" s="5" t="n">
        <v>10</v>
      </c>
      <c r="F24" s="6">
        <f>C24+D24+E24</f>
        <v/>
      </c>
      <c r="G24" s="19">
        <f>C24/F24</f>
        <v/>
      </c>
      <c r="H24" s="15" t="inlineStr">
        <is>
          <t>—</t>
        </is>
      </c>
    </row>
    <row r="25" ht="15.75" customHeight="1" s="186">
      <c r="B25" s="8" t="inlineStr">
        <is>
          <t>RR</t>
        </is>
      </c>
      <c r="C25" s="9" t="n">
        <v>980</v>
      </c>
      <c r="D25" s="9" t="n">
        <v>39</v>
      </c>
      <c r="E25" s="9" t="n">
        <v>6</v>
      </c>
      <c r="F25" s="10">
        <f>C25+D25+E25</f>
        <v/>
      </c>
      <c r="G25" s="18">
        <f>C25/F25</f>
        <v/>
      </c>
      <c r="H25" s="46" t="inlineStr">
        <is>
          <t>—</t>
        </is>
      </c>
    </row>
    <row r="26" ht="15.75" customHeight="1" s="186">
      <c r="B26" s="4" t="inlineStr">
        <is>
          <t>RS</t>
        </is>
      </c>
      <c r="C26" s="5" t="n">
        <v>50728</v>
      </c>
      <c r="D26" s="5" t="n">
        <v>26124</v>
      </c>
      <c r="E26" s="5" t="n">
        <v>2655</v>
      </c>
      <c r="F26" s="6">
        <f>C26+D26+E26</f>
        <v/>
      </c>
      <c r="G26" s="19">
        <f>C26/F26</f>
        <v/>
      </c>
      <c r="H26" s="15" t="inlineStr">
        <is>
          <t>—</t>
        </is>
      </c>
    </row>
    <row r="27" ht="15.75" customHeight="1" s="186">
      <c r="B27" s="8" t="inlineStr">
        <is>
          <t>SC</t>
        </is>
      </c>
      <c r="C27" s="9" t="n">
        <v>48410</v>
      </c>
      <c r="D27" s="9" t="n">
        <v>11295</v>
      </c>
      <c r="E27" s="9" t="n">
        <v>606</v>
      </c>
      <c r="F27" s="10">
        <f>C27+D27+E27</f>
        <v/>
      </c>
      <c r="G27" s="18">
        <f>C27/F27</f>
        <v/>
      </c>
      <c r="H27" s="46" t="inlineStr">
        <is>
          <t>—</t>
        </is>
      </c>
    </row>
    <row r="28" ht="15.75" customHeight="1" s="186">
      <c r="B28" s="4" t="inlineStr">
        <is>
          <t>SE</t>
        </is>
      </c>
      <c r="C28" s="5" t="n">
        <v>2141</v>
      </c>
      <c r="D28" s="5" t="n">
        <v>10</v>
      </c>
      <c r="E28" s="5" t="n">
        <v>21</v>
      </c>
      <c r="F28" s="6">
        <f>C28+D28+E28</f>
        <v/>
      </c>
      <c r="G28" s="19">
        <f>C28/F28</f>
        <v/>
      </c>
      <c r="H28" s="15" t="inlineStr">
        <is>
          <t>—</t>
        </is>
      </c>
    </row>
    <row r="29" ht="15.75" customHeight="1" s="186">
      <c r="B29" s="8" t="inlineStr">
        <is>
          <t>SP</t>
        </is>
      </c>
      <c r="C29" s="9" t="n">
        <v>186530</v>
      </c>
      <c r="D29" s="9" t="n">
        <v>20144</v>
      </c>
      <c r="E29" s="9" t="n">
        <v>13654</v>
      </c>
      <c r="F29" s="10">
        <f>C29+D29+E29</f>
        <v/>
      </c>
      <c r="G29" s="18">
        <f>C29/F29</f>
        <v/>
      </c>
      <c r="H29" s="46" t="inlineStr">
        <is>
          <t>—</t>
        </is>
      </c>
    </row>
    <row r="30" ht="15.75" customHeight="1" s="186">
      <c r="B30" s="4" t="inlineStr">
        <is>
          <t>TO</t>
        </is>
      </c>
      <c r="C30" s="5" t="n">
        <v>5615</v>
      </c>
      <c r="D30" s="5" t="n">
        <v>480</v>
      </c>
      <c r="E30" s="5" t="n">
        <v>123</v>
      </c>
      <c r="F30" s="6">
        <f>C30+D30+E30</f>
        <v/>
      </c>
      <c r="G30" s="19">
        <f>C30/F30</f>
        <v/>
      </c>
      <c r="H30" s="15" t="inlineStr">
        <is>
          <t>—</t>
        </is>
      </c>
    </row>
    <row r="31" ht="18" customHeight="1" s="186">
      <c r="B31" s="11" t="inlineStr">
        <is>
          <t>BRASIL</t>
        </is>
      </c>
      <c r="C31" s="12">
        <f>SUM(C4:C30)</f>
        <v/>
      </c>
      <c r="D31" s="12">
        <f>SUM(D4:D30)</f>
        <v/>
      </c>
      <c r="E31" s="12">
        <f>SUM(E4:E30)</f>
        <v/>
      </c>
      <c r="F31" s="12">
        <f>SUM(F4:F30)</f>
        <v/>
      </c>
      <c r="G31" s="44">
        <f>C31/F31</f>
        <v/>
      </c>
      <c r="H31" s="11" t="inlineStr">
        <is>
          <t>—</t>
        </is>
      </c>
    </row>
    <row r="32" ht="27.75" customHeight="1" s="186">
      <c r="B32" s="190" t="inlineStr">
        <is>
          <t>* % Restrito = armas de calibre restrito ao civil / total de armas por UF. Calibres restritos: 9x19mm, .40, .45 e outros de uso militar. XX = registros sem UF identificada (excluídos da análise).</t>
        </is>
      </c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8" customWidth="1" style="186" min="3" max="3"/>
    <col width="14" customWidth="1" style="186" min="4" max="5"/>
    <col width="16" customWidth="1" style="186" min="6" max="6"/>
    <col width="14" customWidth="1" style="186" min="7" max="7"/>
    <col width="16" customWidth="1" style="186" min="8" max="8"/>
  </cols>
  <sheetData>
    <row r="1" ht="21.75" customHeight="1" s="186">
      <c r="B1" s="189" t="inlineStr">
        <is>
          <t>Estoque de Armas CAC por UF — Uso Permitido (calibres permitidos ao civil)</t>
        </is>
      </c>
    </row>
    <row r="2" ht="12.75" customHeight="1" s="186">
      <c r="B2" s="188" t="inlineStr">
        <is>
          <t>Total nacional: 833,379 armas — Fonte: Exército Brasileiro / PF — Dashboard SINARM/CAC (jul/2025) | Calibres permitidos: .22, 12GA, .38, .357 e outros de uso civil</t>
        </is>
      </c>
    </row>
    <row r="3" ht="27.75" customHeight="1" s="186">
      <c r="B3" s="1" t="inlineStr">
        <is>
          <t>UF</t>
        </is>
      </c>
      <c r="C3" s="2" t="inlineStr">
        <is>
          <t>Atirador Desportivo</t>
        </is>
      </c>
      <c r="D3" s="39" t="inlineStr">
        <is>
          <t>Caçador</t>
        </is>
      </c>
      <c r="E3" s="40" t="inlineStr">
        <is>
          <t>Colecionador</t>
        </is>
      </c>
      <c r="F3" s="1" t="inlineStr">
        <is>
          <t>TOTAL ARMAS</t>
        </is>
      </c>
      <c r="G3" s="2" t="inlineStr">
        <is>
          <t>% Atirador</t>
        </is>
      </c>
      <c r="H3" s="41" t="inlineStr">
        <is>
          <t>% Restrito*</t>
        </is>
      </c>
    </row>
    <row r="4" ht="15.75" customHeight="1" s="186">
      <c r="B4" s="4" t="inlineStr">
        <is>
          <t>AC</t>
        </is>
      </c>
      <c r="C4" s="5" t="n">
        <v>1228</v>
      </c>
      <c r="D4" s="5" t="n">
        <v>4</v>
      </c>
      <c r="E4" s="5" t="n">
        <v>10</v>
      </c>
      <c r="F4" s="6">
        <f>C4+D4+E4</f>
        <v/>
      </c>
      <c r="G4" s="19">
        <f>C4/F4</f>
        <v/>
      </c>
      <c r="H4" s="15" t="inlineStr">
        <is>
          <t>—</t>
        </is>
      </c>
    </row>
    <row r="5" ht="15.75" customHeight="1" s="186">
      <c r="B5" s="8" t="inlineStr">
        <is>
          <t>AL</t>
        </is>
      </c>
      <c r="C5" s="9" t="n">
        <v>3971</v>
      </c>
      <c r="D5" s="9" t="n">
        <v>42</v>
      </c>
      <c r="E5" s="9" t="n">
        <v>91</v>
      </c>
      <c r="F5" s="10">
        <f>C5+D5+E5</f>
        <v/>
      </c>
      <c r="G5" s="18">
        <f>C5/F5</f>
        <v/>
      </c>
      <c r="H5" s="46" t="inlineStr">
        <is>
          <t>—</t>
        </is>
      </c>
    </row>
    <row r="6" ht="15.75" customHeight="1" s="186">
      <c r="B6" s="4" t="inlineStr">
        <is>
          <t>AM</t>
        </is>
      </c>
      <c r="C6" s="5" t="n">
        <v>4295</v>
      </c>
      <c r="D6" s="5" t="n">
        <v>62</v>
      </c>
      <c r="E6" s="5" t="n">
        <v>229</v>
      </c>
      <c r="F6" s="6">
        <f>C6+D6+E6</f>
        <v/>
      </c>
      <c r="G6" s="19">
        <f>C6/F6</f>
        <v/>
      </c>
      <c r="H6" s="15" t="inlineStr">
        <is>
          <t>—</t>
        </is>
      </c>
    </row>
    <row r="7" ht="15.75" customHeight="1" s="186">
      <c r="B7" s="8" t="inlineStr">
        <is>
          <t>AP</t>
        </is>
      </c>
      <c r="C7" s="9" t="n">
        <v>975</v>
      </c>
      <c r="D7" s="9" t="n">
        <v>29</v>
      </c>
      <c r="E7" s="9" t="n">
        <v>46</v>
      </c>
      <c r="F7" s="10">
        <f>C7+D7+E7</f>
        <v/>
      </c>
      <c r="G7" s="18">
        <f>C7/F7</f>
        <v/>
      </c>
      <c r="H7" s="46" t="inlineStr">
        <is>
          <t>—</t>
        </is>
      </c>
    </row>
    <row r="8" ht="15.75" customHeight="1" s="186">
      <c r="B8" s="4" t="inlineStr">
        <is>
          <t>BA</t>
        </is>
      </c>
      <c r="C8" s="5" t="n">
        <v>17732</v>
      </c>
      <c r="D8" s="5" t="n">
        <v>213</v>
      </c>
      <c r="E8" s="5" t="n">
        <v>784</v>
      </c>
      <c r="F8" s="6">
        <f>C8+D8+E8</f>
        <v/>
      </c>
      <c r="G8" s="19">
        <f>C8/F8</f>
        <v/>
      </c>
      <c r="H8" s="15" t="inlineStr">
        <is>
          <t>—</t>
        </is>
      </c>
    </row>
    <row r="9" ht="15.75" customHeight="1" s="186">
      <c r="B9" s="8" t="inlineStr">
        <is>
          <t>CE</t>
        </is>
      </c>
      <c r="C9" s="9" t="n">
        <v>15574</v>
      </c>
      <c r="D9" s="9" t="n">
        <v>82</v>
      </c>
      <c r="E9" s="9" t="n">
        <v>521</v>
      </c>
      <c r="F9" s="10">
        <f>C9+D9+E9</f>
        <v/>
      </c>
      <c r="G9" s="18">
        <f>C9/F9</f>
        <v/>
      </c>
      <c r="H9" s="46" t="inlineStr">
        <is>
          <t>—</t>
        </is>
      </c>
    </row>
    <row r="10" ht="15.75" customHeight="1" s="186">
      <c r="B10" s="4" t="inlineStr">
        <is>
          <t>DF</t>
        </is>
      </c>
      <c r="C10" s="5" t="n">
        <v>16141</v>
      </c>
      <c r="D10" s="5" t="n">
        <v>2893</v>
      </c>
      <c r="E10" s="5" t="n">
        <v>2218</v>
      </c>
      <c r="F10" s="6">
        <f>C10+D10+E10</f>
        <v/>
      </c>
      <c r="G10" s="19">
        <f>C10/F10</f>
        <v/>
      </c>
      <c r="H10" s="15" t="inlineStr">
        <is>
          <t>—</t>
        </is>
      </c>
    </row>
    <row r="11" ht="15.75" customHeight="1" s="186">
      <c r="B11" s="8" t="inlineStr">
        <is>
          <t>ES</t>
        </is>
      </c>
      <c r="C11" s="9" t="n">
        <v>6436</v>
      </c>
      <c r="D11" s="9" t="n">
        <v>159</v>
      </c>
      <c r="E11" s="9" t="n">
        <v>415</v>
      </c>
      <c r="F11" s="10">
        <f>C11+D11+E11</f>
        <v/>
      </c>
      <c r="G11" s="18">
        <f>C11/F11</f>
        <v/>
      </c>
      <c r="H11" s="46" t="inlineStr">
        <is>
          <t>—</t>
        </is>
      </c>
    </row>
    <row r="12" ht="15.75" customHeight="1" s="186">
      <c r="B12" s="4" t="inlineStr">
        <is>
          <t>GO</t>
        </is>
      </c>
      <c r="C12" s="5" t="n">
        <v>38620</v>
      </c>
      <c r="D12" s="5" t="n">
        <v>20759</v>
      </c>
      <c r="E12" s="5" t="n">
        <v>1247</v>
      </c>
      <c r="F12" s="6">
        <f>C12+D12+E12</f>
        <v/>
      </c>
      <c r="G12" s="19">
        <f>C12/F12</f>
        <v/>
      </c>
      <c r="H12" s="15" t="inlineStr">
        <is>
          <t>—</t>
        </is>
      </c>
    </row>
    <row r="13" ht="15.75" customHeight="1" s="186">
      <c r="B13" s="8" t="inlineStr">
        <is>
          <t>MA</t>
        </is>
      </c>
      <c r="C13" s="9" t="n">
        <v>7806</v>
      </c>
      <c r="D13" s="9" t="n">
        <v>27</v>
      </c>
      <c r="E13" s="9" t="n">
        <v>147</v>
      </c>
      <c r="F13" s="10">
        <f>C13+D13+E13</f>
        <v/>
      </c>
      <c r="G13" s="18">
        <f>C13/F13</f>
        <v/>
      </c>
      <c r="H13" s="46" t="inlineStr">
        <is>
          <t>—</t>
        </is>
      </c>
    </row>
    <row r="14" ht="15.75" customHeight="1" s="186">
      <c r="B14" s="4" t="inlineStr">
        <is>
          <t>MG</t>
        </is>
      </c>
      <c r="C14" s="5" t="n">
        <v>53620</v>
      </c>
      <c r="D14" s="5" t="n">
        <v>10863</v>
      </c>
      <c r="E14" s="5" t="n">
        <v>2577</v>
      </c>
      <c r="F14" s="6">
        <f>C14+D14+E14</f>
        <v/>
      </c>
      <c r="G14" s="19">
        <f>C14/F14</f>
        <v/>
      </c>
      <c r="H14" s="15" t="inlineStr">
        <is>
          <t>—</t>
        </is>
      </c>
    </row>
    <row r="15" ht="15.75" customHeight="1" s="186">
      <c r="B15" s="8" t="inlineStr">
        <is>
          <t>MS</t>
        </is>
      </c>
      <c r="C15" s="9" t="n">
        <v>8514</v>
      </c>
      <c r="D15" s="9" t="n">
        <v>12780</v>
      </c>
      <c r="E15" s="9" t="n">
        <v>713</v>
      </c>
      <c r="F15" s="10">
        <f>C15+D15+E15</f>
        <v/>
      </c>
      <c r="G15" s="18">
        <f>C15/F15</f>
        <v/>
      </c>
      <c r="H15" s="46" t="inlineStr">
        <is>
          <t>—</t>
        </is>
      </c>
    </row>
    <row r="16" ht="15.75" customHeight="1" s="186">
      <c r="B16" s="4" t="inlineStr">
        <is>
          <t>MT</t>
        </is>
      </c>
      <c r="C16" s="5" t="n">
        <v>24054</v>
      </c>
      <c r="D16" s="5" t="n">
        <v>5210</v>
      </c>
      <c r="E16" s="5" t="n">
        <v>310</v>
      </c>
      <c r="F16" s="6">
        <f>C16+D16+E16</f>
        <v/>
      </c>
      <c r="G16" s="19">
        <f>C16/F16</f>
        <v/>
      </c>
      <c r="H16" s="15" t="inlineStr">
        <is>
          <t>—</t>
        </is>
      </c>
    </row>
    <row r="17" ht="15.75" customHeight="1" s="186">
      <c r="B17" s="8" t="inlineStr">
        <is>
          <t>PA</t>
        </is>
      </c>
      <c r="C17" s="9" t="n">
        <v>10899</v>
      </c>
      <c r="D17" s="9" t="n">
        <v>572</v>
      </c>
      <c r="E17" s="9" t="n">
        <v>373</v>
      </c>
      <c r="F17" s="10">
        <f>C17+D17+E17</f>
        <v/>
      </c>
      <c r="G17" s="18">
        <f>C17/F17</f>
        <v/>
      </c>
      <c r="H17" s="46" t="inlineStr">
        <is>
          <t>—</t>
        </is>
      </c>
    </row>
    <row r="18" ht="15.75" customHeight="1" s="186">
      <c r="B18" s="4" t="inlineStr">
        <is>
          <t>PB</t>
        </is>
      </c>
      <c r="C18" s="5" t="n">
        <v>4325</v>
      </c>
      <c r="D18" s="5" t="n">
        <v>36</v>
      </c>
      <c r="E18" s="5" t="n">
        <v>45</v>
      </c>
      <c r="F18" s="6">
        <f>C18+D18+E18</f>
        <v/>
      </c>
      <c r="G18" s="19">
        <f>C18/F18</f>
        <v/>
      </c>
      <c r="H18" s="15" t="inlineStr">
        <is>
          <t>—</t>
        </is>
      </c>
    </row>
    <row r="19" ht="15.75" customHeight="1" s="186">
      <c r="B19" s="8" t="inlineStr">
        <is>
          <t>PE</t>
        </is>
      </c>
      <c r="C19" s="9" t="n">
        <v>7975</v>
      </c>
      <c r="D19" s="9" t="n">
        <v>136</v>
      </c>
      <c r="E19" s="9" t="n">
        <v>1660</v>
      </c>
      <c r="F19" s="10">
        <f>C19+D19+E19</f>
        <v/>
      </c>
      <c r="G19" s="18">
        <f>C19/F19</f>
        <v/>
      </c>
      <c r="H19" s="46" t="inlineStr">
        <is>
          <t>—</t>
        </is>
      </c>
    </row>
    <row r="20" ht="15.75" customHeight="1" s="186">
      <c r="B20" s="4" t="inlineStr">
        <is>
          <t>PI</t>
        </is>
      </c>
      <c r="C20" s="5" t="n">
        <v>2336</v>
      </c>
      <c r="D20" s="5" t="n">
        <v>7</v>
      </c>
      <c r="E20" s="5" t="n">
        <v>50</v>
      </c>
      <c r="F20" s="6">
        <f>C20+D20+E20</f>
        <v/>
      </c>
      <c r="G20" s="19">
        <f>C20/F20</f>
        <v/>
      </c>
      <c r="H20" s="15" t="inlineStr">
        <is>
          <t>—</t>
        </is>
      </c>
    </row>
    <row r="21" ht="15.75" customHeight="1" s="186">
      <c r="B21" s="8" t="inlineStr">
        <is>
          <t>PR</t>
        </is>
      </c>
      <c r="C21" s="9" t="n">
        <v>67306</v>
      </c>
      <c r="D21" s="9" t="n">
        <v>12426</v>
      </c>
      <c r="E21" s="9" t="n">
        <v>2190</v>
      </c>
      <c r="F21" s="10">
        <f>C21+D21+E21</f>
        <v/>
      </c>
      <c r="G21" s="18">
        <f>C21/F21</f>
        <v/>
      </c>
      <c r="H21" s="46" t="inlineStr">
        <is>
          <t>—</t>
        </is>
      </c>
    </row>
    <row r="22" ht="15.75" customHeight="1" s="186">
      <c r="B22" s="4" t="inlineStr">
        <is>
          <t>RJ</t>
        </is>
      </c>
      <c r="C22" s="5" t="n">
        <v>24631</v>
      </c>
      <c r="D22" s="5" t="n">
        <v>712</v>
      </c>
      <c r="E22" s="5" t="n">
        <v>4986</v>
      </c>
      <c r="F22" s="6">
        <f>C22+D22+E22</f>
        <v/>
      </c>
      <c r="G22" s="19">
        <f>C22/F22</f>
        <v/>
      </c>
      <c r="H22" s="15" t="inlineStr">
        <is>
          <t>—</t>
        </is>
      </c>
    </row>
    <row r="23" ht="15.75" customHeight="1" s="186">
      <c r="B23" s="8" t="inlineStr">
        <is>
          <t>RN</t>
        </is>
      </c>
      <c r="C23" s="9" t="n">
        <v>4068</v>
      </c>
      <c r="D23" s="9" t="n">
        <v>25</v>
      </c>
      <c r="E23" s="9" t="n">
        <v>107</v>
      </c>
      <c r="F23" s="10">
        <f>C23+D23+E23</f>
        <v/>
      </c>
      <c r="G23" s="18">
        <f>C23/F23</f>
        <v/>
      </c>
      <c r="H23" s="46" t="inlineStr">
        <is>
          <t>—</t>
        </is>
      </c>
    </row>
    <row r="24" ht="15.75" customHeight="1" s="186">
      <c r="B24" s="4" t="inlineStr">
        <is>
          <t>RO</t>
        </is>
      </c>
      <c r="C24" s="5" t="n">
        <v>10886</v>
      </c>
      <c r="D24" s="5" t="n">
        <v>106</v>
      </c>
      <c r="E24" s="5" t="n">
        <v>12</v>
      </c>
      <c r="F24" s="6">
        <f>C24+D24+E24</f>
        <v/>
      </c>
      <c r="G24" s="19">
        <f>C24/F24</f>
        <v/>
      </c>
      <c r="H24" s="15" t="inlineStr">
        <is>
          <t>—</t>
        </is>
      </c>
    </row>
    <row r="25" ht="15.75" customHeight="1" s="186">
      <c r="B25" s="8" t="inlineStr">
        <is>
          <t>RR</t>
        </is>
      </c>
      <c r="C25" s="9" t="n">
        <v>846</v>
      </c>
      <c r="D25" s="9" t="n">
        <v>48</v>
      </c>
      <c r="E25" s="9" t="n">
        <v>1</v>
      </c>
      <c r="F25" s="10">
        <f>C25+D25+E25</f>
        <v/>
      </c>
      <c r="G25" s="18">
        <f>C25/F25</f>
        <v/>
      </c>
      <c r="H25" s="46" t="inlineStr">
        <is>
          <t>—</t>
        </is>
      </c>
    </row>
    <row r="26" ht="15.75" customHeight="1" s="186">
      <c r="B26" s="4" t="inlineStr">
        <is>
          <t>RS</t>
        </is>
      </c>
      <c r="C26" s="5" t="n">
        <v>70676</v>
      </c>
      <c r="D26" s="5" t="n">
        <v>51890</v>
      </c>
      <c r="E26" s="5" t="n">
        <v>4174</v>
      </c>
      <c r="F26" s="6">
        <f>C26+D26+E26</f>
        <v/>
      </c>
      <c r="G26" s="19">
        <f>C26/F26</f>
        <v/>
      </c>
      <c r="H26" s="15" t="inlineStr">
        <is>
          <t>—</t>
        </is>
      </c>
    </row>
    <row r="27" ht="15.75" customHeight="1" s="186">
      <c r="B27" s="8" t="inlineStr">
        <is>
          <t>SC</t>
        </is>
      </c>
      <c r="C27" s="9" t="n">
        <v>55585</v>
      </c>
      <c r="D27" s="9" t="n">
        <v>15167</v>
      </c>
      <c r="E27" s="9" t="n">
        <v>951</v>
      </c>
      <c r="F27" s="10">
        <f>C27+D27+E27</f>
        <v/>
      </c>
      <c r="G27" s="18">
        <f>C27/F27</f>
        <v/>
      </c>
      <c r="H27" s="46" t="inlineStr">
        <is>
          <t>—</t>
        </is>
      </c>
    </row>
    <row r="28" ht="15.75" customHeight="1" s="186">
      <c r="B28" s="4" t="inlineStr">
        <is>
          <t>SE</t>
        </is>
      </c>
      <c r="C28" s="5" t="n">
        <v>1083</v>
      </c>
      <c r="D28" s="5" t="n">
        <v>5</v>
      </c>
      <c r="E28" s="5" t="n">
        <v>41</v>
      </c>
      <c r="F28" s="6">
        <f>C28+D28+E28</f>
        <v/>
      </c>
      <c r="G28" s="19">
        <f>C28/F28</f>
        <v/>
      </c>
      <c r="H28" s="15" t="inlineStr">
        <is>
          <t>—</t>
        </is>
      </c>
    </row>
    <row r="29" ht="15.75" customHeight="1" s="186">
      <c r="B29" s="8" t="inlineStr">
        <is>
          <t>SP</t>
        </is>
      </c>
      <c r="C29" s="9" t="n">
        <v>165902</v>
      </c>
      <c r="D29" s="9" t="n">
        <v>21146</v>
      </c>
      <c r="E29" s="9" t="n">
        <v>21011</v>
      </c>
      <c r="F29" s="10">
        <f>C29+D29+E29</f>
        <v/>
      </c>
      <c r="G29" s="18">
        <f>C29/F29</f>
        <v/>
      </c>
      <c r="H29" s="46" t="inlineStr">
        <is>
          <t>—</t>
        </is>
      </c>
    </row>
    <row r="30" ht="15.75" customHeight="1" s="186">
      <c r="B30" s="4" t="inlineStr">
        <is>
          <t>TO</t>
        </is>
      </c>
      <c r="C30" s="5" t="n">
        <v>6857</v>
      </c>
      <c r="D30" s="5" t="n">
        <v>514</v>
      </c>
      <c r="E30" s="5" t="n">
        <v>208</v>
      </c>
      <c r="F30" s="6">
        <f>C30+D30+E30</f>
        <v/>
      </c>
      <c r="G30" s="19">
        <f>C30/F30</f>
        <v/>
      </c>
      <c r="H30" s="15" t="inlineStr">
        <is>
          <t>—</t>
        </is>
      </c>
    </row>
    <row r="31" ht="18" customHeight="1" s="186">
      <c r="B31" s="11" t="inlineStr">
        <is>
          <t>BRASIL</t>
        </is>
      </c>
      <c r="C31" s="12">
        <f>SUM(C4:C30)</f>
        <v/>
      </c>
      <c r="D31" s="12">
        <f>SUM(D4:D30)</f>
        <v/>
      </c>
      <c r="E31" s="12">
        <f>SUM(E4:E30)</f>
        <v/>
      </c>
      <c r="F31" s="12">
        <f>SUM(F4:F30)</f>
        <v/>
      </c>
      <c r="G31" s="44">
        <f>C31/F31</f>
        <v/>
      </c>
      <c r="H31" s="11" t="inlineStr">
        <is>
          <t>—</t>
        </is>
      </c>
    </row>
    <row r="32" ht="27.75" customHeight="1" s="186">
      <c r="B32" s="190" t="inlineStr">
        <is>
          <t>* % Restrito = armas de calibre restrito ao civil / total de armas por UF. Calibres restritos: 9x19mm, .40, .45 e outros de uso militar. XX = registros sem UF identificada (excluídos da análise).</t>
        </is>
      </c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6" customWidth="1" style="186" min="3" max="7"/>
    <col width="18" customWidth="1" style="186" min="8" max="8"/>
  </cols>
  <sheetData>
    <row r="1" ht="21.75" customHeight="1" s="186">
      <c r="B1" s="189" t="inlineStr">
        <is>
          <t>Variável de Intensidade de Tratamento — DiD Espacial (pré-2023)</t>
        </is>
      </c>
    </row>
    <row r="2" ht="19.5" customHeight="1" s="186">
      <c r="B2" s="188" t="inlineStr">
        <is>
          <t>Variável de tratamento D_i = CRs emitidos em 2022 / população UF (proxy de intensidade CAC pré-choque). UFs acima da mediana = grupo tratado.</t>
        </is>
      </c>
    </row>
    <row r="3" ht="27.75" customHeight="1" s="186">
      <c r="B3" s="1" t="inlineStr">
        <is>
          <t>UF</t>
        </is>
      </c>
      <c r="C3" s="2" t="inlineStr">
        <is>
          <t>CRs 2022</t>
        </is>
      </c>
      <c r="D3" s="41" t="inlineStr">
        <is>
          <t>CRs 2023</t>
        </is>
      </c>
      <c r="E3" s="41" t="inlineStr">
        <is>
          <t>Var% 22→23</t>
        </is>
      </c>
      <c r="F3" s="39" t="inlineStr">
        <is>
          <t>Estoque Total</t>
        </is>
      </c>
      <c r="G3" s="41" t="inlineStr">
        <is>
          <t>% Uso Restrito</t>
        </is>
      </c>
      <c r="H3" s="1" t="inlineStr">
        <is>
          <t>GRUPO DiD</t>
        </is>
      </c>
    </row>
    <row r="4" ht="15.75" customHeight="1" s="186">
      <c r="B4" s="47" t="inlineStr">
        <is>
          <t>AC</t>
        </is>
      </c>
      <c r="C4" s="48" t="n">
        <v>605</v>
      </c>
      <c r="D4" s="31" t="n">
        <v>1</v>
      </c>
      <c r="E4" s="49" t="n">
        <v>-0.998347107438017</v>
      </c>
      <c r="F4" s="31" t="n">
        <v>2679</v>
      </c>
      <c r="G4" s="50" t="n">
        <v>0.536394176931691</v>
      </c>
      <c r="H4" s="41" t="inlineStr">
        <is>
          <t>BAIXO</t>
        </is>
      </c>
    </row>
    <row r="5" ht="15.75" customHeight="1" s="186">
      <c r="B5" s="47" t="inlineStr">
        <is>
          <t>AL</t>
        </is>
      </c>
      <c r="C5" s="48" t="n">
        <v>3488</v>
      </c>
      <c r="D5" s="31" t="n">
        <v>4</v>
      </c>
      <c r="E5" s="49" t="n">
        <v>-0.998853211009174</v>
      </c>
      <c r="F5" s="31" t="n">
        <v>12242</v>
      </c>
      <c r="G5" s="50" t="n">
        <v>0.664760660022872</v>
      </c>
      <c r="H5" s="41" t="inlineStr">
        <is>
          <t>BAIXO</t>
        </is>
      </c>
    </row>
    <row r="6" ht="15.75" customHeight="1" s="186">
      <c r="B6" s="47" t="inlineStr">
        <is>
          <t>AM</t>
        </is>
      </c>
      <c r="C6" s="48" t="n">
        <v>4005</v>
      </c>
      <c r="D6" s="31" t="n">
        <v>16</v>
      </c>
      <c r="E6" s="49" t="n">
        <v>-0.996004993757803</v>
      </c>
      <c r="F6" s="31" t="n">
        <v>12576</v>
      </c>
      <c r="G6" s="50" t="n">
        <v>0.635337150127227</v>
      </c>
      <c r="H6" s="41" t="inlineStr">
        <is>
          <t>BAIXO</t>
        </is>
      </c>
    </row>
    <row r="7" ht="15.75" customHeight="1" s="186">
      <c r="B7" s="47" t="inlineStr">
        <is>
          <t>AP</t>
        </is>
      </c>
      <c r="C7" s="48" t="n">
        <v>551</v>
      </c>
      <c r="D7" s="31" t="n">
        <v>41</v>
      </c>
      <c r="E7" s="49" t="n">
        <v>-0.925589836660617</v>
      </c>
      <c r="F7" s="31" t="n">
        <v>2259</v>
      </c>
      <c r="G7" s="50" t="n">
        <v>0.535192563081009</v>
      </c>
      <c r="H7" s="41" t="inlineStr">
        <is>
          <t>BAIXO</t>
        </is>
      </c>
    </row>
    <row r="8" ht="15.75" customHeight="1" s="186">
      <c r="B8" s="51" t="inlineStr">
        <is>
          <t>BA</t>
        </is>
      </c>
      <c r="C8" s="52" t="n">
        <v>11821</v>
      </c>
      <c r="D8" s="28" t="n">
        <v>72</v>
      </c>
      <c r="E8" s="49" t="n">
        <v>-0.993909144742408</v>
      </c>
      <c r="F8" s="28" t="n">
        <v>43449</v>
      </c>
      <c r="G8" s="53" t="n">
        <v>0.568942898570738</v>
      </c>
      <c r="H8" s="54" t="inlineStr">
        <is>
          <t>ALTO</t>
        </is>
      </c>
    </row>
    <row r="9" ht="15.75" customHeight="1" s="186">
      <c r="B9" s="51" t="inlineStr">
        <is>
          <t>CE</t>
        </is>
      </c>
      <c r="C9" s="52" t="n">
        <v>6438</v>
      </c>
      <c r="D9" s="28" t="n">
        <v>18</v>
      </c>
      <c r="E9" s="49" t="n">
        <v>-0.997204100652377</v>
      </c>
      <c r="F9" s="28" t="n">
        <v>30906</v>
      </c>
      <c r="G9" s="53" t="n">
        <v>0.476574128001035</v>
      </c>
      <c r="H9" s="54" t="inlineStr">
        <is>
          <t>ALTO</t>
        </is>
      </c>
    </row>
    <row r="10" ht="15.75" customHeight="1" s="186">
      <c r="B10" s="51" t="inlineStr">
        <is>
          <t>DF</t>
        </is>
      </c>
      <c r="C10" s="52" t="n">
        <v>10861</v>
      </c>
      <c r="D10" s="28" t="n">
        <v>18</v>
      </c>
      <c r="E10" s="49" t="n">
        <v>-0.998342694042906</v>
      </c>
      <c r="F10" s="28" t="n">
        <v>47522</v>
      </c>
      <c r="G10" s="53" t="n">
        <v>0.552796599469719</v>
      </c>
      <c r="H10" s="54" t="inlineStr">
        <is>
          <t>ALTO</t>
        </is>
      </c>
    </row>
    <row r="11" ht="15.75" customHeight="1" s="186">
      <c r="B11" s="47" t="inlineStr">
        <is>
          <t>ES</t>
        </is>
      </c>
      <c r="C11" s="48" t="n">
        <v>3015</v>
      </c>
      <c r="D11" s="31" t="n">
        <v>39</v>
      </c>
      <c r="E11" s="49" t="n">
        <v>-0.987064676616915</v>
      </c>
      <c r="F11" s="31" t="n">
        <v>12594</v>
      </c>
      <c r="G11" s="50" t="n">
        <v>0.443385739240908</v>
      </c>
      <c r="H11" s="41" t="inlineStr">
        <is>
          <t>BAIXO</t>
        </is>
      </c>
    </row>
    <row r="12" ht="15.75" customHeight="1" s="186">
      <c r="B12" s="51" t="inlineStr">
        <is>
          <t>GO</t>
        </is>
      </c>
      <c r="C12" s="52" t="n">
        <v>29119</v>
      </c>
      <c r="D12" s="28" t="n">
        <v>52</v>
      </c>
      <c r="E12" s="49" t="n">
        <v>-0.998214224389574</v>
      </c>
      <c r="F12" s="28" t="n">
        <v>119184</v>
      </c>
      <c r="G12" s="53" t="n">
        <v>0.491324338837428</v>
      </c>
      <c r="H12" s="54" t="inlineStr">
        <is>
          <t>ALTO</t>
        </is>
      </c>
    </row>
    <row r="13" ht="15.75" customHeight="1" s="186">
      <c r="B13" s="47" t="inlineStr">
        <is>
          <t>MA</t>
        </is>
      </c>
      <c r="C13" s="48" t="n">
        <v>4983</v>
      </c>
      <c r="D13" s="31" t="n">
        <v>2</v>
      </c>
      <c r="E13" s="49" t="n">
        <v>-0.999598635360225</v>
      </c>
      <c r="F13" s="31" t="n">
        <v>16971</v>
      </c>
      <c r="G13" s="50" t="n">
        <v>0.5297861057097401</v>
      </c>
      <c r="H13" s="41" t="inlineStr">
        <is>
          <t>BAIXO</t>
        </is>
      </c>
    </row>
    <row r="14" ht="15.75" customHeight="1" s="186">
      <c r="B14" s="51" t="inlineStr">
        <is>
          <t>MG</t>
        </is>
      </c>
      <c r="C14" s="52" t="n">
        <v>36600</v>
      </c>
      <c r="D14" s="28" t="n">
        <v>101</v>
      </c>
      <c r="E14" s="49" t="n">
        <v>-0.99724043715847</v>
      </c>
      <c r="F14" s="28" t="n">
        <v>131965</v>
      </c>
      <c r="G14" s="53" t="n">
        <v>0.491834956238397</v>
      </c>
      <c r="H14" s="54" t="inlineStr">
        <is>
          <t>ALTO</t>
        </is>
      </c>
    </row>
    <row r="15" ht="15.75" customHeight="1" s="186">
      <c r="B15" s="51" t="inlineStr">
        <is>
          <t>MS</t>
        </is>
      </c>
      <c r="C15" s="52" t="n">
        <v>8979</v>
      </c>
      <c r="D15" s="28" t="n">
        <v>18</v>
      </c>
      <c r="E15" s="49" t="n">
        <v>-0.997995322418978</v>
      </c>
      <c r="F15" s="28" t="n">
        <v>43883</v>
      </c>
      <c r="G15" s="53" t="n">
        <v>0.498507394663081</v>
      </c>
      <c r="H15" s="54" t="inlineStr">
        <is>
          <t>ALTO</t>
        </is>
      </c>
    </row>
    <row r="16" ht="15.75" customHeight="1" s="186">
      <c r="B16" s="51" t="inlineStr">
        <is>
          <t>MT</t>
        </is>
      </c>
      <c r="C16" s="52" t="n">
        <v>13272</v>
      </c>
      <c r="D16" s="28" t="n">
        <v>37</v>
      </c>
      <c r="E16" s="49" t="n">
        <v>-0.997212176009644</v>
      </c>
      <c r="F16" s="28" t="n">
        <v>53150</v>
      </c>
      <c r="G16" s="53" t="n">
        <v>0.443574788334901</v>
      </c>
      <c r="H16" s="54" t="inlineStr">
        <is>
          <t>ALTO</t>
        </is>
      </c>
    </row>
    <row r="17" ht="15.75" customHeight="1" s="186">
      <c r="B17" s="51" t="inlineStr">
        <is>
          <t>PA</t>
        </is>
      </c>
      <c r="C17" s="52" t="n">
        <v>6128</v>
      </c>
      <c r="D17" s="28" t="n">
        <v>18</v>
      </c>
      <c r="E17" s="49" t="n">
        <v>-0.997062663185379</v>
      </c>
      <c r="F17" s="28" t="n">
        <v>25775</v>
      </c>
      <c r="G17" s="53" t="n">
        <v>0.5404849660523759</v>
      </c>
      <c r="H17" s="54" t="inlineStr">
        <is>
          <t>ALTO</t>
        </is>
      </c>
    </row>
    <row r="18" ht="15.75" customHeight="1" s="186">
      <c r="B18" s="47" t="inlineStr">
        <is>
          <t>PB</t>
        </is>
      </c>
      <c r="C18" s="48" t="n">
        <v>3712</v>
      </c>
      <c r="D18" s="31" t="n">
        <v>4</v>
      </c>
      <c r="E18" s="49" t="n">
        <v>-0.998922413793103</v>
      </c>
      <c r="F18" s="31" t="n">
        <v>13405</v>
      </c>
      <c r="G18" s="50" t="n">
        <v>0.671316672883253</v>
      </c>
      <c r="H18" s="41" t="inlineStr">
        <is>
          <t>BAIXO</t>
        </is>
      </c>
    </row>
    <row r="19" ht="15.75" customHeight="1" s="186">
      <c r="B19" s="51" t="inlineStr">
        <is>
          <t>PE</t>
        </is>
      </c>
      <c r="C19" s="52" t="n">
        <v>8307</v>
      </c>
      <c r="D19" s="28" t="n">
        <v>10</v>
      </c>
      <c r="E19" s="49" t="n">
        <v>-0.998796195979295</v>
      </c>
      <c r="F19" s="28" t="n">
        <v>28568</v>
      </c>
      <c r="G19" s="53" t="n">
        <v>0.657973956874825</v>
      </c>
      <c r="H19" s="54" t="inlineStr">
        <is>
          <t>ALTO</t>
        </is>
      </c>
    </row>
    <row r="20" ht="15.75" customHeight="1" s="186">
      <c r="B20" s="47" t="inlineStr">
        <is>
          <t>PI</t>
        </is>
      </c>
      <c r="C20" s="48" t="n">
        <v>1426</v>
      </c>
      <c r="D20" s="31" t="n">
        <v>0</v>
      </c>
      <c r="E20" s="49" t="n">
        <v>-1</v>
      </c>
      <c r="F20" s="31" t="n">
        <v>5128</v>
      </c>
      <c r="G20" s="50" t="n">
        <v>0.5333463338533539</v>
      </c>
      <c r="H20" s="41" t="inlineStr">
        <is>
          <t>BAIXO</t>
        </is>
      </c>
    </row>
    <row r="21" ht="15.75" customHeight="1" s="186">
      <c r="B21" s="51" t="inlineStr">
        <is>
          <t>PR</t>
        </is>
      </c>
      <c r="C21" s="52" t="n">
        <v>38850</v>
      </c>
      <c r="D21" s="28" t="n">
        <v>87</v>
      </c>
      <c r="E21" s="49" t="n">
        <v>-0.997760617760618</v>
      </c>
      <c r="F21" s="28" t="n">
        <v>158617</v>
      </c>
      <c r="G21" s="53" t="n">
        <v>0.483523203691912</v>
      </c>
      <c r="H21" s="54" t="inlineStr">
        <is>
          <t>ALTO</t>
        </is>
      </c>
    </row>
    <row r="22" ht="15.75" customHeight="1" s="186">
      <c r="B22" s="51" t="inlineStr">
        <is>
          <t>RJ</t>
        </is>
      </c>
      <c r="C22" s="52" t="n">
        <v>14706</v>
      </c>
      <c r="D22" s="28" t="n">
        <v>49</v>
      </c>
      <c r="E22" s="49" t="n">
        <v>-0.996668026655787</v>
      </c>
      <c r="F22" s="28" t="n">
        <v>64373</v>
      </c>
      <c r="G22" s="53" t="n">
        <v>0.528855265406304</v>
      </c>
      <c r="H22" s="54" t="inlineStr">
        <is>
          <t>ALTO</t>
        </is>
      </c>
    </row>
    <row r="23" ht="15.75" customHeight="1" s="186">
      <c r="B23" s="47" t="inlineStr">
        <is>
          <t>RN</t>
        </is>
      </c>
      <c r="C23" s="48" t="n">
        <v>2477</v>
      </c>
      <c r="D23" s="31" t="n">
        <v>3</v>
      </c>
      <c r="E23" s="49" t="n">
        <v>-0.998788857488898</v>
      </c>
      <c r="F23" s="31" t="n">
        <v>11363</v>
      </c>
      <c r="G23" s="50" t="n">
        <v>0.63037930124087</v>
      </c>
      <c r="H23" s="41" t="inlineStr">
        <is>
          <t>BAIXO</t>
        </is>
      </c>
    </row>
    <row r="24" ht="15.75" customHeight="1" s="186">
      <c r="B24" s="47" t="inlineStr">
        <is>
          <t>RO</t>
        </is>
      </c>
      <c r="C24" s="48" t="n">
        <v>5550</v>
      </c>
      <c r="D24" s="31" t="n">
        <v>8</v>
      </c>
      <c r="E24" s="49" t="n">
        <v>-0.998558558558559</v>
      </c>
      <c r="F24" s="31" t="n">
        <v>21793</v>
      </c>
      <c r="G24" s="50" t="n">
        <v>0.495067223420364</v>
      </c>
      <c r="H24" s="41" t="inlineStr">
        <is>
          <t>BAIXO</t>
        </is>
      </c>
    </row>
    <row r="25" ht="15.75" customHeight="1" s="186">
      <c r="B25" s="47" t="inlineStr">
        <is>
          <t>RR</t>
        </is>
      </c>
      <c r="C25" s="48" t="n">
        <v>515</v>
      </c>
      <c r="D25" s="31" t="n">
        <v>6</v>
      </c>
      <c r="E25" s="49" t="n">
        <v>-0.988349514563107</v>
      </c>
      <c r="F25" s="31" t="n">
        <v>1920</v>
      </c>
      <c r="G25" s="50" t="n">
        <v>0.533854166666667</v>
      </c>
      <c r="H25" s="41" t="inlineStr">
        <is>
          <t>BAIXO</t>
        </is>
      </c>
    </row>
    <row r="26" ht="15.75" customHeight="1" s="186">
      <c r="B26" s="51" t="inlineStr">
        <is>
          <t>RS</t>
        </is>
      </c>
      <c r="C26" s="52" t="n">
        <v>29744</v>
      </c>
      <c r="D26" s="28" t="n">
        <v>150</v>
      </c>
      <c r="E26" s="49" t="n">
        <v>-0.994956966110812</v>
      </c>
      <c r="F26" s="28" t="n">
        <v>206247</v>
      </c>
      <c r="G26" s="53" t="n">
        <v>0.385494092035278</v>
      </c>
      <c r="H26" s="54" t="inlineStr">
        <is>
          <t>ALTO</t>
        </is>
      </c>
    </row>
    <row r="27" ht="15.75" customHeight="1" s="186">
      <c r="B27" s="51" t="inlineStr">
        <is>
          <t>SC</t>
        </is>
      </c>
      <c r="C27" s="52" t="n">
        <v>28247</v>
      </c>
      <c r="D27" s="28" t="n">
        <v>74</v>
      </c>
      <c r="E27" s="49" t="n">
        <v>-0.997380252770206</v>
      </c>
      <c r="F27" s="28" t="n">
        <v>132014</v>
      </c>
      <c r="G27" s="53" t="n">
        <v>0.456853061038981</v>
      </c>
      <c r="H27" s="54" t="inlineStr">
        <is>
          <t>ALTO</t>
        </is>
      </c>
    </row>
    <row r="28" ht="15.75" customHeight="1" s="186">
      <c r="B28" s="47" t="inlineStr">
        <is>
          <t>SE</t>
        </is>
      </c>
      <c r="C28" s="48" t="n">
        <v>1048</v>
      </c>
      <c r="D28" s="31" t="n">
        <v>1</v>
      </c>
      <c r="E28" s="49" t="n">
        <v>-0.999045801526718</v>
      </c>
      <c r="F28" s="31" t="n">
        <v>3301</v>
      </c>
      <c r="G28" s="50" t="n">
        <v>0.657982429566798</v>
      </c>
      <c r="H28" s="41" t="inlineStr">
        <is>
          <t>BAIXO</t>
        </is>
      </c>
    </row>
    <row r="29" ht="15.75" customHeight="1" s="186">
      <c r="B29" s="51" t="inlineStr">
        <is>
          <t>SP</t>
        </is>
      </c>
      <c r="C29" s="52" t="n">
        <v>84719</v>
      </c>
      <c r="D29" s="28" t="n">
        <v>196</v>
      </c>
      <c r="E29" s="49" t="n">
        <v>-0.997686469387032</v>
      </c>
      <c r="F29" s="28" t="n">
        <v>428387</v>
      </c>
      <c r="G29" s="53" t="n">
        <v>0.514319995704818</v>
      </c>
      <c r="H29" s="54" t="inlineStr">
        <is>
          <t>ALTO</t>
        </is>
      </c>
    </row>
    <row r="30" ht="15.75" customHeight="1" s="186">
      <c r="B30" s="47" t="inlineStr">
        <is>
          <t>TO</t>
        </is>
      </c>
      <c r="C30" s="48" t="n">
        <v>3056</v>
      </c>
      <c r="D30" s="31" t="n">
        <v>5</v>
      </c>
      <c r="E30" s="49" t="n">
        <v>-0.99836387434555</v>
      </c>
      <c r="F30" s="31" t="n">
        <v>13797</v>
      </c>
      <c r="G30" s="50" t="n">
        <v>0.450677683554396</v>
      </c>
      <c r="H30" s="41" t="inlineStr">
        <is>
          <t>BAIXO</t>
        </is>
      </c>
    </row>
    <row r="31" ht="36" customHeight="1" s="186">
      <c r="B31" s="190" t="inlineStr">
        <is>
          <t>Mediana CRs 2022 = 6,128. ALTO = UF acima da mediana (grupo de alta exposição ao choque jan/2023). BAIXO = UF abaixo da mediana (grupo de baixa exposição). Variável de intensidade contínua recomendada: ln(CRs_2022_i / pop_i).</t>
        </is>
      </c>
    </row>
  </sheetData>
  <mergeCells count="3">
    <mergeCell ref="B1:H1"/>
    <mergeCell ref="B2:H2"/>
    <mergeCell ref="B31:H3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32"/>
  <sheetViews>
    <sheetView showGridLines="0" zoomScaleNormal="100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B32" sqref="B32:N32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0" customWidth="1" style="186" min="3" max="11"/>
    <col width="12" customWidth="1" style="186" min="12" max="12"/>
    <col width="14" customWidth="1" style="186" min="13" max="13"/>
    <col width="16" customWidth="1" style="186" min="14" max="14"/>
  </cols>
  <sheetData>
    <row r="1" ht="21.75" customHeight="1" s="186">
      <c r="B1" s="189" t="inlineStr">
        <is>
          <t>Homicídios por Arma de Fogo por UF e Ano — Óbitos por Ocorrência (CID-10: X93, X94, X95)</t>
        </is>
      </c>
    </row>
    <row r="2" ht="19.5" customHeight="1" s="186">
      <c r="B2" s="188" t="inlineStr">
        <is>
          <t>Fonte: MS/SVSA/CGIAE — Sistema de Informações sobre Mortalidade (SIM). X93=Agressão por arma de fogo de mão; X94=Espingarda/carabina; X95=Outra arma de fogo ou NE. Dados por local de ocorrência do óbito.</t>
        </is>
      </c>
    </row>
    <row r="3" ht="21.75" customHeight="1" s="186">
      <c r="B3" s="1" t="inlineStr">
        <is>
          <t>UF</t>
        </is>
      </c>
      <c r="C3" s="2" t="inlineStr">
        <is>
          <t>2016</t>
        </is>
      </c>
      <c r="D3" s="2" t="inlineStr">
        <is>
          <t>2017</t>
        </is>
      </c>
      <c r="E3" s="2" t="inlineStr">
        <is>
          <t>2018</t>
        </is>
      </c>
      <c r="F3" s="2" t="inlineStr">
        <is>
          <t>2019</t>
        </is>
      </c>
      <c r="G3" s="2" t="inlineStr">
        <is>
          <t>2020</t>
        </is>
      </c>
      <c r="H3" s="2" t="inlineStr">
        <is>
          <t>2021</t>
        </is>
      </c>
      <c r="I3" s="54" t="inlineStr">
        <is>
          <t>2022</t>
        </is>
      </c>
      <c r="J3" s="41" t="inlineStr">
        <is>
          <t>2023</t>
        </is>
      </c>
      <c r="K3" s="2" t="inlineStr">
        <is>
          <t>2024</t>
        </is>
      </c>
      <c r="L3" s="1" t="inlineStr">
        <is>
          <t>TOTAL</t>
        </is>
      </c>
      <c r="M3" s="3" t="inlineStr">
        <is>
          <t>Var% 22→23</t>
        </is>
      </c>
      <c r="N3" s="55" t="inlineStr">
        <is>
          <t>Hom/100mil 2022*</t>
        </is>
      </c>
    </row>
    <row r="4" ht="15.75" customHeight="1" s="186">
      <c r="B4" s="4" t="inlineStr">
        <is>
          <t>AC</t>
        </is>
      </c>
      <c r="C4" s="5" t="n">
        <v>225</v>
      </c>
      <c r="D4" s="5" t="n">
        <v>381</v>
      </c>
      <c r="E4" s="5" t="n">
        <v>309</v>
      </c>
      <c r="F4" s="5" t="n">
        <v>220</v>
      </c>
      <c r="G4" s="5" t="n">
        <v>225</v>
      </c>
      <c r="H4" s="5" t="n">
        <v>118</v>
      </c>
      <c r="I4" s="28" t="n">
        <v>143</v>
      </c>
      <c r="J4" s="31" t="n">
        <v>130</v>
      </c>
      <c r="K4" s="5" t="n">
        <v>98</v>
      </c>
      <c r="L4" s="6">
        <f>SUM(C4:K4)</f>
        <v/>
      </c>
      <c r="M4" s="7">
        <f>(J4-I4)/I4</f>
        <v/>
      </c>
      <c r="N4" s="56" t="n">
        <v>15.8</v>
      </c>
    </row>
    <row r="5" ht="15.75" customHeight="1" s="186">
      <c r="B5" s="8" t="inlineStr">
        <is>
          <t>AL</t>
        </is>
      </c>
      <c r="C5" s="9" t="n">
        <v>1546</v>
      </c>
      <c r="D5" s="9" t="n">
        <v>1538</v>
      </c>
      <c r="E5" s="9" t="n">
        <v>1199</v>
      </c>
      <c r="F5" s="9" t="n">
        <v>857</v>
      </c>
      <c r="G5" s="9" t="n">
        <v>864</v>
      </c>
      <c r="H5" s="9" t="n">
        <v>733</v>
      </c>
      <c r="I5" s="57" t="n">
        <v>828</v>
      </c>
      <c r="J5" s="58" t="n">
        <v>890</v>
      </c>
      <c r="K5" s="9" t="n">
        <v>889</v>
      </c>
      <c r="L5" s="10">
        <f>SUM(C5:K5)</f>
        <v/>
      </c>
      <c r="M5" s="7">
        <f>(J5-I5)/I5</f>
        <v/>
      </c>
      <c r="N5" s="56" t="n">
        <v>24.6</v>
      </c>
    </row>
    <row r="6" ht="15.75" customHeight="1" s="186">
      <c r="B6" s="4" t="inlineStr">
        <is>
          <t>AM</t>
        </is>
      </c>
      <c r="C6" s="5" t="n">
        <v>792</v>
      </c>
      <c r="D6" s="5" t="n">
        <v>969</v>
      </c>
      <c r="E6" s="5" t="n">
        <v>956</v>
      </c>
      <c r="F6" s="5" t="n">
        <v>980</v>
      </c>
      <c r="G6" s="5" t="n">
        <v>782</v>
      </c>
      <c r="H6" s="5" t="n">
        <v>1278</v>
      </c>
      <c r="I6" s="28" t="n">
        <v>1195</v>
      </c>
      <c r="J6" s="31" t="n">
        <v>1052</v>
      </c>
      <c r="K6" s="5" t="n">
        <v>758</v>
      </c>
      <c r="L6" s="6">
        <f>SUM(C6:K6)</f>
        <v/>
      </c>
      <c r="M6" s="7">
        <f>(J6-I6)/I6</f>
        <v/>
      </c>
      <c r="N6" s="56" t="n">
        <v>28</v>
      </c>
    </row>
    <row r="7" ht="15.75" customHeight="1" s="186">
      <c r="B7" s="8" t="inlineStr">
        <is>
          <t>AP</t>
        </is>
      </c>
      <c r="C7" s="9" t="n">
        <v>216</v>
      </c>
      <c r="D7" s="9" t="n">
        <v>178</v>
      </c>
      <c r="E7" s="9" t="n">
        <v>239</v>
      </c>
      <c r="F7" s="9" t="n">
        <v>232</v>
      </c>
      <c r="G7" s="9" t="n">
        <v>222</v>
      </c>
      <c r="H7" s="9" t="n">
        <v>311</v>
      </c>
      <c r="I7" s="57" t="n">
        <v>235</v>
      </c>
      <c r="J7" s="58" t="n">
        <v>303</v>
      </c>
      <c r="K7" s="9" t="n">
        <v>196</v>
      </c>
      <c r="L7" s="10">
        <f>SUM(C7:K7)</f>
        <v/>
      </c>
      <c r="M7" s="7">
        <f>(J7-I7)/I7</f>
        <v/>
      </c>
      <c r="N7" s="56" t="n">
        <v>26.8</v>
      </c>
    </row>
    <row r="8" ht="15.75" customHeight="1" s="186">
      <c r="B8" s="4" t="inlineStr">
        <is>
          <t>BA</t>
        </is>
      </c>
      <c r="C8" s="5" t="n">
        <v>5442</v>
      </c>
      <c r="D8" s="5" t="n">
        <v>5416</v>
      </c>
      <c r="E8" s="5" t="n">
        <v>4958</v>
      </c>
      <c r="F8" s="5" t="n">
        <v>4586</v>
      </c>
      <c r="G8" s="5" t="n">
        <v>5082</v>
      </c>
      <c r="H8" s="5" t="n">
        <v>5290</v>
      </c>
      <c r="I8" s="28" t="n">
        <v>4825</v>
      </c>
      <c r="J8" s="31" t="n">
        <v>4749</v>
      </c>
      <c r="K8" s="5" t="n">
        <v>3777</v>
      </c>
      <c r="L8" s="6">
        <f>SUM(C8:K8)</f>
        <v/>
      </c>
      <c r="M8" s="7">
        <f>(J8-I8)/I8</f>
        <v/>
      </c>
      <c r="N8" s="59" t="n">
        <v>32.4</v>
      </c>
    </row>
    <row r="9" ht="15.75" customHeight="1" s="186">
      <c r="B9" s="8" t="inlineStr">
        <is>
          <t>CE</t>
        </is>
      </c>
      <c r="C9" s="9" t="n">
        <v>2892</v>
      </c>
      <c r="D9" s="9" t="n">
        <v>4695</v>
      </c>
      <c r="E9" s="9" t="n">
        <v>4220</v>
      </c>
      <c r="F9" s="9" t="n">
        <v>1885</v>
      </c>
      <c r="G9" s="9" t="n">
        <v>3434</v>
      </c>
      <c r="H9" s="9" t="n">
        <v>2966</v>
      </c>
      <c r="I9" s="57" t="n">
        <v>2474</v>
      </c>
      <c r="J9" s="58" t="n">
        <v>2513</v>
      </c>
      <c r="K9" s="9" t="n">
        <v>2705</v>
      </c>
      <c r="L9" s="10">
        <f>SUM(C9:K9)</f>
        <v/>
      </c>
      <c r="M9" s="7">
        <f>(J9-I9)/I9</f>
        <v/>
      </c>
      <c r="N9" s="56" t="n">
        <v>26.8</v>
      </c>
    </row>
    <row r="10" ht="15.75" customHeight="1" s="186">
      <c r="B10" s="4" t="inlineStr">
        <is>
          <t>DF</t>
        </is>
      </c>
      <c r="C10" s="5" t="n">
        <v>541</v>
      </c>
      <c r="D10" s="5" t="n">
        <v>405</v>
      </c>
      <c r="E10" s="5" t="n">
        <v>340</v>
      </c>
      <c r="F10" s="5" t="n">
        <v>267</v>
      </c>
      <c r="G10" s="5" t="n">
        <v>253</v>
      </c>
      <c r="H10" s="5" t="n">
        <v>193</v>
      </c>
      <c r="I10" s="28" t="n">
        <v>179</v>
      </c>
      <c r="J10" s="31" t="n">
        <v>132</v>
      </c>
      <c r="K10" s="5" t="n">
        <v>110</v>
      </c>
      <c r="L10" s="6">
        <f>SUM(C10:K10)</f>
        <v/>
      </c>
      <c r="M10" s="7">
        <f>(J10-I10)/I10</f>
        <v/>
      </c>
      <c r="N10" s="60" t="n">
        <v>5.8</v>
      </c>
    </row>
    <row r="11" ht="15.75" customHeight="1" s="186">
      <c r="B11" s="8" t="inlineStr">
        <is>
          <t>ES</t>
        </is>
      </c>
      <c r="C11" s="9" t="n">
        <v>965</v>
      </c>
      <c r="D11" s="9" t="n">
        <v>1234</v>
      </c>
      <c r="E11" s="9" t="n">
        <v>885</v>
      </c>
      <c r="F11" s="9" t="n">
        <v>777</v>
      </c>
      <c r="G11" s="9" t="n">
        <v>934</v>
      </c>
      <c r="H11" s="9" t="n">
        <v>908</v>
      </c>
      <c r="I11" s="57" t="n">
        <v>860</v>
      </c>
      <c r="J11" s="58" t="n">
        <v>842</v>
      </c>
      <c r="K11" s="9" t="n">
        <v>744</v>
      </c>
      <c r="L11" s="10">
        <f>SUM(C11:K11)</f>
        <v/>
      </c>
      <c r="M11" s="7">
        <f>(J11-I11)/I11</f>
        <v/>
      </c>
      <c r="N11" s="56" t="n">
        <v>20.9</v>
      </c>
    </row>
    <row r="12" ht="15.75" customHeight="1" s="186">
      <c r="B12" s="4" t="inlineStr">
        <is>
          <t>GO</t>
        </is>
      </c>
      <c r="C12" s="5" t="n">
        <v>2133</v>
      </c>
      <c r="D12" s="5" t="n">
        <v>2060</v>
      </c>
      <c r="E12" s="5" t="n">
        <v>1885</v>
      </c>
      <c r="F12" s="5" t="n">
        <v>1476</v>
      </c>
      <c r="G12" s="5" t="n">
        <v>1413</v>
      </c>
      <c r="H12" s="5" t="n">
        <v>1017</v>
      </c>
      <c r="I12" s="28" t="n">
        <v>946</v>
      </c>
      <c r="J12" s="31" t="n">
        <v>840</v>
      </c>
      <c r="K12" s="5" t="n">
        <v>634</v>
      </c>
      <c r="L12" s="6">
        <f>SUM(C12:K12)</f>
        <v/>
      </c>
      <c r="M12" s="7">
        <f>(J12-I12)/I12</f>
        <v/>
      </c>
      <c r="N12" s="60" t="n">
        <v>13.1</v>
      </c>
    </row>
    <row r="13" ht="15.75" customHeight="1" s="186">
      <c r="B13" s="8" t="inlineStr">
        <is>
          <t>MA</t>
        </is>
      </c>
      <c r="C13" s="9" t="n">
        <v>1625</v>
      </c>
      <c r="D13" s="9" t="n">
        <v>1474</v>
      </c>
      <c r="E13" s="9" t="n">
        <v>1257</v>
      </c>
      <c r="F13" s="9" t="n">
        <v>1061</v>
      </c>
      <c r="G13" s="9" t="n">
        <v>1426</v>
      </c>
      <c r="H13" s="9" t="n">
        <v>1439</v>
      </c>
      <c r="I13" s="57" t="n">
        <v>1322</v>
      </c>
      <c r="J13" s="58" t="n">
        <v>1437</v>
      </c>
      <c r="K13" s="9" t="n">
        <v>1572</v>
      </c>
      <c r="L13" s="10">
        <f>SUM(C13:K13)</f>
        <v/>
      </c>
      <c r="M13" s="7">
        <f>(J13-I13)/I13</f>
        <v/>
      </c>
      <c r="N13" s="56" t="n">
        <v>18.5</v>
      </c>
    </row>
    <row r="14" ht="15.75" customHeight="1" s="186">
      <c r="B14" s="4" t="inlineStr">
        <is>
          <t>MG</t>
        </is>
      </c>
      <c r="C14" s="5" t="n">
        <v>3310</v>
      </c>
      <c r="D14" s="5" t="n">
        <v>3060</v>
      </c>
      <c r="E14" s="5" t="n">
        <v>2234</v>
      </c>
      <c r="F14" s="5" t="n">
        <v>1869</v>
      </c>
      <c r="G14" s="5" t="n">
        <v>1692</v>
      </c>
      <c r="H14" s="5" t="n">
        <v>1588</v>
      </c>
      <c r="I14" s="28" t="n">
        <v>1737</v>
      </c>
      <c r="J14" s="31" t="n">
        <v>1749</v>
      </c>
      <c r="K14" s="5" t="n">
        <v>1682</v>
      </c>
      <c r="L14" s="6">
        <f>SUM(C14:K14)</f>
        <v/>
      </c>
      <c r="M14" s="7">
        <f>(J14-I14)/I14</f>
        <v/>
      </c>
      <c r="N14" s="60" t="n">
        <v>8.1</v>
      </c>
    </row>
    <row r="15" ht="15.75" customHeight="1" s="186">
      <c r="B15" s="8" t="inlineStr">
        <is>
          <t>MS</t>
        </is>
      </c>
      <c r="C15" s="9" t="n">
        <v>328</v>
      </c>
      <c r="D15" s="9" t="n">
        <v>318</v>
      </c>
      <c r="E15" s="9" t="n">
        <v>246</v>
      </c>
      <c r="F15" s="9" t="n">
        <v>231</v>
      </c>
      <c r="G15" s="9" t="n">
        <v>215</v>
      </c>
      <c r="H15" s="9" t="n">
        <v>269</v>
      </c>
      <c r="I15" s="57" t="n">
        <v>249</v>
      </c>
      <c r="J15" s="58" t="n">
        <v>227</v>
      </c>
      <c r="K15" s="9" t="n">
        <v>217</v>
      </c>
      <c r="L15" s="10">
        <f>SUM(C15:K15)</f>
        <v/>
      </c>
      <c r="M15" s="7">
        <f>(J15-I15)/I15</f>
        <v/>
      </c>
      <c r="N15" s="60" t="n">
        <v>8.800000000000001</v>
      </c>
    </row>
    <row r="16" ht="15.75" customHeight="1" s="186">
      <c r="B16" s="4" t="inlineStr">
        <is>
          <t>MT</t>
        </is>
      </c>
      <c r="C16" s="5" t="n">
        <v>757</v>
      </c>
      <c r="D16" s="5" t="n">
        <v>675</v>
      </c>
      <c r="E16" s="5" t="n">
        <v>562</v>
      </c>
      <c r="F16" s="5" t="n">
        <v>506</v>
      </c>
      <c r="G16" s="5" t="n">
        <v>594</v>
      </c>
      <c r="H16" s="5" t="n">
        <v>556</v>
      </c>
      <c r="I16" s="28" t="n">
        <v>676</v>
      </c>
      <c r="J16" s="31" t="n">
        <v>765</v>
      </c>
      <c r="K16" s="5" t="n">
        <v>693</v>
      </c>
      <c r="L16" s="6">
        <f>SUM(C16:K16)</f>
        <v/>
      </c>
      <c r="M16" s="7">
        <f>(J16-I16)/I16</f>
        <v/>
      </c>
      <c r="N16" s="56" t="n">
        <v>18.5</v>
      </c>
    </row>
    <row r="17" ht="15.75" customHeight="1" s="186">
      <c r="B17" s="8" t="inlineStr">
        <is>
          <t>PA</t>
        </is>
      </c>
      <c r="C17" s="9" t="n">
        <v>3061</v>
      </c>
      <c r="D17" s="9" t="n">
        <v>3378</v>
      </c>
      <c r="E17" s="9" t="n">
        <v>3461</v>
      </c>
      <c r="F17" s="9" t="n">
        <v>2356</v>
      </c>
      <c r="G17" s="9" t="n">
        <v>1899</v>
      </c>
      <c r="H17" s="9" t="n">
        <v>1959</v>
      </c>
      <c r="I17" s="57" t="n">
        <v>2039</v>
      </c>
      <c r="J17" s="58" t="n">
        <v>1765</v>
      </c>
      <c r="K17" s="9" t="n">
        <v>1560</v>
      </c>
      <c r="L17" s="10">
        <f>SUM(C17:K17)</f>
        <v/>
      </c>
      <c r="M17" s="7">
        <f>(J17-I17)/I17</f>
        <v/>
      </c>
      <c r="N17" s="56" t="n">
        <v>23.2</v>
      </c>
    </row>
    <row r="18" ht="15.75" customHeight="1" s="186">
      <c r="B18" s="4" t="inlineStr">
        <is>
          <t>PB</t>
        </is>
      </c>
      <c r="C18" s="5" t="n">
        <v>1064</v>
      </c>
      <c r="D18" s="5" t="n">
        <v>1038</v>
      </c>
      <c r="E18" s="5" t="n">
        <v>995</v>
      </c>
      <c r="F18" s="5" t="n">
        <v>718</v>
      </c>
      <c r="G18" s="5" t="n">
        <v>923</v>
      </c>
      <c r="H18" s="5" t="n">
        <v>940</v>
      </c>
      <c r="I18" s="28" t="n">
        <v>902</v>
      </c>
      <c r="J18" s="31" t="n">
        <v>896</v>
      </c>
      <c r="K18" s="5" t="n">
        <v>892</v>
      </c>
      <c r="L18" s="6">
        <f>SUM(C18:K18)</f>
        <v/>
      </c>
      <c r="M18" s="7">
        <f>(J18-I18)/I18</f>
        <v/>
      </c>
      <c r="N18" s="56" t="n">
        <v>22.2</v>
      </c>
    </row>
    <row r="19" ht="15.75" customHeight="1" s="186">
      <c r="B19" s="8" t="inlineStr">
        <is>
          <t>PE</t>
        </is>
      </c>
      <c r="C19" s="9" t="n">
        <v>3490</v>
      </c>
      <c r="D19" s="9" t="n">
        <v>4495</v>
      </c>
      <c r="E19" s="9" t="n">
        <v>3378</v>
      </c>
      <c r="F19" s="9" t="n">
        <v>2699</v>
      </c>
      <c r="G19" s="9" t="n">
        <v>3063</v>
      </c>
      <c r="H19" s="9" t="n">
        <v>2793</v>
      </c>
      <c r="I19" s="57" t="n">
        <v>2766</v>
      </c>
      <c r="J19" s="58" t="n">
        <v>2997</v>
      </c>
      <c r="K19" s="9" t="n">
        <v>2775</v>
      </c>
      <c r="L19" s="10">
        <f>SUM(C19:K19)</f>
        <v/>
      </c>
      <c r="M19" s="7">
        <f>(J19-I19)/I19</f>
        <v/>
      </c>
      <c r="N19" s="56" t="n">
        <v>28.6</v>
      </c>
    </row>
    <row r="20" ht="15.75" customHeight="1" s="186">
      <c r="B20" s="4" t="inlineStr">
        <is>
          <t>PI</t>
        </is>
      </c>
      <c r="C20" s="5" t="n">
        <v>448</v>
      </c>
      <c r="D20" s="5" t="n">
        <v>385</v>
      </c>
      <c r="E20" s="5" t="n">
        <v>385</v>
      </c>
      <c r="F20" s="5" t="n">
        <v>352</v>
      </c>
      <c r="G20" s="5" t="n">
        <v>456</v>
      </c>
      <c r="H20" s="5" t="n">
        <v>566</v>
      </c>
      <c r="I20" s="28" t="n">
        <v>607</v>
      </c>
      <c r="J20" s="31" t="n">
        <v>523</v>
      </c>
      <c r="K20" s="5" t="n">
        <v>483</v>
      </c>
      <c r="L20" s="6">
        <f>SUM(C20:K20)</f>
        <v/>
      </c>
      <c r="M20" s="7">
        <f>(J20-I20)/I20</f>
        <v/>
      </c>
      <c r="N20" s="56" t="n">
        <v>18.5</v>
      </c>
    </row>
    <row r="21" ht="15.75" customHeight="1" s="186">
      <c r="B21" s="8" t="inlineStr">
        <is>
          <t>PR</t>
        </is>
      </c>
      <c r="C21" s="9" t="n">
        <v>2131</v>
      </c>
      <c r="D21" s="9" t="n">
        <v>1837</v>
      </c>
      <c r="E21" s="9" t="n">
        <v>1526</v>
      </c>
      <c r="F21" s="9" t="n">
        <v>1182</v>
      </c>
      <c r="G21" s="9" t="n">
        <v>1407</v>
      </c>
      <c r="H21" s="9" t="n">
        <v>1377</v>
      </c>
      <c r="I21" s="57" t="n">
        <v>1501</v>
      </c>
      <c r="J21" s="58" t="n">
        <v>1252</v>
      </c>
      <c r="K21" s="9" t="n">
        <v>1095</v>
      </c>
      <c r="L21" s="10">
        <f>SUM(C21:K21)</f>
        <v/>
      </c>
      <c r="M21" s="7">
        <f>(J21-I21)/I21</f>
        <v/>
      </c>
      <c r="N21" s="60" t="n">
        <v>12.7</v>
      </c>
    </row>
    <row r="22" ht="15.75" customHeight="1" s="186">
      <c r="B22" s="4" t="inlineStr">
        <is>
          <t>RJ</t>
        </is>
      </c>
      <c r="C22" s="5" t="n">
        <v>4036</v>
      </c>
      <c r="D22" s="5" t="n">
        <v>4419</v>
      </c>
      <c r="E22" s="5" t="n">
        <v>4267</v>
      </c>
      <c r="F22" s="5" t="n">
        <v>2311</v>
      </c>
      <c r="G22" s="5" t="n">
        <v>2744</v>
      </c>
      <c r="H22" s="5" t="n">
        <v>3000</v>
      </c>
      <c r="I22" s="28" t="n">
        <v>2438</v>
      </c>
      <c r="J22" s="31" t="n">
        <v>2584</v>
      </c>
      <c r="K22" s="5" t="n">
        <v>2033</v>
      </c>
      <c r="L22" s="6">
        <f>SUM(C22:K22)</f>
        <v/>
      </c>
      <c r="M22" s="7">
        <f>(J22-I22)/I22</f>
        <v/>
      </c>
      <c r="N22" s="60" t="n">
        <v>14</v>
      </c>
    </row>
    <row r="23" ht="15.75" customHeight="1" s="186">
      <c r="B23" s="8" t="inlineStr">
        <is>
          <t>RN</t>
        </is>
      </c>
      <c r="C23" s="9" t="n">
        <v>1568</v>
      </c>
      <c r="D23" s="9" t="n">
        <v>1924</v>
      </c>
      <c r="E23" s="9" t="n">
        <v>1641</v>
      </c>
      <c r="F23" s="9" t="n">
        <v>1177</v>
      </c>
      <c r="G23" s="9" t="n">
        <v>1230</v>
      </c>
      <c r="H23" s="9" t="n">
        <v>1014</v>
      </c>
      <c r="I23" s="57" t="n">
        <v>965</v>
      </c>
      <c r="J23" s="58" t="n">
        <v>706</v>
      </c>
      <c r="K23" s="9" t="n">
        <v>606</v>
      </c>
      <c r="L23" s="10">
        <f>SUM(C23:K23)</f>
        <v/>
      </c>
      <c r="M23" s="7">
        <f>(J23-I23)/I23</f>
        <v/>
      </c>
      <c r="N23" s="56" t="n">
        <v>27.1</v>
      </c>
    </row>
    <row r="24" ht="15.75" customHeight="1" s="186">
      <c r="B24" s="4" t="inlineStr">
        <is>
          <t>RO</t>
        </is>
      </c>
      <c r="C24" s="5" t="n">
        <v>465</v>
      </c>
      <c r="D24" s="5" t="n">
        <v>376</v>
      </c>
      <c r="E24" s="5" t="n">
        <v>302</v>
      </c>
      <c r="F24" s="5" t="n">
        <v>258</v>
      </c>
      <c r="G24" s="5" t="n">
        <v>256</v>
      </c>
      <c r="H24" s="5" t="n">
        <v>324</v>
      </c>
      <c r="I24" s="28" t="n">
        <v>378</v>
      </c>
      <c r="J24" s="31" t="n">
        <v>327</v>
      </c>
      <c r="K24" s="5" t="n">
        <v>331</v>
      </c>
      <c r="L24" s="6">
        <f>SUM(C24:K24)</f>
        <v/>
      </c>
      <c r="M24" s="7">
        <f>(J24-I24)/I24</f>
        <v/>
      </c>
      <c r="N24" s="56" t="n">
        <v>20.8</v>
      </c>
    </row>
    <row r="25" ht="15.75" customHeight="1" s="186">
      <c r="B25" s="8" t="inlineStr">
        <is>
          <t>RR</t>
        </is>
      </c>
      <c r="C25" s="9" t="n">
        <v>70</v>
      </c>
      <c r="D25" s="9" t="n">
        <v>96</v>
      </c>
      <c r="E25" s="9" t="n">
        <v>182</v>
      </c>
      <c r="F25" s="9" t="n">
        <v>83</v>
      </c>
      <c r="G25" s="9" t="n">
        <v>101</v>
      </c>
      <c r="H25" s="9" t="n">
        <v>105</v>
      </c>
      <c r="I25" s="57" t="n">
        <v>103</v>
      </c>
      <c r="J25" s="58" t="n">
        <v>105</v>
      </c>
      <c r="K25" s="9" t="n">
        <v>69</v>
      </c>
      <c r="L25" s="10">
        <f>SUM(C25:K25)</f>
        <v/>
      </c>
      <c r="M25" s="7">
        <f>(J25-I25)/I25</f>
        <v/>
      </c>
      <c r="N25" s="56" t="n">
        <v>15.8</v>
      </c>
    </row>
    <row r="26" ht="15.75" customHeight="1" s="186">
      <c r="B26" s="4" t="inlineStr">
        <is>
          <t>RS</t>
        </is>
      </c>
      <c r="C26" s="5" t="n">
        <v>2506</v>
      </c>
      <c r="D26" s="5" t="n">
        <v>2582</v>
      </c>
      <c r="E26" s="5" t="n">
        <v>2069</v>
      </c>
      <c r="F26" s="5" t="n">
        <v>1599</v>
      </c>
      <c r="G26" s="5" t="n">
        <v>1537</v>
      </c>
      <c r="H26" s="5" t="n">
        <v>1378</v>
      </c>
      <c r="I26" s="28" t="n">
        <v>1478</v>
      </c>
      <c r="J26" s="31" t="n">
        <v>1407</v>
      </c>
      <c r="K26" s="5" t="n">
        <v>1227</v>
      </c>
      <c r="L26" s="6">
        <f>SUM(C26:K26)</f>
        <v/>
      </c>
      <c r="M26" s="7">
        <f>(J26-I26)/I26</f>
        <v/>
      </c>
      <c r="N26" s="60" t="n">
        <v>12.9</v>
      </c>
    </row>
    <row r="27" ht="15.75" customHeight="1" s="186">
      <c r="B27" s="8" t="inlineStr">
        <is>
          <t>SC</t>
        </is>
      </c>
      <c r="C27" s="9" t="n">
        <v>608</v>
      </c>
      <c r="D27" s="9" t="n">
        <v>669</v>
      </c>
      <c r="E27" s="9" t="n">
        <v>449</v>
      </c>
      <c r="F27" s="9" t="n">
        <v>395</v>
      </c>
      <c r="G27" s="9" t="n">
        <v>382</v>
      </c>
      <c r="H27" s="9" t="n">
        <v>380</v>
      </c>
      <c r="I27" s="57" t="n">
        <v>313</v>
      </c>
      <c r="J27" s="58" t="n">
        <v>297</v>
      </c>
      <c r="K27" s="9" t="n">
        <v>305</v>
      </c>
      <c r="L27" s="10">
        <f>SUM(C27:K27)</f>
        <v/>
      </c>
      <c r="M27" s="7">
        <f>(J27-I27)/I27</f>
        <v/>
      </c>
      <c r="N27" s="60" t="n">
        <v>4</v>
      </c>
    </row>
    <row r="28" ht="15.75" customHeight="1" s="186">
      <c r="B28" s="4" t="inlineStr">
        <is>
          <t>SE</t>
        </is>
      </c>
      <c r="C28" s="5" t="n">
        <v>1263</v>
      </c>
      <c r="D28" s="5" t="n">
        <v>1097</v>
      </c>
      <c r="E28" s="5" t="n">
        <v>961</v>
      </c>
      <c r="F28" s="5" t="n">
        <v>780</v>
      </c>
      <c r="G28" s="5" t="n">
        <v>823</v>
      </c>
      <c r="H28" s="5" t="n">
        <v>664</v>
      </c>
      <c r="I28" s="28" t="n">
        <v>654</v>
      </c>
      <c r="J28" s="31" t="n">
        <v>572</v>
      </c>
      <c r="K28" s="5" t="n">
        <v>396</v>
      </c>
      <c r="L28" s="6">
        <f>SUM(C28:K28)</f>
        <v/>
      </c>
      <c r="M28" s="7">
        <f>(J28-I28)/I28</f>
        <v/>
      </c>
      <c r="N28" s="56" t="n">
        <v>28</v>
      </c>
    </row>
    <row r="29" ht="15.75" customHeight="1" s="186">
      <c r="B29" s="8" t="inlineStr">
        <is>
          <t>SP</t>
        </is>
      </c>
      <c r="C29" s="9" t="n">
        <v>2690</v>
      </c>
      <c r="D29" s="9" t="n">
        <v>2490</v>
      </c>
      <c r="E29" s="9" t="n">
        <v>1966</v>
      </c>
      <c r="F29" s="9" t="n">
        <v>1721</v>
      </c>
      <c r="G29" s="9" t="n">
        <v>1762</v>
      </c>
      <c r="H29" s="9" t="n">
        <v>1622</v>
      </c>
      <c r="I29" s="57" t="n">
        <v>1649</v>
      </c>
      <c r="J29" s="58" t="n">
        <v>1462</v>
      </c>
      <c r="K29" s="9" t="n">
        <v>1440</v>
      </c>
      <c r="L29" s="10">
        <f>SUM(C29:K29)</f>
        <v/>
      </c>
      <c r="M29" s="7">
        <f>(J29-I29)/I29</f>
        <v/>
      </c>
      <c r="N29" s="60" t="n">
        <v>3.5</v>
      </c>
    </row>
    <row r="30" ht="15.75" customHeight="1" s="186">
      <c r="B30" s="4" t="inlineStr">
        <is>
          <t>TO</t>
        </is>
      </c>
      <c r="C30" s="5" t="n">
        <v>303</v>
      </c>
      <c r="D30" s="5" t="n">
        <v>321</v>
      </c>
      <c r="E30" s="5" t="n">
        <v>307</v>
      </c>
      <c r="F30" s="5" t="n">
        <v>247</v>
      </c>
      <c r="G30" s="5" t="n">
        <v>275</v>
      </c>
      <c r="H30" s="5" t="n">
        <v>251</v>
      </c>
      <c r="I30" s="28" t="n">
        <v>248</v>
      </c>
      <c r="J30" s="31" t="n">
        <v>267</v>
      </c>
      <c r="K30" s="5" t="n">
        <v>136</v>
      </c>
      <c r="L30" s="6">
        <f>SUM(C30:K30)</f>
        <v/>
      </c>
      <c r="M30" s="7">
        <f>(J30-I30)/I30</f>
        <v/>
      </c>
      <c r="N30" s="56" t="n">
        <v>15.4</v>
      </c>
    </row>
    <row r="31" ht="18" customHeight="1" s="186">
      <c r="B31" s="11" t="inlineStr">
        <is>
          <t>BRASIL</t>
        </is>
      </c>
      <c r="C31" s="12">
        <f>SUM(C4:C30)</f>
        <v/>
      </c>
      <c r="D31" s="12">
        <f>SUM(D4:D30)</f>
        <v/>
      </c>
      <c r="E31" s="12">
        <f>SUM(E4:E30)</f>
        <v/>
      </c>
      <c r="F31" s="12">
        <f>SUM(F4:F30)</f>
        <v/>
      </c>
      <c r="G31" s="12">
        <f>SUM(G4:G30)</f>
        <v/>
      </c>
      <c r="H31" s="12">
        <f>SUM(H4:H30)</f>
        <v/>
      </c>
      <c r="I31" s="12">
        <f>SUM(I4:I30)</f>
        <v/>
      </c>
      <c r="J31" s="12">
        <f>SUM(J4:J30)</f>
        <v/>
      </c>
      <c r="K31" s="12">
        <f>SUM(K4:K30)</f>
        <v/>
      </c>
      <c r="L31" s="12">
        <f>SUM(L4:L30)</f>
        <v/>
      </c>
      <c r="M31" s="13">
        <f>(J31-I31)/I31</f>
        <v/>
      </c>
      <c r="N31" s="61" t="n">
        <v>14.8</v>
      </c>
    </row>
    <row r="32" ht="36" customHeight="1" s="186">
      <c r="B32" s="190" t="inlineStr">
        <is>
          <t>* Taxa por 100 mil habitantes calculada com estimativa IBGE 2022. Verde = taxa &lt; 15/100mil; Laranja = 15–30/100mil; Vermelho = &gt; 30/100mil. Var% 22→23 = variação dos homicídios por arma de fogo entre 2022 e 2023 — período do choque regulatório (Decreto 11.366/jan/2023). Nota: 2024 com possível subnotificação — dados atualizados em 02/12/2025.</t>
        </is>
      </c>
    </row>
  </sheetData>
  <mergeCells count="3">
    <mergeCell ref="B1:N1"/>
    <mergeCell ref="B2:N2"/>
    <mergeCell ref="B32:N3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tabSelected="1" zoomScaleNormal="10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O1" sqref="O1"/>
    </sheetView>
  </sheetViews>
  <sheetFormatPr baseColWidth="8" defaultColWidth="8.6328125" defaultRowHeight="14.5"/>
  <cols>
    <col width="3" customWidth="1" style="186" min="1" max="1"/>
    <col width="8" customWidth="1" style="186" min="2" max="2"/>
    <col width="12" customWidth="1" style="186" min="3" max="12"/>
    <col width="14" customWidth="1" style="186" min="13" max="14"/>
  </cols>
  <sheetData>
    <row r="1" ht="21.75" customHeight="1" s="186">
      <c r="B1" s="189" t="inlineStr">
        <is>
          <t>PIB por Unidade da Federação (R$ milhões correntes) — IBGE Contas Regionais</t>
        </is>
      </c>
    </row>
    <row r="2" ht="19.5" customHeight="1" s="186">
      <c r="B2" s="188" t="inlineStr">
        <is>
          <t>Fontes: IBGE Contas Regionais do Brasil — Tabela 1 (tab01.xls, 2002–2009) para 2002–2009; IBGE SCR 2023 (tab01.xls) para 2010–2023. Valores em R$ bilhões correntes. 2005–2009 conferidos contra o total Brasil da própria Tabela 1 (soma das 27 UFs bate com a linha 'Produto Interno Bruto' do Brasil em todos os anos, diferença = 0). 2024†: projeção por taxa média de crescimento nominal (2019, 2022, 2023) por UF. Colunas 2002–2004 adicionadas ao final da tabela (colunas T–V) para não deslocar as fórmulas existentes das colunas subsequentes.</t>
        </is>
      </c>
    </row>
    <row r="3" ht="21.75" customHeight="1" s="186">
      <c r="B3" s="1" t="inlineStr">
        <is>
          <t>UF</t>
        </is>
      </c>
      <c r="C3" s="62" t="inlineStr">
        <is>
          <t>2005</t>
        </is>
      </c>
      <c r="D3" s="62" t="inlineStr">
        <is>
          <t>2006</t>
        </is>
      </c>
      <c r="E3" s="62" t="inlineStr">
        <is>
          <t>2007</t>
        </is>
      </c>
      <c r="F3" s="62" t="inlineStr">
        <is>
          <t>2008</t>
        </is>
      </c>
      <c r="G3" s="62" t="inlineStr">
        <is>
          <t>2009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54" t="inlineStr">
        <is>
          <t>2022</t>
        </is>
      </c>
      <c r="O3" s="41" t="inlineStr">
        <is>
          <t>2023</t>
        </is>
      </c>
      <c r="P3" s="63" t="inlineStr">
        <is>
          <t>2024*</t>
        </is>
      </c>
      <c r="Q3" s="3" t="inlineStr">
        <is>
          <t>Var% 22→23</t>
        </is>
      </c>
      <c r="S3" s="64" t="inlineStr">
        <is>
          <t>2024†</t>
        </is>
      </c>
      <c r="T3" t="inlineStr">
        <is>
          <t>2002</t>
        </is>
      </c>
      <c r="U3" t="inlineStr">
        <is>
          <t>2003</t>
        </is>
      </c>
      <c r="V3" t="inlineStr">
        <is>
          <t>2004</t>
        </is>
      </c>
      <c r="W3" t="inlineStr">
        <is>
          <t>2010</t>
        </is>
      </c>
      <c r="X3" t="inlineStr">
        <is>
          <t>2011</t>
        </is>
      </c>
      <c r="Y3" t="inlineStr">
        <is>
          <t>2012</t>
        </is>
      </c>
      <c r="Z3" t="inlineStr">
        <is>
          <t>2013</t>
        </is>
      </c>
      <c r="AA3" t="inlineStr">
        <is>
          <t>2014</t>
        </is>
      </c>
      <c r="AB3" t="inlineStr">
        <is>
          <t>2015</t>
        </is>
      </c>
    </row>
    <row r="4" ht="15.75" customHeight="1" s="186">
      <c r="B4" s="4" t="inlineStr">
        <is>
          <t>AC</t>
        </is>
      </c>
      <c r="C4" t="n">
        <v>4.4829</v>
      </c>
      <c r="D4" t="n">
        <v>4.8346</v>
      </c>
      <c r="E4" t="n">
        <v>5.7605</v>
      </c>
      <c r="F4" t="n">
        <v>6.7301</v>
      </c>
      <c r="G4" t="n">
        <v>7.3864</v>
      </c>
      <c r="H4" s="65" t="n">
        <v>13.8</v>
      </c>
      <c r="I4" s="65" t="n">
        <v>14.3</v>
      </c>
      <c r="J4" s="65" t="n">
        <v>15.3</v>
      </c>
      <c r="K4" s="65" t="n">
        <v>15.6</v>
      </c>
      <c r="L4" s="65" t="n">
        <v>16.5</v>
      </c>
      <c r="M4" s="65" t="n">
        <v>21.4</v>
      </c>
      <c r="N4" s="66" t="n">
        <v>23.7</v>
      </c>
      <c r="O4" s="67" t="n">
        <v>26.3</v>
      </c>
      <c r="P4" s="68">
        <f>J4*1.0347</f>
        <v/>
      </c>
      <c r="Q4" s="69">
        <f>(J4-I4)/I4</f>
        <v/>
      </c>
      <c r="S4" s="70" t="n">
        <v>28.4</v>
      </c>
      <c r="T4" t="n">
        <v>2.8685</v>
      </c>
      <c r="U4" t="n">
        <v>3.3048</v>
      </c>
      <c r="V4" t="n">
        <v>3.9403</v>
      </c>
      <c r="W4" t="n">
        <v>8.342000000000001</v>
      </c>
      <c r="X4" t="n">
        <v>8.949199999999999</v>
      </c>
      <c r="Y4" t="n">
        <v>10.1381</v>
      </c>
      <c r="Z4" t="n">
        <v>11.4738</v>
      </c>
      <c r="AA4" t="n">
        <v>13.4586</v>
      </c>
      <c r="AB4" t="n">
        <v>13.6228</v>
      </c>
    </row>
    <row r="5" ht="15.75" customHeight="1" s="186">
      <c r="B5" s="8" t="inlineStr">
        <is>
          <t>AL</t>
        </is>
      </c>
      <c r="C5" t="n">
        <v>14.1393</v>
      </c>
      <c r="D5" t="n">
        <v>15.748</v>
      </c>
      <c r="E5" t="n">
        <v>17.7932</v>
      </c>
      <c r="F5" t="n">
        <v>19.4769</v>
      </c>
      <c r="G5" t="n">
        <v>21.235</v>
      </c>
      <c r="H5" s="71" t="n">
        <v>49.5</v>
      </c>
      <c r="I5" s="71" t="n">
        <v>52.9</v>
      </c>
      <c r="J5" s="71" t="n">
        <v>54.4</v>
      </c>
      <c r="K5" s="71" t="n">
        <v>59</v>
      </c>
      <c r="L5" s="71" t="n">
        <v>63.2</v>
      </c>
      <c r="M5" s="71" t="n">
        <v>76.3</v>
      </c>
      <c r="N5" s="72" t="n">
        <v>76.09999999999999</v>
      </c>
      <c r="O5" s="73" t="n">
        <v>89.7</v>
      </c>
      <c r="P5" s="68">
        <f>J5*1.0347</f>
        <v/>
      </c>
      <c r="Q5" s="69">
        <f>(J5-I5)/I5</f>
        <v/>
      </c>
      <c r="S5" s="74" t="n">
        <v>97.5</v>
      </c>
      <c r="T5" t="n">
        <v>9.8124</v>
      </c>
      <c r="U5" t="n">
        <v>11.2095</v>
      </c>
      <c r="V5" t="n">
        <v>12.8905</v>
      </c>
      <c r="W5" t="n">
        <v>27.1327</v>
      </c>
      <c r="X5" t="n">
        <v>31.657</v>
      </c>
      <c r="Y5" t="n">
        <v>34.6493</v>
      </c>
      <c r="Z5" t="n">
        <v>37.2841</v>
      </c>
      <c r="AA5" t="n">
        <v>40.9735</v>
      </c>
      <c r="AB5" t="n">
        <v>46.3688</v>
      </c>
    </row>
    <row r="6" ht="15.75" customHeight="1" s="186">
      <c r="B6" s="4" t="inlineStr">
        <is>
          <t>AM</t>
        </is>
      </c>
      <c r="C6" t="n">
        <v>33.3521</v>
      </c>
      <c r="D6" t="n">
        <v>39.1569</v>
      </c>
      <c r="E6" t="n">
        <v>42.0232</v>
      </c>
      <c r="F6" t="n">
        <v>46.8226</v>
      </c>
      <c r="G6" t="n">
        <v>49.6143</v>
      </c>
      <c r="H6" s="65" t="n">
        <v>89</v>
      </c>
      <c r="I6" s="65" t="n">
        <v>93.2</v>
      </c>
      <c r="J6" s="65" t="n">
        <v>100.1</v>
      </c>
      <c r="K6" s="65" t="n">
        <v>108.2</v>
      </c>
      <c r="L6" s="65" t="n">
        <v>116</v>
      </c>
      <c r="M6" s="65" t="n">
        <v>131.5</v>
      </c>
      <c r="N6" s="66" t="n">
        <v>145.1</v>
      </c>
      <c r="O6" s="67" t="n">
        <v>161.8</v>
      </c>
      <c r="P6" s="68">
        <f>J6*1.0347</f>
        <v/>
      </c>
      <c r="Q6" s="69">
        <f>(J6-I6)/I6</f>
        <v/>
      </c>
      <c r="S6" s="70" t="n">
        <v>177.9</v>
      </c>
      <c r="T6" t="n">
        <v>21.7912</v>
      </c>
      <c r="U6" t="n">
        <v>24.9772</v>
      </c>
      <c r="V6" t="n">
        <v>30.3137</v>
      </c>
      <c r="W6" t="n">
        <v>60.8757</v>
      </c>
      <c r="X6" t="n">
        <v>70.7359</v>
      </c>
      <c r="Y6" t="n">
        <v>72.24339999999999</v>
      </c>
      <c r="Z6" t="n">
        <v>83.0508</v>
      </c>
      <c r="AA6" t="n">
        <v>86.6673</v>
      </c>
      <c r="AB6" t="n">
        <v>86.5686</v>
      </c>
    </row>
    <row r="7" ht="15.75" customHeight="1" s="186">
      <c r="B7" s="8" t="inlineStr">
        <is>
          <t>AP</t>
        </is>
      </c>
      <c r="C7" t="n">
        <v>4.3613</v>
      </c>
      <c r="D7" t="n">
        <v>5.26</v>
      </c>
      <c r="E7" t="n">
        <v>6.0221</v>
      </c>
      <c r="F7" t="n">
        <v>6.7648</v>
      </c>
      <c r="G7" t="n">
        <v>7.4044</v>
      </c>
      <c r="H7" s="71" t="n">
        <v>14.3</v>
      </c>
      <c r="I7" s="71" t="n">
        <v>15.5</v>
      </c>
      <c r="J7" s="71" t="n">
        <v>16.8</v>
      </c>
      <c r="K7" s="71" t="n">
        <v>17.5</v>
      </c>
      <c r="L7" s="71" t="n">
        <v>18.5</v>
      </c>
      <c r="M7" s="71" t="n">
        <v>20.1</v>
      </c>
      <c r="N7" s="72" t="n">
        <v>23.6</v>
      </c>
      <c r="O7" s="73" t="n">
        <v>28</v>
      </c>
      <c r="P7" s="68">
        <f>J7*1.0347</f>
        <v/>
      </c>
      <c r="Q7" s="69">
        <f>(J7-I7)/I7</f>
        <v/>
      </c>
      <c r="S7" s="74" t="n">
        <v>31.8</v>
      </c>
      <c r="T7" t="n">
        <v>3.2915</v>
      </c>
      <c r="U7" t="n">
        <v>3.4341</v>
      </c>
      <c r="V7" t="n">
        <v>3.8461</v>
      </c>
      <c r="W7" t="n">
        <v>8.2378</v>
      </c>
      <c r="X7" t="n">
        <v>9.4092</v>
      </c>
      <c r="Y7" t="n">
        <v>11.1308</v>
      </c>
      <c r="Z7" t="n">
        <v>12.7632</v>
      </c>
      <c r="AA7" t="n">
        <v>13.4</v>
      </c>
      <c r="AB7" t="n">
        <v>13.8616</v>
      </c>
    </row>
    <row r="8" ht="15.75" customHeight="1" s="186">
      <c r="B8" s="4" t="inlineStr">
        <is>
          <t>BA</t>
        </is>
      </c>
      <c r="C8" t="n">
        <v>90.91930000000001</v>
      </c>
      <c r="D8" t="n">
        <v>96.52070000000001</v>
      </c>
      <c r="E8" t="n">
        <v>109.6518</v>
      </c>
      <c r="F8" t="n">
        <v>121.5071</v>
      </c>
      <c r="G8" t="n">
        <v>137.0747</v>
      </c>
      <c r="H8" s="65" t="n">
        <v>258.7</v>
      </c>
      <c r="I8" s="65" t="n">
        <v>268.7</v>
      </c>
      <c r="J8" s="65" t="n">
        <v>286.2</v>
      </c>
      <c r="K8" s="65" t="n">
        <v>293.2</v>
      </c>
      <c r="L8" s="65" t="n">
        <v>305.3</v>
      </c>
      <c r="M8" s="65" t="n">
        <v>352.6</v>
      </c>
      <c r="N8" s="66" t="n">
        <v>402.6</v>
      </c>
      <c r="O8" s="67" t="n">
        <v>431</v>
      </c>
      <c r="P8" s="68">
        <f>J8*1.0347</f>
        <v/>
      </c>
      <c r="Q8" s="69">
        <f>(J8-I8)/I8</f>
        <v/>
      </c>
      <c r="S8" s="70" t="n">
        <v>465</v>
      </c>
      <c r="T8" t="n">
        <v>60.6718</v>
      </c>
      <c r="U8" t="n">
        <v>68.1469</v>
      </c>
      <c r="V8" t="n">
        <v>79.08320000000001</v>
      </c>
      <c r="W8" t="n">
        <v>154.4243</v>
      </c>
      <c r="X8" t="n">
        <v>166.6047</v>
      </c>
      <c r="Y8" t="n">
        <v>182.5784</v>
      </c>
      <c r="Z8" t="n">
        <v>204.841</v>
      </c>
      <c r="AA8" t="n">
        <v>223.9308</v>
      </c>
      <c r="AB8" t="n">
        <v>245.0473</v>
      </c>
    </row>
    <row r="9" ht="15.75" customHeight="1" s="186">
      <c r="B9" s="8" t="inlineStr">
        <is>
          <t>CE</t>
        </is>
      </c>
      <c r="C9" t="n">
        <v>40.9352</v>
      </c>
      <c r="D9" t="n">
        <v>46.3031</v>
      </c>
      <c r="E9" t="n">
        <v>50.3314</v>
      </c>
      <c r="F9" t="n">
        <v>60.0989</v>
      </c>
      <c r="G9" t="n">
        <v>65.7038</v>
      </c>
      <c r="H9" s="71" t="n">
        <v>138.4</v>
      </c>
      <c r="I9" s="71" t="n">
        <v>147.9</v>
      </c>
      <c r="J9" s="71" t="n">
        <v>155.9</v>
      </c>
      <c r="K9" s="71" t="n">
        <v>163.6</v>
      </c>
      <c r="L9" s="71" t="n">
        <v>166.9</v>
      </c>
      <c r="M9" s="71" t="n">
        <v>194.9</v>
      </c>
      <c r="N9" s="72" t="n">
        <v>213.6</v>
      </c>
      <c r="O9" s="73" t="n">
        <v>232.2</v>
      </c>
      <c r="P9" s="68">
        <f>J9*1.0347</f>
        <v/>
      </c>
      <c r="Q9" s="69">
        <f>(J9-I9)/I9</f>
        <v/>
      </c>
      <c r="S9" s="74" t="n">
        <v>250.2</v>
      </c>
      <c r="T9" t="n">
        <v>28.8962</v>
      </c>
      <c r="U9" t="n">
        <v>32.5655</v>
      </c>
      <c r="V9" t="n">
        <v>36.8663</v>
      </c>
      <c r="W9" t="n">
        <v>79.334</v>
      </c>
      <c r="X9" t="n">
        <v>89.69459999999999</v>
      </c>
      <c r="Y9" t="n">
        <v>96.9725</v>
      </c>
      <c r="Z9" t="n">
        <v>109.0387</v>
      </c>
      <c r="AA9" t="n">
        <v>126.054</v>
      </c>
      <c r="AB9" t="n">
        <v>130.6284</v>
      </c>
    </row>
    <row r="10" ht="15.75" customHeight="1" s="186">
      <c r="B10" s="4" t="inlineStr">
        <is>
          <t>DF</t>
        </is>
      </c>
      <c r="C10" t="n">
        <v>80.5266</v>
      </c>
      <c r="D10" t="n">
        <v>89.62860000000001</v>
      </c>
      <c r="E10" t="n">
        <v>99.9456</v>
      </c>
      <c r="F10" t="n">
        <v>117.5719</v>
      </c>
      <c r="G10" t="n">
        <v>131.4873</v>
      </c>
      <c r="H10" s="65" t="n">
        <v>235.5</v>
      </c>
      <c r="I10" s="65" t="n">
        <v>244.7</v>
      </c>
      <c r="J10" s="65" t="n">
        <v>254.8</v>
      </c>
      <c r="K10" s="65" t="n">
        <v>273.6</v>
      </c>
      <c r="L10" s="65" t="n">
        <v>265.8</v>
      </c>
      <c r="M10" s="65" t="n">
        <v>286.9</v>
      </c>
      <c r="N10" s="66" t="n">
        <v>328.8</v>
      </c>
      <c r="O10" s="67" t="n">
        <v>365.7</v>
      </c>
      <c r="P10" s="68">
        <f>J10*1.0347</f>
        <v/>
      </c>
      <c r="Q10" s="69">
        <f>(J10-I10)/I10</f>
        <v/>
      </c>
      <c r="S10" s="70" t="n">
        <v>406.1</v>
      </c>
      <c r="T10" t="n">
        <v>56.138</v>
      </c>
      <c r="U10" t="n">
        <v>63.1049</v>
      </c>
      <c r="V10" t="n">
        <v>70.72410000000001</v>
      </c>
      <c r="W10" t="n">
        <v>144.1731</v>
      </c>
      <c r="X10" t="n">
        <v>154.5693</v>
      </c>
      <c r="Y10" t="n">
        <v>164.1004</v>
      </c>
      <c r="Z10" t="n">
        <v>175.9056</v>
      </c>
      <c r="AA10" t="n">
        <v>197.4326</v>
      </c>
      <c r="AB10" t="n">
        <v>215.6129</v>
      </c>
    </row>
    <row r="11" ht="15.75" customHeight="1" s="186">
      <c r="B11" s="8" t="inlineStr">
        <is>
          <t>ES</t>
        </is>
      </c>
      <c r="C11" t="n">
        <v>47.2226</v>
      </c>
      <c r="D11" t="n">
        <v>52.7775</v>
      </c>
      <c r="E11" t="n">
        <v>60.3398</v>
      </c>
      <c r="F11" t="n">
        <v>69.8702</v>
      </c>
      <c r="G11" t="n">
        <v>66.76300000000001</v>
      </c>
      <c r="H11" s="71" t="n">
        <v>109.3</v>
      </c>
      <c r="I11" s="71" t="n">
        <v>113.4</v>
      </c>
      <c r="J11" s="71" t="n">
        <v>137</v>
      </c>
      <c r="K11" s="71" t="n">
        <v>137.3</v>
      </c>
      <c r="L11" s="71" t="n">
        <v>138.4</v>
      </c>
      <c r="M11" s="71" t="n">
        <v>186.3</v>
      </c>
      <c r="N11" s="72" t="n">
        <v>182.5</v>
      </c>
      <c r="O11" s="73" t="n">
        <v>209.8</v>
      </c>
      <c r="P11" s="68">
        <f>J11*1.0347</f>
        <v/>
      </c>
      <c r="Q11" s="69">
        <f>(J11-I11)/I11</f>
        <v/>
      </c>
      <c r="S11" s="74" t="n">
        <v>219</v>
      </c>
      <c r="T11" t="n">
        <v>26.7561</v>
      </c>
      <c r="U11" t="n">
        <v>31.0637</v>
      </c>
      <c r="V11" t="n">
        <v>40.2174</v>
      </c>
      <c r="W11" t="n">
        <v>85.31140000000001</v>
      </c>
      <c r="X11" t="n">
        <v>105.9754</v>
      </c>
      <c r="Y11" t="n">
        <v>116.8489</v>
      </c>
      <c r="Z11" t="n">
        <v>117.2734</v>
      </c>
      <c r="AA11" t="n">
        <v>128.7855</v>
      </c>
      <c r="AB11" t="n">
        <v>120.3653</v>
      </c>
    </row>
    <row r="12" ht="15.75" customHeight="1" s="186">
      <c r="B12" s="4" t="inlineStr">
        <is>
          <t>GO</t>
        </is>
      </c>
      <c r="C12" t="n">
        <v>50.5344</v>
      </c>
      <c r="D12" t="n">
        <v>57.0571</v>
      </c>
      <c r="E12" t="n">
        <v>65.2101</v>
      </c>
      <c r="F12" t="n">
        <v>75.27119999999999</v>
      </c>
      <c r="G12" t="n">
        <v>85.6153</v>
      </c>
      <c r="H12" s="65" t="n">
        <v>181.8</v>
      </c>
      <c r="I12" s="65" t="n">
        <v>191.9</v>
      </c>
      <c r="J12" s="65" t="n">
        <v>195.7</v>
      </c>
      <c r="K12" s="65" t="n">
        <v>208.7</v>
      </c>
      <c r="L12" s="65" t="n">
        <v>224.1</v>
      </c>
      <c r="M12" s="65" t="n">
        <v>269.6</v>
      </c>
      <c r="N12" s="66" t="n">
        <v>318.6</v>
      </c>
      <c r="O12" s="67" t="n">
        <v>336.7</v>
      </c>
      <c r="P12" s="68">
        <f>J12*1.0347</f>
        <v/>
      </c>
      <c r="Q12" s="69">
        <f>(J12-I12)/I12</f>
        <v/>
      </c>
      <c r="S12" s="70" t="n">
        <v>371</v>
      </c>
      <c r="T12" t="n">
        <v>37.416</v>
      </c>
      <c r="U12" t="n">
        <v>42.8364</v>
      </c>
      <c r="V12" t="n">
        <v>48.0209</v>
      </c>
      <c r="W12" t="n">
        <v>106.7714</v>
      </c>
      <c r="X12" t="n">
        <v>121.2981</v>
      </c>
      <c r="Y12" t="n">
        <v>138.7582</v>
      </c>
      <c r="Z12" t="n">
        <v>151.3031</v>
      </c>
      <c r="AA12" t="n">
        <v>165.0179</v>
      </c>
      <c r="AB12" t="n">
        <v>173.6295</v>
      </c>
    </row>
    <row r="13" ht="15.75" customHeight="1" s="186">
      <c r="B13" s="8" t="inlineStr">
        <is>
          <t>MA</t>
        </is>
      </c>
      <c r="C13" t="n">
        <v>25.3346</v>
      </c>
      <c r="D13" t="n">
        <v>28.6202</v>
      </c>
      <c r="E13" t="n">
        <v>31.606</v>
      </c>
      <c r="F13" t="n">
        <v>38.486</v>
      </c>
      <c r="G13" t="n">
        <v>39.8547</v>
      </c>
      <c r="H13" s="71" t="n">
        <v>85.3</v>
      </c>
      <c r="I13" s="71" t="n">
        <v>89.5</v>
      </c>
      <c r="J13" s="71" t="n">
        <v>98.2</v>
      </c>
      <c r="K13" s="71" t="n">
        <v>97.3</v>
      </c>
      <c r="L13" s="71" t="n">
        <v>106.9</v>
      </c>
      <c r="M13" s="71" t="n">
        <v>125</v>
      </c>
      <c r="N13" s="72" t="n">
        <v>139.8</v>
      </c>
      <c r="O13" s="73" t="n">
        <v>149.2</v>
      </c>
      <c r="P13" s="68">
        <f>J13*1.0347</f>
        <v/>
      </c>
      <c r="Q13" s="69">
        <f>(J13-I13)/I13</f>
        <v/>
      </c>
      <c r="S13" s="74" t="n">
        <v>158.1</v>
      </c>
      <c r="T13" t="n">
        <v>15.4488</v>
      </c>
      <c r="U13" t="n">
        <v>18.4833</v>
      </c>
      <c r="V13" t="n">
        <v>21.6046</v>
      </c>
      <c r="W13" t="n">
        <v>46.3128</v>
      </c>
      <c r="X13" t="n">
        <v>52.1426</v>
      </c>
      <c r="Y13" t="n">
        <v>60.4893</v>
      </c>
      <c r="Z13" t="n">
        <v>67.69159999999999</v>
      </c>
      <c r="AA13" t="n">
        <v>76.8395</v>
      </c>
      <c r="AB13" t="n">
        <v>78.4736</v>
      </c>
    </row>
    <row r="14" ht="15.75" customHeight="1" s="186">
      <c r="B14" s="4" t="inlineStr">
        <is>
          <t>MG</t>
        </is>
      </c>
      <c r="C14" t="n">
        <v>192.6393</v>
      </c>
      <c r="D14" t="n">
        <v>214.754</v>
      </c>
      <c r="E14" t="n">
        <v>241.2931</v>
      </c>
      <c r="F14" t="n">
        <v>282.5207</v>
      </c>
      <c r="G14" t="n">
        <v>287.0547</v>
      </c>
      <c r="H14" s="65" t="n">
        <v>544.8</v>
      </c>
      <c r="I14" s="65" t="n">
        <v>576.4</v>
      </c>
      <c r="J14" s="65" t="n">
        <v>614.9</v>
      </c>
      <c r="K14" s="65" t="n">
        <v>651.9</v>
      </c>
      <c r="L14" s="65" t="n">
        <v>682.8</v>
      </c>
      <c r="M14" s="65" t="n">
        <v>857.6</v>
      </c>
      <c r="N14" s="66" t="n">
        <v>906.7</v>
      </c>
      <c r="O14" s="67" t="n">
        <v>972</v>
      </c>
      <c r="P14" s="68">
        <f>J14*1.0347</f>
        <v/>
      </c>
      <c r="Q14" s="69">
        <f>(J14-I14)/I14</f>
        <v/>
      </c>
      <c r="S14" s="70" t="n">
        <v>1033.3</v>
      </c>
      <c r="T14" t="n">
        <v>127.7819</v>
      </c>
      <c r="U14" t="n">
        <v>148.8228</v>
      </c>
      <c r="V14" t="n">
        <v>177.3248</v>
      </c>
      <c r="W14" t="n">
        <v>351.1254</v>
      </c>
      <c r="X14" t="n">
        <v>400.1178</v>
      </c>
      <c r="Y14" t="n">
        <v>442.2775</v>
      </c>
      <c r="Z14" t="n">
        <v>488.0008</v>
      </c>
      <c r="AA14" t="n">
        <v>516.6315</v>
      </c>
      <c r="AB14" t="n">
        <v>519.3276</v>
      </c>
    </row>
    <row r="15" ht="15.75" customHeight="1" s="186">
      <c r="B15" s="8" t="inlineStr">
        <is>
          <t>MS</t>
        </is>
      </c>
      <c r="C15" t="n">
        <v>21.6509</v>
      </c>
      <c r="D15" t="n">
        <v>24.3412</v>
      </c>
      <c r="E15" t="n">
        <v>28.1214</v>
      </c>
      <c r="F15" t="n">
        <v>33.1427</v>
      </c>
      <c r="G15" t="n">
        <v>36.3681</v>
      </c>
      <c r="H15" s="71" t="n">
        <v>91.90000000000001</v>
      </c>
      <c r="I15" s="71" t="n">
        <v>96.40000000000001</v>
      </c>
      <c r="J15" s="71" t="n">
        <v>107</v>
      </c>
      <c r="K15" s="71" t="n">
        <v>106.9</v>
      </c>
      <c r="L15" s="71" t="n">
        <v>122.6</v>
      </c>
      <c r="M15" s="71" t="n">
        <v>142.2</v>
      </c>
      <c r="N15" s="72" t="n">
        <v>166.4</v>
      </c>
      <c r="O15" s="73" t="n">
        <v>184.4</v>
      </c>
      <c r="P15" s="68">
        <f>J15*1.0347</f>
        <v/>
      </c>
      <c r="Q15" s="69">
        <f>(J15-I15)/I15</f>
        <v/>
      </c>
      <c r="S15" s="74" t="n">
        <v>201.5</v>
      </c>
      <c r="T15" t="n">
        <v>15.1535</v>
      </c>
      <c r="U15" t="n">
        <v>19.2737</v>
      </c>
      <c r="V15" t="n">
        <v>21.1052</v>
      </c>
      <c r="W15" t="n">
        <v>47.2711</v>
      </c>
      <c r="X15" t="n">
        <v>55.1327</v>
      </c>
      <c r="Y15" t="n">
        <v>62.0141</v>
      </c>
      <c r="Z15" t="n">
        <v>69.2043</v>
      </c>
      <c r="AA15" t="n">
        <v>78.9512</v>
      </c>
      <c r="AB15" t="n">
        <v>83.0818</v>
      </c>
    </row>
    <row r="16" ht="15.75" customHeight="1" s="186">
      <c r="B16" s="4" t="inlineStr">
        <is>
          <t>MT</t>
        </is>
      </c>
      <c r="C16" t="n">
        <v>37.4659</v>
      </c>
      <c r="D16" t="n">
        <v>35.2576</v>
      </c>
      <c r="E16" t="n">
        <v>42.6871</v>
      </c>
      <c r="F16" t="n">
        <v>53.3865</v>
      </c>
      <c r="G16" t="n">
        <v>57.2942</v>
      </c>
      <c r="H16" s="65" t="n">
        <v>123.9</v>
      </c>
      <c r="I16" s="65" t="n">
        <v>126.8</v>
      </c>
      <c r="J16" s="65" t="n">
        <v>137.4</v>
      </c>
      <c r="K16" s="65" t="n">
        <v>142.1</v>
      </c>
      <c r="L16" s="65" t="n">
        <v>178.6</v>
      </c>
      <c r="M16" s="65" t="n">
        <v>233.4</v>
      </c>
      <c r="N16" s="66" t="n">
        <v>255.5</v>
      </c>
      <c r="O16" s="67" t="n">
        <v>273</v>
      </c>
      <c r="P16" s="68">
        <f>J16*1.0347</f>
        <v/>
      </c>
      <c r="Q16" s="69">
        <f>(J16-I16)/I16</f>
        <v/>
      </c>
      <c r="S16" s="70" t="n">
        <v>291</v>
      </c>
      <c r="T16" t="n">
        <v>20.9411</v>
      </c>
      <c r="U16" t="n">
        <v>27.8887</v>
      </c>
      <c r="V16" t="n">
        <v>36.9611</v>
      </c>
      <c r="W16" t="n">
        <v>56.602</v>
      </c>
      <c r="X16" t="n">
        <v>69.1532</v>
      </c>
      <c r="Y16" t="n">
        <v>79.66540000000001</v>
      </c>
      <c r="Z16" t="n">
        <v>89.2137</v>
      </c>
      <c r="AA16" t="n">
        <v>101.2351</v>
      </c>
      <c r="AB16" t="n">
        <v>107.4182</v>
      </c>
    </row>
    <row r="17" ht="15.75" customHeight="1" s="186">
      <c r="B17" s="8" t="inlineStr">
        <is>
          <t>PA</t>
        </is>
      </c>
      <c r="C17" t="n">
        <v>39.1211</v>
      </c>
      <c r="D17" t="n">
        <v>44.3697</v>
      </c>
      <c r="E17" t="n">
        <v>49.5071</v>
      </c>
      <c r="F17" t="n">
        <v>58.5186</v>
      </c>
      <c r="G17" t="n">
        <v>58.4018</v>
      </c>
      <c r="H17" s="71" t="n">
        <v>138.1</v>
      </c>
      <c r="I17" s="71" t="n">
        <v>155.2</v>
      </c>
      <c r="J17" s="71" t="n">
        <v>161.3</v>
      </c>
      <c r="K17" s="71" t="n">
        <v>178.4</v>
      </c>
      <c r="L17" s="71" t="n">
        <v>215.9</v>
      </c>
      <c r="M17" s="71" t="n">
        <v>262.9</v>
      </c>
      <c r="N17" s="72" t="n">
        <v>236.1</v>
      </c>
      <c r="O17" s="73" t="n">
        <v>254.5</v>
      </c>
      <c r="P17" s="68">
        <f>J17*1.0347</f>
        <v/>
      </c>
      <c r="Q17" s="69">
        <f>(J17-I17)/I17</f>
        <v/>
      </c>
      <c r="S17" s="74" t="n">
        <v>261.5</v>
      </c>
      <c r="T17" t="n">
        <v>25.6591</v>
      </c>
      <c r="U17" t="n">
        <v>29.7546</v>
      </c>
      <c r="V17" t="n">
        <v>35.5628</v>
      </c>
      <c r="W17" t="n">
        <v>82.6865</v>
      </c>
      <c r="X17" t="n">
        <v>98.71380000000001</v>
      </c>
      <c r="Y17" t="n">
        <v>107.0812</v>
      </c>
      <c r="Z17" t="n">
        <v>121.2264</v>
      </c>
      <c r="AA17" t="n">
        <v>124.5887</v>
      </c>
      <c r="AB17" t="n">
        <v>130.8999</v>
      </c>
    </row>
    <row r="18" ht="15.75" customHeight="1" s="186">
      <c r="B18" s="4" t="inlineStr">
        <is>
          <t>PB</t>
        </is>
      </c>
      <c r="C18" t="n">
        <v>16.8686</v>
      </c>
      <c r="D18" t="n">
        <v>19.9513</v>
      </c>
      <c r="E18" t="n">
        <v>22.2018</v>
      </c>
      <c r="F18" t="n">
        <v>25.6966</v>
      </c>
      <c r="G18" t="n">
        <v>28.7186</v>
      </c>
      <c r="H18" s="65" t="n">
        <v>59.1</v>
      </c>
      <c r="I18" s="65" t="n">
        <v>62.4</v>
      </c>
      <c r="J18" s="65" t="n">
        <v>64.40000000000001</v>
      </c>
      <c r="K18" s="65" t="n">
        <v>68</v>
      </c>
      <c r="L18" s="65" t="n">
        <v>70.3</v>
      </c>
      <c r="M18" s="65" t="n">
        <v>77.5</v>
      </c>
      <c r="N18" s="66" t="n">
        <v>86.09999999999999</v>
      </c>
      <c r="O18" s="67" t="n">
        <v>97</v>
      </c>
      <c r="P18" s="68">
        <f>J18*1.0347</f>
        <v/>
      </c>
      <c r="Q18" s="69">
        <f>(J18-I18)/I18</f>
        <v/>
      </c>
      <c r="S18" s="70" t="n">
        <v>106.5</v>
      </c>
      <c r="T18" t="n">
        <v>12.4339</v>
      </c>
      <c r="U18" t="n">
        <v>14.1578</v>
      </c>
      <c r="V18" t="n">
        <v>15.0224</v>
      </c>
      <c r="W18" t="n">
        <v>33.5221</v>
      </c>
      <c r="X18" t="n">
        <v>37.1094</v>
      </c>
      <c r="Y18" t="n">
        <v>42.4896</v>
      </c>
      <c r="Z18" t="n">
        <v>46.3781</v>
      </c>
      <c r="AA18" t="n">
        <v>52.9348</v>
      </c>
      <c r="AB18" t="n">
        <v>56.1431</v>
      </c>
    </row>
    <row r="19" ht="15.75" customHeight="1" s="186">
      <c r="B19" s="8" t="inlineStr">
        <is>
          <t>PE</t>
        </is>
      </c>
      <c r="C19" t="n">
        <v>49.9217</v>
      </c>
      <c r="D19" t="n">
        <v>55.4933</v>
      </c>
      <c r="E19" t="n">
        <v>62.2557</v>
      </c>
      <c r="F19" t="n">
        <v>70.4409</v>
      </c>
      <c r="G19" t="n">
        <v>78.42829999999999</v>
      </c>
      <c r="H19" s="71" t="n">
        <v>167.3</v>
      </c>
      <c r="I19" s="71" t="n">
        <v>181.6</v>
      </c>
      <c r="J19" s="71" t="n">
        <v>186.4</v>
      </c>
      <c r="K19" s="71" t="n">
        <v>197.9</v>
      </c>
      <c r="L19" s="71" t="n">
        <v>193.3</v>
      </c>
      <c r="M19" s="71" t="n">
        <v>220.8</v>
      </c>
      <c r="N19" s="72" t="n">
        <v>245.8</v>
      </c>
      <c r="O19" s="73" t="n">
        <v>270.5</v>
      </c>
      <c r="P19" s="68">
        <f>J19*1.0347</f>
        <v/>
      </c>
      <c r="Q19" s="69">
        <f>(J19-I19)/I19</f>
        <v/>
      </c>
      <c r="S19" s="74" t="n">
        <v>295.3</v>
      </c>
      <c r="T19" t="n">
        <v>35.2514</v>
      </c>
      <c r="U19" t="n">
        <v>39.3084</v>
      </c>
      <c r="V19" t="n">
        <v>44.0109</v>
      </c>
      <c r="W19" t="n">
        <v>97.19199999999999</v>
      </c>
      <c r="X19" t="n">
        <v>110.1642</v>
      </c>
      <c r="Y19" t="n">
        <v>127.9906</v>
      </c>
      <c r="Z19" t="n">
        <v>141.1487</v>
      </c>
      <c r="AA19" t="n">
        <v>155.1422</v>
      </c>
      <c r="AB19" t="n">
        <v>156.9615</v>
      </c>
    </row>
    <row r="20" ht="15.75" customHeight="1" s="186">
      <c r="B20" s="4" t="inlineStr">
        <is>
          <t>PI</t>
        </is>
      </c>
      <c r="C20" t="n">
        <v>11.1292</v>
      </c>
      <c r="D20" t="n">
        <v>12.7885</v>
      </c>
      <c r="E20" t="n">
        <v>14.1359</v>
      </c>
      <c r="F20" t="n">
        <v>16.7603</v>
      </c>
      <c r="G20" t="n">
        <v>19.0327</v>
      </c>
      <c r="H20" s="65" t="n">
        <v>41.4</v>
      </c>
      <c r="I20" s="65" t="n">
        <v>45.4</v>
      </c>
      <c r="J20" s="65" t="n">
        <v>50.4</v>
      </c>
      <c r="K20" s="65" t="n">
        <v>52.8</v>
      </c>
      <c r="L20" s="65" t="n">
        <v>56.4</v>
      </c>
      <c r="M20" s="65" t="n">
        <v>64</v>
      </c>
      <c r="N20" s="66" t="n">
        <v>72.8</v>
      </c>
      <c r="O20" s="67" t="n">
        <v>80.90000000000001</v>
      </c>
      <c r="P20" s="68">
        <f>J20*1.0347</f>
        <v/>
      </c>
      <c r="Q20" s="69">
        <f>(J20-I20)/I20</f>
        <v/>
      </c>
      <c r="S20" s="70" t="n">
        <v>88.90000000000001</v>
      </c>
      <c r="T20" t="n">
        <v>7.4251</v>
      </c>
      <c r="U20" t="n">
        <v>8.776999999999999</v>
      </c>
      <c r="V20" t="n">
        <v>9.816700000000001</v>
      </c>
      <c r="W20" t="n">
        <v>22.2682</v>
      </c>
      <c r="X20" t="n">
        <v>25.9422</v>
      </c>
      <c r="Y20" t="n">
        <v>28.6364</v>
      </c>
      <c r="Z20" t="n">
        <v>31.2844</v>
      </c>
      <c r="AA20" t="n">
        <v>37.7232</v>
      </c>
      <c r="AB20" t="n">
        <v>39.15</v>
      </c>
    </row>
    <row r="21" ht="15.75" customHeight="1" s="186">
      <c r="B21" s="8" t="inlineStr">
        <is>
          <t>PR</t>
        </is>
      </c>
      <c r="C21" t="n">
        <v>126.6768</v>
      </c>
      <c r="D21" t="n">
        <v>136.6146</v>
      </c>
      <c r="E21" t="n">
        <v>161.5818</v>
      </c>
      <c r="F21" t="n">
        <v>179.2632</v>
      </c>
      <c r="G21" t="n">
        <v>189.9919</v>
      </c>
      <c r="H21" s="71" t="n">
        <v>401.8</v>
      </c>
      <c r="I21" s="71" t="n">
        <v>421.5</v>
      </c>
      <c r="J21" s="71" t="n">
        <v>440</v>
      </c>
      <c r="K21" s="71" t="n">
        <v>466.4</v>
      </c>
      <c r="L21" s="71" t="n">
        <v>487.9</v>
      </c>
      <c r="M21" s="71" t="n">
        <v>550</v>
      </c>
      <c r="N21" s="72" t="n">
        <v>614.6</v>
      </c>
      <c r="O21" s="73" t="n">
        <v>670.9</v>
      </c>
      <c r="P21" s="68">
        <f>J21*1.0347</f>
        <v/>
      </c>
      <c r="Q21" s="69">
        <f>(J21-I21)/I21</f>
        <v/>
      </c>
      <c r="S21" s="74" t="n">
        <v>731.1</v>
      </c>
      <c r="T21" t="n">
        <v>88.4071</v>
      </c>
      <c r="U21" t="n">
        <v>109.4589</v>
      </c>
      <c r="V21" t="n">
        <v>122.4337</v>
      </c>
      <c r="W21" t="n">
        <v>225.2049</v>
      </c>
      <c r="X21" t="n">
        <v>257.1215</v>
      </c>
      <c r="Y21" t="n">
        <v>285.6205</v>
      </c>
      <c r="Z21" t="n">
        <v>333.4761</v>
      </c>
      <c r="AA21" t="n">
        <v>348.087</v>
      </c>
      <c r="AB21" t="n">
        <v>376.964</v>
      </c>
    </row>
    <row r="22" ht="15.75" customHeight="1" s="186">
      <c r="B22" s="4" t="inlineStr">
        <is>
          <t>RJ</t>
        </is>
      </c>
      <c r="C22" t="n">
        <v>247.0175</v>
      </c>
      <c r="D22" t="n">
        <v>275.3271</v>
      </c>
      <c r="E22" t="n">
        <v>296.7678</v>
      </c>
      <c r="F22" t="n">
        <v>343.1821</v>
      </c>
      <c r="G22" t="n">
        <v>353.8781</v>
      </c>
      <c r="H22" s="65" t="n">
        <v>640.4</v>
      </c>
      <c r="I22" s="65" t="n">
        <v>671.6</v>
      </c>
      <c r="J22" s="65" t="n">
        <v>758.9</v>
      </c>
      <c r="K22" s="65" t="n">
        <v>779.9</v>
      </c>
      <c r="L22" s="65" t="n">
        <v>753.8</v>
      </c>
      <c r="M22" s="65" t="n">
        <v>949.3</v>
      </c>
      <c r="N22" s="66" t="n">
        <v>1153.5</v>
      </c>
      <c r="O22" s="67" t="n">
        <v>1172.9</v>
      </c>
      <c r="P22" s="68">
        <f>J22*1.0347</f>
        <v/>
      </c>
      <c r="Q22" s="69">
        <f>(J22-I22)/I22</f>
        <v/>
      </c>
      <c r="S22" s="70" t="n">
        <v>1274.4</v>
      </c>
      <c r="T22" t="n">
        <v>171.372</v>
      </c>
      <c r="U22" t="n">
        <v>188.015</v>
      </c>
      <c r="V22" t="n">
        <v>222.945</v>
      </c>
      <c r="W22" t="n">
        <v>449.8607</v>
      </c>
      <c r="X22" t="n">
        <v>512.7699</v>
      </c>
      <c r="Y22" t="n">
        <v>574.8825000000001</v>
      </c>
      <c r="Z22" t="n">
        <v>628.2327</v>
      </c>
      <c r="AA22" t="n">
        <v>671.0726</v>
      </c>
      <c r="AB22" t="n">
        <v>659.1378</v>
      </c>
    </row>
    <row r="23" ht="15.75" customHeight="1" s="186">
      <c r="B23" s="8" t="inlineStr">
        <is>
          <t>RN</t>
        </is>
      </c>
      <c r="C23" t="n">
        <v>17.8695</v>
      </c>
      <c r="D23" t="n">
        <v>20.5546</v>
      </c>
      <c r="E23" t="n">
        <v>22.9256</v>
      </c>
      <c r="F23" t="n">
        <v>25.4814</v>
      </c>
      <c r="G23" t="n">
        <v>27.905</v>
      </c>
      <c r="H23" s="71" t="n">
        <v>59.7</v>
      </c>
      <c r="I23" s="71" t="n">
        <v>64.3</v>
      </c>
      <c r="J23" s="71" t="n">
        <v>67</v>
      </c>
      <c r="K23" s="71" t="n">
        <v>71.3</v>
      </c>
      <c r="L23" s="71" t="n">
        <v>71.59999999999999</v>
      </c>
      <c r="M23" s="71" t="n">
        <v>80.2</v>
      </c>
      <c r="N23" s="72" t="n">
        <v>93.8</v>
      </c>
      <c r="O23" s="73" t="n">
        <v>101.7</v>
      </c>
      <c r="P23" s="68">
        <f>J23*1.0347</f>
        <v/>
      </c>
      <c r="Q23" s="69">
        <f>(J23-I23)/I23</f>
        <v/>
      </c>
      <c r="S23" s="74" t="n">
        <v>112.6</v>
      </c>
      <c r="T23" t="n">
        <v>12.1976</v>
      </c>
      <c r="U23" t="n">
        <v>13.5151</v>
      </c>
      <c r="V23" t="n">
        <v>15.5805</v>
      </c>
      <c r="W23" t="n">
        <v>36.1852</v>
      </c>
      <c r="X23" t="n">
        <v>40.994</v>
      </c>
      <c r="Y23" t="n">
        <v>46.4118</v>
      </c>
      <c r="Z23" t="n">
        <v>51.517</v>
      </c>
      <c r="AA23" t="n">
        <v>54.0215</v>
      </c>
      <c r="AB23" t="n">
        <v>57.2503</v>
      </c>
    </row>
    <row r="24" ht="15.75" customHeight="1" s="186">
      <c r="B24" s="4" t="inlineStr">
        <is>
          <t>RO</t>
        </is>
      </c>
      <c r="C24" t="n">
        <v>12.884</v>
      </c>
      <c r="D24" t="n">
        <v>13.1074</v>
      </c>
      <c r="E24" t="n">
        <v>15.0027</v>
      </c>
      <c r="F24" t="n">
        <v>17.8878</v>
      </c>
      <c r="G24" t="n">
        <v>20.2362</v>
      </c>
      <c r="H24" s="65" t="n">
        <v>39.5</v>
      </c>
      <c r="I24" s="65" t="n">
        <v>43.5</v>
      </c>
      <c r="J24" s="65" t="n">
        <v>44.9</v>
      </c>
      <c r="K24" s="65" t="n">
        <v>47.1</v>
      </c>
      <c r="L24" s="65" t="n">
        <v>51.6</v>
      </c>
      <c r="M24" s="65" t="n">
        <v>58.2</v>
      </c>
      <c r="N24" s="66" t="n">
        <v>66.8</v>
      </c>
      <c r="O24" s="67" t="n">
        <v>76.5</v>
      </c>
      <c r="P24" s="68">
        <f>J24*1.0347</f>
        <v/>
      </c>
      <c r="Q24" s="69">
        <f>(J24-I24)/I24</f>
        <v/>
      </c>
      <c r="S24" s="70" t="n">
        <v>85.2</v>
      </c>
      <c r="T24" t="n">
        <v>7.7799</v>
      </c>
      <c r="U24" t="n">
        <v>9.7508</v>
      </c>
      <c r="V24" t="n">
        <v>11.2604</v>
      </c>
      <c r="W24" t="n">
        <v>23.908</v>
      </c>
      <c r="X24" t="n">
        <v>27.5754</v>
      </c>
      <c r="Y24" t="n">
        <v>30.1132</v>
      </c>
      <c r="Z24" t="n">
        <v>31.1217</v>
      </c>
      <c r="AA24" t="n">
        <v>34.0317</v>
      </c>
      <c r="AB24" t="n">
        <v>36.5629</v>
      </c>
    </row>
    <row r="25" ht="15.75" customHeight="1" s="186">
      <c r="B25" s="8" t="inlineStr">
        <is>
          <t>RR</t>
        </is>
      </c>
      <c r="C25" t="n">
        <v>3.1793</v>
      </c>
      <c r="D25" t="n">
        <v>3.6601</v>
      </c>
      <c r="E25" t="n">
        <v>4.1686</v>
      </c>
      <c r="F25" t="n">
        <v>4.8893</v>
      </c>
      <c r="G25" t="n">
        <v>5.5935</v>
      </c>
      <c r="H25" s="71" t="n">
        <v>11</v>
      </c>
      <c r="I25" s="71" t="n">
        <v>12.1</v>
      </c>
      <c r="J25" s="71" t="n">
        <v>13.4</v>
      </c>
      <c r="K25" s="71" t="n">
        <v>14.3</v>
      </c>
      <c r="L25" s="71" t="n">
        <v>16</v>
      </c>
      <c r="M25" s="71" t="n">
        <v>18.2</v>
      </c>
      <c r="N25" s="72" t="n">
        <v>21.1</v>
      </c>
      <c r="O25" s="73" t="n">
        <v>25.1</v>
      </c>
      <c r="P25" s="68">
        <f>J25*1.0347</f>
        <v/>
      </c>
      <c r="Q25" s="69">
        <f>(J25-I25)/I25</f>
        <v/>
      </c>
      <c r="S25" s="74" t="n">
        <v>28.6</v>
      </c>
      <c r="T25" t="n">
        <v>2.3126</v>
      </c>
      <c r="U25" t="n">
        <v>2.737</v>
      </c>
      <c r="V25" t="n">
        <v>2.8111</v>
      </c>
      <c r="W25" t="n">
        <v>6.6392</v>
      </c>
      <c r="X25" t="n">
        <v>7.3037</v>
      </c>
      <c r="Y25" t="n">
        <v>7.7115</v>
      </c>
      <c r="Z25" t="n">
        <v>9.0108</v>
      </c>
      <c r="AA25" t="n">
        <v>9.7439</v>
      </c>
      <c r="AB25" t="n">
        <v>10.2428</v>
      </c>
    </row>
    <row r="26" ht="15.75" customHeight="1" s="186">
      <c r="B26" s="4" t="inlineStr">
        <is>
          <t>RS</t>
        </is>
      </c>
      <c r="C26" t="n">
        <v>144.2182</v>
      </c>
      <c r="D26" t="n">
        <v>156.8269</v>
      </c>
      <c r="E26" t="n">
        <v>176.6151</v>
      </c>
      <c r="F26" t="n">
        <v>199.4942</v>
      </c>
      <c r="G26" t="n">
        <v>215.8639</v>
      </c>
      <c r="H26" s="65" t="n">
        <v>408.8</v>
      </c>
      <c r="I26" s="65" t="n">
        <v>423.3</v>
      </c>
      <c r="J26" s="65" t="n">
        <v>457.3</v>
      </c>
      <c r="K26" s="65" t="n">
        <v>482.5</v>
      </c>
      <c r="L26" s="65" t="n">
        <v>470.9</v>
      </c>
      <c r="M26" s="65" t="n">
        <v>581.3</v>
      </c>
      <c r="N26" s="66" t="n">
        <v>593.6</v>
      </c>
      <c r="O26" s="67" t="n">
        <v>650.1</v>
      </c>
      <c r="P26" s="68">
        <f>J26*1.0347</f>
        <v/>
      </c>
      <c r="Q26" s="69">
        <f>(J26-I26)/I26</f>
        <v/>
      </c>
      <c r="S26" s="70" t="n">
        <v>687.3</v>
      </c>
      <c r="T26" t="n">
        <v>105.4868</v>
      </c>
      <c r="U26" t="n">
        <v>124.5513</v>
      </c>
      <c r="V26" t="n">
        <v>137.8307</v>
      </c>
      <c r="W26" t="n">
        <v>241.2443</v>
      </c>
      <c r="X26" t="n">
        <v>265.0522</v>
      </c>
      <c r="Y26" t="n">
        <v>287.5816</v>
      </c>
      <c r="Z26" t="n">
        <v>332.2977</v>
      </c>
      <c r="AA26" t="n">
        <v>357.8146</v>
      </c>
      <c r="AB26" t="n">
        <v>381.9924</v>
      </c>
    </row>
    <row r="27" ht="15.75" customHeight="1" s="186">
      <c r="B27" s="8" t="inlineStr">
        <is>
          <t>SC</t>
        </is>
      </c>
      <c r="C27" t="n">
        <v>85.3163</v>
      </c>
      <c r="D27" t="n">
        <v>93.1468</v>
      </c>
      <c r="E27" t="n">
        <v>104.6229</v>
      </c>
      <c r="F27" t="n">
        <v>123.2823</v>
      </c>
      <c r="G27" t="n">
        <v>129.8063</v>
      </c>
      <c r="H27" s="71" t="n">
        <v>256.8</v>
      </c>
      <c r="I27" s="71" t="n">
        <v>277.3</v>
      </c>
      <c r="J27" s="71" t="n">
        <v>298.2</v>
      </c>
      <c r="K27" s="71" t="n">
        <v>323.3</v>
      </c>
      <c r="L27" s="71" t="n">
        <v>349.3</v>
      </c>
      <c r="M27" s="71" t="n">
        <v>428.6</v>
      </c>
      <c r="N27" s="72" t="n">
        <v>466.3</v>
      </c>
      <c r="O27" s="73" t="n">
        <v>513.4</v>
      </c>
      <c r="P27" s="68">
        <f>J27*1.0347</f>
        <v/>
      </c>
      <c r="Q27" s="69">
        <f>(J27-I27)/I27</f>
        <v/>
      </c>
      <c r="S27" s="74" t="n">
        <v>560.1</v>
      </c>
      <c r="T27" t="n">
        <v>55.7319</v>
      </c>
      <c r="U27" t="n">
        <v>66.8485</v>
      </c>
      <c r="V27" t="n">
        <v>77.393</v>
      </c>
      <c r="W27" t="n">
        <v>153.724</v>
      </c>
      <c r="X27" t="n">
        <v>174.0664</v>
      </c>
      <c r="Y27" t="n">
        <v>191.7919</v>
      </c>
      <c r="Z27" t="n">
        <v>214.512</v>
      </c>
      <c r="AA27" t="n">
        <v>242.554</v>
      </c>
      <c r="AB27" t="n">
        <v>249.0777</v>
      </c>
    </row>
    <row r="28" ht="15.75" customHeight="1" s="186">
      <c r="B28" s="4" t="inlineStr">
        <is>
          <t>SE</t>
        </is>
      </c>
      <c r="C28" t="n">
        <v>13.4274</v>
      </c>
      <c r="D28" t="n">
        <v>15.1243</v>
      </c>
      <c r="E28" t="n">
        <v>16.8957</v>
      </c>
      <c r="F28" t="n">
        <v>19.5518</v>
      </c>
      <c r="G28" t="n">
        <v>19.7671</v>
      </c>
      <c r="H28" s="65" t="n">
        <v>38.9</v>
      </c>
      <c r="I28" s="65" t="n">
        <v>40.7</v>
      </c>
      <c r="J28" s="65" t="n">
        <v>42</v>
      </c>
      <c r="K28" s="65" t="n">
        <v>44.7</v>
      </c>
      <c r="L28" s="65" t="n">
        <v>45.4</v>
      </c>
      <c r="M28" s="65" t="n">
        <v>51.9</v>
      </c>
      <c r="N28" s="66" t="n">
        <v>57.4</v>
      </c>
      <c r="O28" s="67" t="n">
        <v>60.8</v>
      </c>
      <c r="P28" s="68">
        <f>J28*1.0347</f>
        <v/>
      </c>
      <c r="Q28" s="69">
        <f>(J28-I28)/I28</f>
        <v/>
      </c>
      <c r="S28" s="70" t="n">
        <v>65.5</v>
      </c>
      <c r="T28" t="n">
        <v>9.4544</v>
      </c>
      <c r="U28" t="n">
        <v>10.8738</v>
      </c>
      <c r="V28" t="n">
        <v>12.1674</v>
      </c>
      <c r="W28" t="n">
        <v>26.4044</v>
      </c>
      <c r="X28" t="n">
        <v>29.1091</v>
      </c>
      <c r="Y28" t="n">
        <v>32.8535</v>
      </c>
      <c r="Z28" t="n">
        <v>35.337</v>
      </c>
      <c r="AA28" t="n">
        <v>37.4731</v>
      </c>
      <c r="AB28" t="n">
        <v>38.5561</v>
      </c>
    </row>
    <row r="29" ht="15.75" customHeight="1" s="186">
      <c r="B29" s="8" t="inlineStr">
        <is>
          <t>SP</t>
        </is>
      </c>
      <c r="C29" t="n">
        <v>726.984</v>
      </c>
      <c r="D29" t="n">
        <v>802.6546</v>
      </c>
      <c r="E29" t="n">
        <v>902.7843</v>
      </c>
      <c r="F29" t="n">
        <v>1003.0152</v>
      </c>
      <c r="G29" t="n">
        <v>1084.3535</v>
      </c>
      <c r="H29" s="71" t="n">
        <v>2038.8</v>
      </c>
      <c r="I29" s="71" t="n">
        <v>2120.8</v>
      </c>
      <c r="J29" s="71" t="n">
        <v>2210.6</v>
      </c>
      <c r="K29" s="71" t="n">
        <v>2348.3</v>
      </c>
      <c r="L29" s="71" t="n">
        <v>2377.6</v>
      </c>
      <c r="M29" s="71" t="n">
        <v>2719.8</v>
      </c>
      <c r="N29" s="72" t="n">
        <v>3130.3</v>
      </c>
      <c r="O29" s="73" t="n">
        <v>3444.8</v>
      </c>
      <c r="P29" s="68">
        <f>J29*1.0347</f>
        <v/>
      </c>
      <c r="Q29" s="69">
        <f>(J29-I29)/I29</f>
        <v/>
      </c>
      <c r="S29" s="74" t="n">
        <v>3805.1</v>
      </c>
      <c r="T29" t="n">
        <v>511.7359</v>
      </c>
      <c r="U29" t="n">
        <v>579.8469</v>
      </c>
      <c r="V29" t="n">
        <v>643.4875</v>
      </c>
      <c r="W29" t="n">
        <v>1294.684</v>
      </c>
      <c r="X29" t="n">
        <v>1436.6708</v>
      </c>
      <c r="Y29" t="n">
        <v>1559.0187</v>
      </c>
      <c r="Z29" t="n">
        <v>1715.2399</v>
      </c>
      <c r="AA29" t="n">
        <v>1858.2018</v>
      </c>
      <c r="AB29" t="n">
        <v>1939.9044</v>
      </c>
    </row>
    <row r="30" ht="15.75" customHeight="1" s="186">
      <c r="B30" s="4" t="inlineStr">
        <is>
          <t>TO</t>
        </is>
      </c>
      <c r="C30" t="n">
        <v>9.0609</v>
      </c>
      <c r="D30" t="n">
        <v>9.604699999999999</v>
      </c>
      <c r="E30" t="n">
        <v>11.0941</v>
      </c>
      <c r="F30" t="n">
        <v>13.0903</v>
      </c>
      <c r="G30" t="n">
        <v>14.5714</v>
      </c>
      <c r="H30" s="65" t="n">
        <v>31.6</v>
      </c>
      <c r="I30" s="65" t="n">
        <v>34.1</v>
      </c>
      <c r="J30" s="65" t="n">
        <v>35.7</v>
      </c>
      <c r="K30" s="65" t="n">
        <v>39.4</v>
      </c>
      <c r="L30" s="65" t="n">
        <v>43.6</v>
      </c>
      <c r="M30" s="65" t="n">
        <v>51.8</v>
      </c>
      <c r="N30" s="66" t="n">
        <v>58.2</v>
      </c>
      <c r="O30" s="67" t="n">
        <v>64.3</v>
      </c>
      <c r="P30" s="68">
        <f>J30*1.0347</f>
        <v/>
      </c>
      <c r="Q30" s="69">
        <f>(J30-I30)/I30</f>
        <v/>
      </c>
      <c r="S30" s="70" t="n">
        <v>71.40000000000001</v>
      </c>
      <c r="T30" t="n">
        <v>5.6072</v>
      </c>
      <c r="U30" t="n">
        <v>7.2411</v>
      </c>
      <c r="V30" t="n">
        <v>8.277799999999999</v>
      </c>
      <c r="W30" t="n">
        <v>16.4049</v>
      </c>
      <c r="X30" t="n">
        <v>18.3461</v>
      </c>
      <c r="Y30" t="n">
        <v>20.6842</v>
      </c>
      <c r="Z30" t="n">
        <v>23.797</v>
      </c>
      <c r="AA30" t="n">
        <v>26.1894</v>
      </c>
      <c r="AB30" t="n">
        <v>28.9298</v>
      </c>
    </row>
    <row r="31" ht="18" customHeight="1" s="186">
      <c r="B31" s="11" t="inlineStr">
        <is>
          <t>BRASIL</t>
        </is>
      </c>
      <c r="H31" s="75">
        <f>SUM(C4:C30)</f>
        <v/>
      </c>
      <c r="I31" s="75">
        <f>SUM(D4:D30)</f>
        <v/>
      </c>
      <c r="J31" s="75">
        <f>SUM(E4:E30)</f>
        <v/>
      </c>
      <c r="K31" s="75">
        <f>SUM(F4:F30)</f>
        <v/>
      </c>
      <c r="L31" s="75">
        <f>SUM(G4:G30)</f>
        <v/>
      </c>
      <c r="M31" s="75">
        <f>SUM(H4:H30)</f>
        <v/>
      </c>
      <c r="N31" s="75">
        <f>SUM(I4:I30)</f>
        <v/>
      </c>
      <c r="O31" s="75">
        <f>SUM(J4:J30)</f>
        <v/>
      </c>
      <c r="P31" s="75">
        <f>SUM(K4:K30)</f>
        <v/>
      </c>
      <c r="Q31" s="44">
        <f>(J31-I31)/I31</f>
        <v/>
      </c>
      <c r="T31">
        <f>SUM(T4:T30)</f>
        <v/>
      </c>
      <c r="U31">
        <f>SUM(U4:U30)</f>
        <v/>
      </c>
      <c r="V31">
        <f>SUM(V4:V30)</f>
        <v/>
      </c>
      <c r="W31">
        <f>SUM(W4:W30)</f>
        <v/>
      </c>
      <c r="X31">
        <f>SUM(X4:X30)</f>
        <v/>
      </c>
      <c r="Y31">
        <f>SUM(Y4:Y30)</f>
        <v/>
      </c>
      <c r="Z31">
        <f>SUM(Z4:Z30)</f>
        <v/>
      </c>
      <c r="AA31">
        <f>SUM(AA4:AA30)</f>
        <v/>
      </c>
      <c r="AB31">
        <f>SUM(AB4:AB30)</f>
        <v/>
      </c>
    </row>
    <row r="32" ht="36" customHeight="1" s="186">
      <c r="B32" s="190" t="inlineStr">
        <is>
          <t>Valores em R$ bilhões correntes (original em R$ milhões ÷ 1.000). * 2024 = projeção aplicando crescimento de 3,47% sobre 2023 (crescimento nominal do PIB Brasil 2024, IBGE SCN). Usar com cautela — não substitui dado oficial. Para análise robusta, truncar painel em 2023 onde PIB é confirmado.</t>
        </is>
      </c>
    </row>
  </sheetData>
  <mergeCells count="3">
    <mergeCell ref="B32:M32"/>
    <mergeCell ref="B2:M2"/>
    <mergeCell ref="B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12" customWidth="1" style="186" min="3" max="11"/>
  </cols>
  <sheetData>
    <row r="1" ht="21.75" customHeight="1" s="186">
      <c r="B1" s="192" t="inlineStr">
        <is>
          <t>População Residente por UF (2016–2024) — IBGE</t>
        </is>
      </c>
    </row>
    <row r="2" ht="12.75" customHeight="1" s="186">
      <c r="B2" s="191" t="inlineStr">
        <is>
          <t>Fontes: IBGE Estimativas tab.6579 (2016–2021, 2024); Censo Demográfico 2022 para 2022 e 2023 (=Censo 2022, TCU/DOU).</t>
        </is>
      </c>
    </row>
    <row r="3" ht="19.5" customHeight="1" s="186">
      <c r="B3" s="1" t="inlineStr">
        <is>
          <t>UF</t>
        </is>
      </c>
      <c r="C3" s="2" t="inlineStr">
        <is>
          <t>2016</t>
        </is>
      </c>
      <c r="D3" s="2" t="inlineStr">
        <is>
          <t>2017</t>
        </is>
      </c>
      <c r="E3" s="2" t="inlineStr">
        <is>
          <t>2018</t>
        </is>
      </c>
      <c r="F3" s="2" t="inlineStr">
        <is>
          <t>2019</t>
        </is>
      </c>
      <c r="G3" s="2" t="inlineStr">
        <is>
          <t>2020</t>
        </is>
      </c>
      <c r="H3" s="2" t="inlineStr">
        <is>
          <t>2021</t>
        </is>
      </c>
      <c r="I3" s="54" t="inlineStr">
        <is>
          <t>2022</t>
        </is>
      </c>
      <c r="J3" s="41" t="inlineStr">
        <is>
          <t>2023</t>
        </is>
      </c>
      <c r="K3" s="2" t="inlineStr">
        <is>
          <t>2024</t>
        </is>
      </c>
    </row>
    <row r="4" ht="15" customHeight="1" s="186">
      <c r="B4" s="4" t="inlineStr">
        <is>
          <t>AC</t>
        </is>
      </c>
      <c r="C4" s="76" t="n">
        <v>816687</v>
      </c>
      <c r="D4" s="76" t="n">
        <v>829619</v>
      </c>
      <c r="E4" s="76" t="n">
        <v>869265</v>
      </c>
      <c r="F4" s="76" t="n">
        <v>881935</v>
      </c>
      <c r="G4" s="76" t="n">
        <v>894470</v>
      </c>
      <c r="H4" s="76" t="n">
        <v>906876</v>
      </c>
      <c r="I4" s="77" t="n">
        <v>830018</v>
      </c>
      <c r="J4" s="78" t="n">
        <v>830018</v>
      </c>
      <c r="K4" s="76" t="n">
        <v>880631</v>
      </c>
    </row>
    <row r="5" ht="15" customHeight="1" s="186">
      <c r="B5" s="8" t="inlineStr">
        <is>
          <t>AL</t>
        </is>
      </c>
      <c r="C5" s="79" t="n">
        <v>3358963</v>
      </c>
      <c r="D5" s="79" t="n">
        <v>3375823</v>
      </c>
      <c r="E5" s="79" t="n">
        <v>3322820</v>
      </c>
      <c r="F5" s="79" t="n">
        <v>3337357</v>
      </c>
      <c r="G5" s="79" t="n">
        <v>3351543</v>
      </c>
      <c r="H5" s="79" t="n">
        <v>3365351</v>
      </c>
      <c r="I5" s="80" t="n">
        <v>3127683</v>
      </c>
      <c r="J5" s="81" t="n">
        <v>3127683</v>
      </c>
      <c r="K5" s="79" t="n">
        <v>3220104</v>
      </c>
    </row>
    <row r="6" ht="15" customHeight="1" s="186">
      <c r="B6" s="4" t="inlineStr">
        <is>
          <t>AM</t>
        </is>
      </c>
      <c r="C6" s="76" t="n">
        <v>4001667</v>
      </c>
      <c r="D6" s="76" t="n">
        <v>4063614</v>
      </c>
      <c r="E6" s="76" t="n">
        <v>4080611</v>
      </c>
      <c r="F6" s="76" t="n">
        <v>4144597</v>
      </c>
      <c r="G6" s="76" t="n">
        <v>4207714</v>
      </c>
      <c r="H6" s="76" t="n">
        <v>4269995</v>
      </c>
      <c r="I6" s="77" t="n">
        <v>3941613</v>
      </c>
      <c r="J6" s="78" t="n">
        <v>3941613</v>
      </c>
      <c r="K6" s="76" t="n">
        <v>4281209</v>
      </c>
    </row>
    <row r="7" ht="15" customHeight="1" s="186">
      <c r="B7" s="8" t="inlineStr">
        <is>
          <t>AP</t>
        </is>
      </c>
      <c r="C7" s="79" t="n">
        <v>782295</v>
      </c>
      <c r="D7" s="79" t="n">
        <v>797722</v>
      </c>
      <c r="E7" s="79" t="n">
        <v>829494</v>
      </c>
      <c r="F7" s="79" t="n">
        <v>845731</v>
      </c>
      <c r="G7" s="79" t="n">
        <v>861773</v>
      </c>
      <c r="H7" s="79" t="n">
        <v>877613</v>
      </c>
      <c r="I7" s="80" t="n">
        <v>733759</v>
      </c>
      <c r="J7" s="81" t="n">
        <v>733759</v>
      </c>
      <c r="K7" s="79" t="n">
        <v>802837</v>
      </c>
    </row>
    <row r="8" ht="15" customHeight="1" s="186">
      <c r="B8" s="4" t="inlineStr">
        <is>
          <t>BA</t>
        </is>
      </c>
      <c r="C8" s="76" t="n">
        <v>15276566</v>
      </c>
      <c r="D8" s="76" t="n">
        <v>15344447</v>
      </c>
      <c r="E8" s="76" t="n">
        <v>14812617</v>
      </c>
      <c r="F8" s="76" t="n">
        <v>14873064</v>
      </c>
      <c r="G8" s="76" t="n">
        <v>14930634</v>
      </c>
      <c r="H8" s="76" t="n">
        <v>14985284</v>
      </c>
      <c r="I8" s="77" t="n">
        <v>14141626</v>
      </c>
      <c r="J8" s="78" t="n">
        <v>14141626</v>
      </c>
      <c r="K8" s="76" t="n">
        <v>14850513</v>
      </c>
    </row>
    <row r="9" ht="15" customHeight="1" s="186">
      <c r="B9" s="8" t="inlineStr">
        <is>
          <t>CE</t>
        </is>
      </c>
      <c r="C9" s="79" t="n">
        <v>8963663</v>
      </c>
      <c r="D9" s="79" t="n">
        <v>9020460</v>
      </c>
      <c r="E9" s="79" t="n">
        <v>9075649</v>
      </c>
      <c r="F9" s="79" t="n">
        <v>9132078</v>
      </c>
      <c r="G9" s="79" t="n">
        <v>9187103</v>
      </c>
      <c r="H9" s="79" t="n">
        <v>9240580</v>
      </c>
      <c r="I9" s="80" t="n">
        <v>8794957</v>
      </c>
      <c r="J9" s="81" t="n">
        <v>8794957</v>
      </c>
      <c r="K9" s="79" t="n">
        <v>9233656</v>
      </c>
    </row>
    <row r="10" ht="15" customHeight="1" s="186">
      <c r="B10" s="4" t="inlineStr">
        <is>
          <t>DF</t>
        </is>
      </c>
      <c r="C10" s="76" t="n">
        <v>2977216</v>
      </c>
      <c r="D10" s="76" t="n">
        <v>3039444</v>
      </c>
      <c r="E10" s="76" t="n">
        <v>2974703</v>
      </c>
      <c r="F10" s="76" t="n">
        <v>3015268</v>
      </c>
      <c r="G10" s="76" t="n">
        <v>3055149</v>
      </c>
      <c r="H10" s="76" t="n">
        <v>3094325</v>
      </c>
      <c r="I10" s="77" t="n">
        <v>2817381</v>
      </c>
      <c r="J10" s="78" t="n">
        <v>2817381</v>
      </c>
      <c r="K10" s="76" t="n">
        <v>2982818</v>
      </c>
    </row>
    <row r="11" ht="15" customHeight="1" s="186">
      <c r="B11" s="8" t="inlineStr">
        <is>
          <t>ES</t>
        </is>
      </c>
      <c r="C11" s="79" t="n">
        <v>3973697</v>
      </c>
      <c r="D11" s="79" t="n">
        <v>4016356</v>
      </c>
      <c r="E11" s="79" t="n">
        <v>3972388</v>
      </c>
      <c r="F11" s="79" t="n">
        <v>4018650</v>
      </c>
      <c r="G11" s="79" t="n">
        <v>4064052</v>
      </c>
      <c r="H11" s="79" t="n">
        <v>4108508</v>
      </c>
      <c r="I11" s="80" t="n">
        <v>3833712</v>
      </c>
      <c r="J11" s="81" t="n">
        <v>3833712</v>
      </c>
      <c r="K11" s="79" t="n">
        <v>4102129</v>
      </c>
    </row>
    <row r="12" ht="15" customHeight="1" s="186">
      <c r="B12" s="4" t="inlineStr">
        <is>
          <t>GO</t>
        </is>
      </c>
      <c r="C12" s="76" t="n">
        <v>6695855</v>
      </c>
      <c r="D12" s="76" t="n">
        <v>6778772</v>
      </c>
      <c r="E12" s="76" t="n">
        <v>6921161</v>
      </c>
      <c r="F12" s="76" t="n">
        <v>7018354</v>
      </c>
      <c r="G12" s="76" t="n">
        <v>7113540</v>
      </c>
      <c r="H12" s="76" t="n">
        <v>7206589</v>
      </c>
      <c r="I12" s="77" t="n">
        <v>7056495</v>
      </c>
      <c r="J12" s="78" t="n">
        <v>7056495</v>
      </c>
      <c r="K12" s="76" t="n">
        <v>7350483</v>
      </c>
    </row>
    <row r="13" ht="15" customHeight="1" s="186">
      <c r="B13" s="8" t="inlineStr">
        <is>
          <t>MA</t>
        </is>
      </c>
      <c r="C13" s="79" t="n">
        <v>6954036</v>
      </c>
      <c r="D13" s="79" t="n">
        <v>7000229</v>
      </c>
      <c r="E13" s="79" t="n">
        <v>7035055</v>
      </c>
      <c r="F13" s="79" t="n">
        <v>7075181</v>
      </c>
      <c r="G13" s="79" t="n">
        <v>7114598</v>
      </c>
      <c r="H13" s="79" t="n">
        <v>7153262</v>
      </c>
      <c r="I13" s="80" t="n">
        <v>6776699</v>
      </c>
      <c r="J13" s="81" t="n">
        <v>6776699</v>
      </c>
      <c r="K13" s="79" t="n">
        <v>7010960</v>
      </c>
    </row>
    <row r="14" ht="15" customHeight="1" s="186">
      <c r="B14" s="4" t="inlineStr">
        <is>
          <t>MG</t>
        </is>
      </c>
      <c r="C14" s="76" t="n">
        <v>20997560</v>
      </c>
      <c r="D14" s="76" t="n">
        <v>21119536</v>
      </c>
      <c r="E14" s="76" t="n">
        <v>21040662</v>
      </c>
      <c r="F14" s="76" t="n">
        <v>21168791</v>
      </c>
      <c r="G14" s="76" t="n">
        <v>21292666</v>
      </c>
      <c r="H14" s="76" t="n">
        <v>21411923</v>
      </c>
      <c r="I14" s="77" t="n">
        <v>20539989</v>
      </c>
      <c r="J14" s="78" t="n">
        <v>20539989</v>
      </c>
      <c r="K14" s="76" t="n">
        <v>21322691</v>
      </c>
    </row>
    <row r="15" ht="15" customHeight="1" s="186">
      <c r="B15" s="8" t="inlineStr">
        <is>
          <t>MS</t>
        </is>
      </c>
      <c r="C15" s="79" t="n">
        <v>2682386</v>
      </c>
      <c r="D15" s="79" t="n">
        <v>2713147</v>
      </c>
      <c r="E15" s="79" t="n">
        <v>2748023</v>
      </c>
      <c r="F15" s="79" t="n">
        <v>2778986</v>
      </c>
      <c r="G15" s="79" t="n">
        <v>2809394</v>
      </c>
      <c r="H15" s="79" t="n">
        <v>2839188</v>
      </c>
      <c r="I15" s="80" t="n">
        <v>2757013</v>
      </c>
      <c r="J15" s="81" t="n">
        <v>2757013</v>
      </c>
      <c r="K15" s="79" t="n">
        <v>2901895</v>
      </c>
    </row>
    <row r="16" ht="15" customHeight="1" s="186">
      <c r="B16" s="4" t="inlineStr">
        <is>
          <t>MT</t>
        </is>
      </c>
      <c r="C16" s="76" t="n">
        <v>3305531</v>
      </c>
      <c r="D16" s="76" t="n">
        <v>3344544</v>
      </c>
      <c r="E16" s="76" t="n">
        <v>3441998</v>
      </c>
      <c r="F16" s="76" t="n">
        <v>3484466</v>
      </c>
      <c r="G16" s="76" t="n">
        <v>3526220</v>
      </c>
      <c r="H16" s="76" t="n">
        <v>3567234</v>
      </c>
      <c r="I16" s="77" t="n">
        <v>3658649</v>
      </c>
      <c r="J16" s="78" t="n">
        <v>3658649</v>
      </c>
      <c r="K16" s="76" t="n">
        <v>3836399</v>
      </c>
    </row>
    <row r="17" ht="15" customHeight="1" s="186">
      <c r="B17" s="8" t="inlineStr">
        <is>
          <t>PA</t>
        </is>
      </c>
      <c r="C17" s="79" t="n">
        <v>8272724</v>
      </c>
      <c r="D17" s="79" t="n">
        <v>8366628</v>
      </c>
      <c r="E17" s="79" t="n">
        <v>8513497</v>
      </c>
      <c r="F17" s="79" t="n">
        <v>8602865</v>
      </c>
      <c r="G17" s="79" t="n">
        <v>8690745</v>
      </c>
      <c r="H17" s="79" t="n">
        <v>8777124</v>
      </c>
      <c r="I17" s="80" t="n">
        <v>8120131</v>
      </c>
      <c r="J17" s="81" t="n">
        <v>8120131</v>
      </c>
      <c r="K17" s="79" t="n">
        <v>8664306</v>
      </c>
    </row>
    <row r="18" ht="15" customHeight="1" s="186">
      <c r="B18" s="4" t="inlineStr">
        <is>
          <t>PB</t>
        </is>
      </c>
      <c r="C18" s="76" t="n">
        <v>3999415</v>
      </c>
      <c r="D18" s="76" t="n">
        <v>4025558</v>
      </c>
      <c r="E18" s="76" t="n">
        <v>3996496</v>
      </c>
      <c r="F18" s="76" t="n">
        <v>4018127</v>
      </c>
      <c r="G18" s="76" t="n">
        <v>4039277</v>
      </c>
      <c r="H18" s="76" t="n">
        <v>4059905</v>
      </c>
      <c r="I18" s="77" t="n">
        <v>3974687</v>
      </c>
      <c r="J18" s="78" t="n">
        <v>3974687</v>
      </c>
      <c r="K18" s="76" t="n">
        <v>4145040</v>
      </c>
    </row>
    <row r="19" ht="15" customHeight="1" s="186">
      <c r="B19" s="8" t="inlineStr">
        <is>
          <t>PE</t>
        </is>
      </c>
      <c r="C19" s="79" t="n">
        <v>9410336</v>
      </c>
      <c r="D19" s="79" t="n">
        <v>9473266</v>
      </c>
      <c r="E19" s="79" t="n">
        <v>9496294</v>
      </c>
      <c r="F19" s="79" t="n">
        <v>9557071</v>
      </c>
      <c r="G19" s="79" t="n">
        <v>9616621</v>
      </c>
      <c r="H19" s="79" t="n">
        <v>9674793</v>
      </c>
      <c r="I19" s="80" t="n">
        <v>9058931</v>
      </c>
      <c r="J19" s="81" t="n">
        <v>9058931</v>
      </c>
      <c r="K19" s="79" t="n">
        <v>9539029</v>
      </c>
    </row>
    <row r="20" ht="15" customHeight="1" s="186">
      <c r="B20" s="4" t="inlineStr">
        <is>
          <t>PI</t>
        </is>
      </c>
      <c r="C20" s="76" t="n">
        <v>3212180</v>
      </c>
      <c r="D20" s="76" t="n">
        <v>3219257</v>
      </c>
      <c r="E20" s="76" t="n">
        <v>3264531</v>
      </c>
      <c r="F20" s="76" t="n">
        <v>3273227</v>
      </c>
      <c r="G20" s="76" t="n">
        <v>3281480</v>
      </c>
      <c r="H20" s="76" t="n">
        <v>3289290</v>
      </c>
      <c r="I20" s="77" t="n">
        <v>3271199</v>
      </c>
      <c r="J20" s="78" t="n">
        <v>3271199</v>
      </c>
      <c r="K20" s="76" t="n">
        <v>3375646</v>
      </c>
    </row>
    <row r="21" ht="15" customHeight="1" s="186">
      <c r="B21" s="8" t="inlineStr">
        <is>
          <t>PR</t>
        </is>
      </c>
      <c r="C21" s="79" t="n">
        <v>11242720</v>
      </c>
      <c r="D21" s="79" t="n">
        <v>11320892</v>
      </c>
      <c r="E21" s="79" t="n">
        <v>11348937</v>
      </c>
      <c r="F21" s="79" t="n">
        <v>11433957</v>
      </c>
      <c r="G21" s="79" t="n">
        <v>11516840</v>
      </c>
      <c r="H21" s="79" t="n">
        <v>11597484</v>
      </c>
      <c r="I21" s="80" t="n">
        <v>11444380</v>
      </c>
      <c r="J21" s="81" t="n">
        <v>11444380</v>
      </c>
      <c r="K21" s="79" t="n">
        <v>11824665</v>
      </c>
    </row>
    <row r="22" ht="15" customHeight="1" s="186">
      <c r="B22" s="4" t="inlineStr">
        <is>
          <t>RJ</t>
        </is>
      </c>
      <c r="C22" s="76" t="n">
        <v>16635996</v>
      </c>
      <c r="D22" s="76" t="n">
        <v>16718956</v>
      </c>
      <c r="E22" s="76" t="n">
        <v>17159960</v>
      </c>
      <c r="F22" s="76" t="n">
        <v>17264943</v>
      </c>
      <c r="G22" s="76" t="n">
        <v>17366189</v>
      </c>
      <c r="H22" s="76" t="n">
        <v>17463349</v>
      </c>
      <c r="I22" s="77" t="n">
        <v>16055174</v>
      </c>
      <c r="J22" s="78" t="n">
        <v>16055174</v>
      </c>
      <c r="K22" s="76" t="n">
        <v>17219679</v>
      </c>
    </row>
    <row r="23" ht="15" customHeight="1" s="186">
      <c r="B23" s="8" t="inlineStr">
        <is>
          <t>RN</t>
        </is>
      </c>
      <c r="C23" s="79" t="n">
        <v>3474998</v>
      </c>
      <c r="D23" s="79" t="n">
        <v>3507003</v>
      </c>
      <c r="E23" s="79" t="n">
        <v>3479010</v>
      </c>
      <c r="F23" s="79" t="n">
        <v>3506853</v>
      </c>
      <c r="G23" s="79" t="n">
        <v>3534165</v>
      </c>
      <c r="H23" s="79" t="n">
        <v>3560903</v>
      </c>
      <c r="I23" s="80" t="n">
        <v>3302729</v>
      </c>
      <c r="J23" s="81" t="n">
        <v>3302729</v>
      </c>
      <c r="K23" s="79" t="n">
        <v>3446071</v>
      </c>
    </row>
    <row r="24" ht="15" customHeight="1" s="186">
      <c r="B24" s="4" t="inlineStr">
        <is>
          <t>RO</t>
        </is>
      </c>
      <c r="C24" s="76" t="n">
        <v>1787279</v>
      </c>
      <c r="D24" s="76" t="n">
        <v>1805788</v>
      </c>
      <c r="E24" s="76" t="n">
        <v>1757589</v>
      </c>
      <c r="F24" s="76" t="n">
        <v>1777225</v>
      </c>
      <c r="G24" s="76" t="n">
        <v>1796460</v>
      </c>
      <c r="H24" s="76" t="n">
        <v>1815278</v>
      </c>
      <c r="I24" s="77" t="n">
        <v>1581196</v>
      </c>
      <c r="J24" s="78" t="n">
        <v>1581196</v>
      </c>
      <c r="K24" s="76" t="n">
        <v>1746227</v>
      </c>
    </row>
    <row r="25" ht="15" customHeight="1" s="186">
      <c r="B25" s="8" t="inlineStr">
        <is>
          <t>RR</t>
        </is>
      </c>
      <c r="C25" s="79" t="n">
        <v>514229</v>
      </c>
      <c r="D25" s="79" t="n">
        <v>522636</v>
      </c>
      <c r="E25" s="79" t="n">
        <v>576568</v>
      </c>
      <c r="F25" s="79" t="n">
        <v>605761</v>
      </c>
      <c r="G25" s="79" t="n">
        <v>631181</v>
      </c>
      <c r="H25" s="79" t="n">
        <v>652713</v>
      </c>
      <c r="I25" s="80" t="n">
        <v>636707</v>
      </c>
      <c r="J25" s="81" t="n">
        <v>636707</v>
      </c>
      <c r="K25" s="79" t="n">
        <v>716793</v>
      </c>
    </row>
    <row r="26" ht="15" customHeight="1" s="186">
      <c r="B26" s="4" t="inlineStr">
        <is>
          <t>RS</t>
        </is>
      </c>
      <c r="C26" s="76" t="n">
        <v>11286500</v>
      </c>
      <c r="D26" s="76" t="n">
        <v>11322895</v>
      </c>
      <c r="E26" s="76" t="n">
        <v>11329605</v>
      </c>
      <c r="F26" s="76" t="n">
        <v>11377239</v>
      </c>
      <c r="G26" s="76" t="n">
        <v>11422973</v>
      </c>
      <c r="H26" s="76" t="n">
        <v>11466630</v>
      </c>
      <c r="I26" s="77" t="n">
        <v>10882965</v>
      </c>
      <c r="J26" s="78" t="n">
        <v>10882965</v>
      </c>
      <c r="K26" s="76" t="n">
        <v>11229915</v>
      </c>
    </row>
    <row r="27" ht="15" customHeight="1" s="186">
      <c r="B27" s="8" t="inlineStr">
        <is>
          <t>SC</t>
        </is>
      </c>
      <c r="C27" s="79" t="n">
        <v>6910553</v>
      </c>
      <c r="D27" s="79" t="n">
        <v>7001161</v>
      </c>
      <c r="E27" s="79" t="n">
        <v>7075494</v>
      </c>
      <c r="F27" s="79" t="n">
        <v>7164788</v>
      </c>
      <c r="G27" s="79" t="n">
        <v>7252502</v>
      </c>
      <c r="H27" s="79" t="n">
        <v>7338473</v>
      </c>
      <c r="I27" s="80" t="n">
        <v>7610361</v>
      </c>
      <c r="J27" s="81" t="n">
        <v>7610361</v>
      </c>
      <c r="K27" s="79" t="n">
        <v>8058441</v>
      </c>
    </row>
    <row r="28" ht="15" customHeight="1" s="186">
      <c r="B28" s="4" t="inlineStr">
        <is>
          <t>SE</t>
        </is>
      </c>
      <c r="C28" s="76" t="n">
        <v>2265779</v>
      </c>
      <c r="D28" s="76" t="n">
        <v>2288116</v>
      </c>
      <c r="E28" s="76" t="n">
        <v>2278308</v>
      </c>
      <c r="F28" s="76" t="n">
        <v>2298696</v>
      </c>
      <c r="G28" s="76" t="n">
        <v>2318822</v>
      </c>
      <c r="H28" s="76" t="n">
        <v>2338474</v>
      </c>
      <c r="I28" s="77" t="n">
        <v>2210004</v>
      </c>
      <c r="J28" s="78" t="n">
        <v>2210004</v>
      </c>
      <c r="K28" s="76" t="n">
        <v>2291077</v>
      </c>
    </row>
    <row r="29" ht="15" customHeight="1" s="186">
      <c r="B29" s="8" t="inlineStr">
        <is>
          <t>SP</t>
        </is>
      </c>
      <c r="C29" s="79" t="n">
        <v>44749699</v>
      </c>
      <c r="D29" s="79" t="n">
        <v>45094866</v>
      </c>
      <c r="E29" s="79" t="n">
        <v>45538936</v>
      </c>
      <c r="F29" s="79" t="n">
        <v>45919049</v>
      </c>
      <c r="G29" s="79" t="n">
        <v>46289333</v>
      </c>
      <c r="H29" s="79" t="n">
        <v>46649132</v>
      </c>
      <c r="I29" s="80" t="n">
        <v>44411238</v>
      </c>
      <c r="J29" s="81" t="n">
        <v>44411238</v>
      </c>
      <c r="K29" s="79" t="n">
        <v>45973194</v>
      </c>
    </row>
    <row r="30" ht="15" customHeight="1" s="186">
      <c r="B30" s="4" t="inlineStr">
        <is>
          <t>TO</t>
        </is>
      </c>
      <c r="C30" s="76" t="n">
        <v>1532902</v>
      </c>
      <c r="D30" s="76" t="n">
        <v>1550194</v>
      </c>
      <c r="E30" s="76" t="n">
        <v>1555229</v>
      </c>
      <c r="F30" s="76" t="n">
        <v>1572866</v>
      </c>
      <c r="G30" s="76" t="n">
        <v>1590248</v>
      </c>
      <c r="H30" s="76" t="n">
        <v>1607363</v>
      </c>
      <c r="I30" s="77" t="n">
        <v>1511460</v>
      </c>
      <c r="J30" s="78" t="n">
        <v>1511460</v>
      </c>
      <c r="K30" s="76" t="n">
        <v>1577342</v>
      </c>
    </row>
    <row r="31" ht="15.75" customHeight="1" s="186">
      <c r="B31" s="11" t="inlineStr">
        <is>
          <t>BRASIL</t>
        </is>
      </c>
      <c r="C31" s="12" t="n">
        <v>206081432</v>
      </c>
      <c r="D31" s="12" t="n">
        <v>207660929</v>
      </c>
      <c r="E31" s="12" t="n">
        <v>208494900</v>
      </c>
      <c r="F31" s="12" t="n">
        <v>210147125</v>
      </c>
      <c r="G31" s="12" t="n">
        <v>211755692</v>
      </c>
      <c r="H31" s="12" t="n">
        <v>213317639</v>
      </c>
      <c r="I31" s="12" t="n">
        <v>203080756</v>
      </c>
      <c r="J31" s="12" t="n">
        <v>203080756</v>
      </c>
      <c r="K31" s="12" t="n">
        <v>212583750</v>
      </c>
    </row>
    <row r="32" ht="24" customHeight="1" s="186">
      <c r="B32" s="190" t="inlineStr">
        <is>
          <t>2023 = mesmo valor do Censo 2022 (IBGE publicou o Censo 2022 no DOU em 2023 para fins do FPM/TCU).</t>
        </is>
      </c>
    </row>
  </sheetData>
  <mergeCells count="3">
    <mergeCell ref="B2:K2"/>
    <mergeCell ref="B1:K1"/>
    <mergeCell ref="B32:K32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V32"/>
  <sheetViews>
    <sheetView showGridLines="0" zoomScaleNormal="100" workbookViewId="0">
      <pane xSplit="2" ySplit="3" topLeftCell="C32" activePane="bottomRight" state="frozen"/>
      <selection pane="topRight" activeCell="C1" sqref="C1"/>
      <selection pane="bottomLeft" activeCell="A4" sqref="A4"/>
      <selection pane="bottomRight" activeCell="K3" sqref="K3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13" customWidth="1" style="186" min="3" max="10"/>
    <col width="14" customWidth="1" style="186" min="11" max="11"/>
  </cols>
  <sheetData>
    <row r="1" ht="21.75" customHeight="1" s="186">
      <c r="B1" s="192" t="inlineStr">
        <is>
          <t>PIB per Capita por UF — R$ correntes (2005–2024) — IBGE Contas Regionais</t>
        </is>
      </c>
    </row>
    <row r="2" ht="12.75" customHeight="1" s="186">
      <c r="B2" s="191" t="inlineStr">
        <is>
          <t>PIB per capita = PIB R$ correntes (IBGE Contas Regionais) ÷ população (IBGE tab.6579/Censo 2022). Colunas 2016–2024† originais; colunas 2005–2015 adicionadas ao final (a partir de L) para não deslocar as colunas existentes, extraídas do painel_expandido (já consistente com PIB_UF_IBGE 2005–2015).</t>
        </is>
      </c>
    </row>
    <row r="3" ht="19.5" customHeight="1" s="186">
      <c r="B3" s="1" t="inlineStr">
        <is>
          <t>UF</t>
        </is>
      </c>
      <c r="C3" s="2" t="inlineStr">
        <is>
          <t>2016</t>
        </is>
      </c>
      <c r="D3" s="2" t="inlineStr">
        <is>
          <t>2017</t>
        </is>
      </c>
      <c r="E3" s="2" t="inlineStr">
        <is>
          <t>2018</t>
        </is>
      </c>
      <c r="F3" s="2" t="inlineStr">
        <is>
          <t>2019</t>
        </is>
      </c>
      <c r="G3" s="2" t="inlineStr">
        <is>
          <t>2020</t>
        </is>
      </c>
      <c r="H3" s="2" t="inlineStr">
        <is>
          <t>2021</t>
        </is>
      </c>
      <c r="I3" s="54" t="inlineStr">
        <is>
          <t>2022</t>
        </is>
      </c>
      <c r="J3" s="41" t="inlineStr">
        <is>
          <t>2023</t>
        </is>
      </c>
      <c r="K3" s="64" t="inlineStr">
        <is>
          <t>2024†</t>
        </is>
      </c>
      <c r="L3" t="inlineStr">
        <is>
          <t>2005</t>
        </is>
      </c>
      <c r="M3" t="inlineStr">
        <is>
          <t>2006</t>
        </is>
      </c>
      <c r="N3" t="inlineStr">
        <is>
          <t>2007</t>
        </is>
      </c>
      <c r="O3" t="inlineStr">
        <is>
          <t>2008</t>
        </is>
      </c>
      <c r="P3" t="inlineStr">
        <is>
          <t>2009</t>
        </is>
      </c>
      <c r="Q3" t="inlineStr">
        <is>
          <t>2010</t>
        </is>
      </c>
      <c r="R3" t="inlineStr">
        <is>
          <t>2011</t>
        </is>
      </c>
      <c r="S3" t="inlineStr">
        <is>
          <t>2012</t>
        </is>
      </c>
      <c r="T3" t="inlineStr">
        <is>
          <t>2013</t>
        </is>
      </c>
      <c r="U3" t="inlineStr">
        <is>
          <t>2014</t>
        </is>
      </c>
      <c r="V3" t="inlineStr">
        <is>
          <t>2015</t>
        </is>
      </c>
    </row>
    <row r="4" ht="15" customHeight="1" s="186">
      <c r="B4" s="4" t="inlineStr">
        <is>
          <t>AC</t>
        </is>
      </c>
      <c r="C4" s="76" t="n">
        <v>16842</v>
      </c>
      <c r="D4" s="76" t="n">
        <v>17204</v>
      </c>
      <c r="E4" s="76" t="n">
        <v>17637</v>
      </c>
      <c r="F4" s="76" t="n">
        <v>17722</v>
      </c>
      <c r="G4" s="76" t="n">
        <v>18420</v>
      </c>
      <c r="H4" s="76" t="n">
        <v>23569</v>
      </c>
      <c r="I4" s="77" t="n">
        <v>28525</v>
      </c>
      <c r="J4" s="78" t="n">
        <v>31676</v>
      </c>
      <c r="K4" s="82" t="n">
        <v>32220</v>
      </c>
      <c r="L4" t="n">
        <v>6694</v>
      </c>
      <c r="M4" t="n">
        <v>7041</v>
      </c>
      <c r="N4" t="n">
        <v>8790</v>
      </c>
      <c r="O4" t="n">
        <v>9896</v>
      </c>
      <c r="P4" t="n">
        <v>10687</v>
      </c>
      <c r="Q4" t="n">
        <v>11372</v>
      </c>
      <c r="R4" t="n">
        <v>11990</v>
      </c>
      <c r="S4" t="n">
        <v>13361</v>
      </c>
      <c r="T4" t="n">
        <v>14777</v>
      </c>
      <c r="U4" t="n">
        <v>17034</v>
      </c>
      <c r="V4" t="n">
        <v>16954</v>
      </c>
    </row>
    <row r="5" ht="15" customHeight="1" s="186">
      <c r="B5" s="8" t="inlineStr">
        <is>
          <t>AL</t>
        </is>
      </c>
      <c r="C5" s="79" t="n">
        <v>14727</v>
      </c>
      <c r="D5" s="79" t="n">
        <v>15656</v>
      </c>
      <c r="E5" s="79" t="n">
        <v>16376</v>
      </c>
      <c r="F5" s="79" t="n">
        <v>17668</v>
      </c>
      <c r="G5" s="79" t="n">
        <v>18858</v>
      </c>
      <c r="H5" s="79" t="n">
        <v>22662</v>
      </c>
      <c r="I5" s="80" t="n">
        <v>24320</v>
      </c>
      <c r="J5" s="81" t="n">
        <v>28676</v>
      </c>
      <c r="K5" s="83" t="n">
        <v>30268</v>
      </c>
      <c r="L5" t="n">
        <v>4688</v>
      </c>
      <c r="M5" t="n">
        <v>5162</v>
      </c>
      <c r="N5" t="n">
        <v>5858</v>
      </c>
      <c r="O5" t="n">
        <v>6228</v>
      </c>
      <c r="P5" t="n">
        <v>6728</v>
      </c>
      <c r="Q5" t="n">
        <v>8695</v>
      </c>
      <c r="R5" t="n">
        <v>10071</v>
      </c>
      <c r="S5" t="n">
        <v>10946</v>
      </c>
      <c r="T5" t="n">
        <v>11295</v>
      </c>
      <c r="U5" t="n">
        <v>12335</v>
      </c>
      <c r="V5" t="n">
        <v>13879</v>
      </c>
    </row>
    <row r="6" ht="15" customHeight="1" s="186">
      <c r="B6" s="4" t="inlineStr">
        <is>
          <t>AM</t>
        </is>
      </c>
      <c r="C6" s="76" t="n">
        <v>22251</v>
      </c>
      <c r="D6" s="76" t="n">
        <v>22945</v>
      </c>
      <c r="E6" s="76" t="n">
        <v>24533</v>
      </c>
      <c r="F6" s="76" t="n">
        <v>26102</v>
      </c>
      <c r="G6" s="76" t="n">
        <v>27573</v>
      </c>
      <c r="H6" s="76" t="n">
        <v>30804</v>
      </c>
      <c r="I6" s="77" t="n">
        <v>36823</v>
      </c>
      <c r="J6" s="78" t="n">
        <v>41048</v>
      </c>
      <c r="K6" s="82" t="n">
        <v>41557</v>
      </c>
      <c r="L6" t="n">
        <v>10318</v>
      </c>
      <c r="M6" t="n">
        <v>11826</v>
      </c>
      <c r="N6" t="n">
        <v>13043</v>
      </c>
      <c r="O6" t="n">
        <v>14014</v>
      </c>
      <c r="P6" t="n">
        <v>14621</v>
      </c>
      <c r="Q6" t="n">
        <v>17473</v>
      </c>
      <c r="R6" t="n">
        <v>19991</v>
      </c>
      <c r="S6" t="n">
        <v>20118</v>
      </c>
      <c r="T6" t="n">
        <v>21810</v>
      </c>
      <c r="U6" t="n">
        <v>22373</v>
      </c>
      <c r="V6" t="n">
        <v>21981</v>
      </c>
    </row>
    <row r="7" ht="15" customHeight="1" s="186">
      <c r="B7" s="8" t="inlineStr">
        <is>
          <t>AP</t>
        </is>
      </c>
      <c r="C7" s="79" t="n">
        <v>18333</v>
      </c>
      <c r="D7" s="79" t="n">
        <v>19408</v>
      </c>
      <c r="E7" s="79" t="n">
        <v>20248</v>
      </c>
      <c r="F7" s="79" t="n">
        <v>20688</v>
      </c>
      <c r="G7" s="79" t="n">
        <v>21432</v>
      </c>
      <c r="H7" s="79" t="n">
        <v>22903</v>
      </c>
      <c r="I7" s="80" t="n">
        <v>32183</v>
      </c>
      <c r="J7" s="81" t="n">
        <v>38187</v>
      </c>
      <c r="K7" s="83" t="n">
        <v>39592</v>
      </c>
      <c r="L7" t="n">
        <v>7335</v>
      </c>
      <c r="M7" t="n">
        <v>8543</v>
      </c>
      <c r="N7" t="n">
        <v>10254</v>
      </c>
      <c r="O7" t="n">
        <v>11033</v>
      </c>
      <c r="P7" t="n">
        <v>11816</v>
      </c>
      <c r="Q7" t="n">
        <v>12304</v>
      </c>
      <c r="R7" t="n">
        <v>13750</v>
      </c>
      <c r="S7" t="n">
        <v>15933</v>
      </c>
      <c r="T7" t="n">
        <v>17365</v>
      </c>
      <c r="U7" t="n">
        <v>17845</v>
      </c>
      <c r="V7" t="n">
        <v>18080</v>
      </c>
    </row>
    <row r="8" ht="15" customHeight="1" s="186">
      <c r="B8" s="4" t="inlineStr">
        <is>
          <t>BA</t>
        </is>
      </c>
      <c r="C8" s="76" t="n">
        <v>16937</v>
      </c>
      <c r="D8" s="76" t="n">
        <v>17513</v>
      </c>
      <c r="E8" s="76" t="n">
        <v>19324</v>
      </c>
      <c r="F8" s="76" t="n">
        <v>19716</v>
      </c>
      <c r="G8" s="76" t="n">
        <v>20449</v>
      </c>
      <c r="H8" s="76" t="n">
        <v>23531</v>
      </c>
      <c r="I8" s="77" t="n">
        <v>28472</v>
      </c>
      <c r="J8" s="78" t="n">
        <v>30477</v>
      </c>
      <c r="K8" s="82" t="n">
        <v>31312</v>
      </c>
      <c r="L8" t="n">
        <v>6581</v>
      </c>
      <c r="M8" t="n">
        <v>6919</v>
      </c>
      <c r="N8" t="n">
        <v>7787</v>
      </c>
      <c r="O8" t="n">
        <v>8378</v>
      </c>
      <c r="P8" t="n">
        <v>9365</v>
      </c>
      <c r="Q8" t="n">
        <v>11017</v>
      </c>
      <c r="R8" t="n">
        <v>11818</v>
      </c>
      <c r="S8" t="n">
        <v>12880</v>
      </c>
      <c r="T8" t="n">
        <v>13616</v>
      </c>
      <c r="U8" t="n">
        <v>14804</v>
      </c>
      <c r="V8" t="n">
        <v>16118</v>
      </c>
    </row>
    <row r="9" ht="15" customHeight="1" s="186">
      <c r="B9" s="8" t="inlineStr">
        <is>
          <t>CE</t>
        </is>
      </c>
      <c r="C9" s="79" t="n">
        <v>15443</v>
      </c>
      <c r="D9" s="79" t="n">
        <v>16398</v>
      </c>
      <c r="E9" s="79" t="n">
        <v>17178</v>
      </c>
      <c r="F9" s="79" t="n">
        <v>17912</v>
      </c>
      <c r="G9" s="79" t="n">
        <v>18168</v>
      </c>
      <c r="H9" s="79" t="n">
        <v>21090</v>
      </c>
      <c r="I9" s="80" t="n">
        <v>24287</v>
      </c>
      <c r="J9" s="81" t="n">
        <v>26406</v>
      </c>
      <c r="K9" s="83" t="n">
        <v>27101</v>
      </c>
      <c r="L9" t="n">
        <v>5055</v>
      </c>
      <c r="M9" t="n">
        <v>5635</v>
      </c>
      <c r="N9" t="n">
        <v>6149</v>
      </c>
      <c r="O9" t="n">
        <v>7112</v>
      </c>
      <c r="P9" t="n">
        <v>7687</v>
      </c>
      <c r="Q9" t="n">
        <v>9386</v>
      </c>
      <c r="R9" t="n">
        <v>10515</v>
      </c>
      <c r="S9" t="n">
        <v>11268</v>
      </c>
      <c r="T9" t="n">
        <v>12421</v>
      </c>
      <c r="U9" t="n">
        <v>14255</v>
      </c>
      <c r="V9" t="n">
        <v>14670</v>
      </c>
    </row>
    <row r="10" ht="15" customHeight="1" s="186">
      <c r="B10" s="4" t="inlineStr">
        <is>
          <t>DF</t>
        </is>
      </c>
      <c r="C10" s="76" t="n">
        <v>79114</v>
      </c>
      <c r="D10" s="76" t="n">
        <v>80515</v>
      </c>
      <c r="E10" s="76" t="n">
        <v>85661</v>
      </c>
      <c r="F10" s="76" t="n">
        <v>90743</v>
      </c>
      <c r="G10" s="76" t="n">
        <v>87016</v>
      </c>
      <c r="H10" s="76" t="n">
        <v>92732</v>
      </c>
      <c r="I10" s="77" t="n">
        <v>116700</v>
      </c>
      <c r="J10" s="78" t="n">
        <v>129790</v>
      </c>
      <c r="K10" s="82" t="n">
        <v>136149</v>
      </c>
      <c r="L10" t="n">
        <v>34515</v>
      </c>
      <c r="M10" t="n">
        <v>37599</v>
      </c>
      <c r="N10" t="n">
        <v>40696</v>
      </c>
      <c r="O10" t="n">
        <v>45978</v>
      </c>
      <c r="P10" t="n">
        <v>50438</v>
      </c>
      <c r="Q10" t="n">
        <v>56095</v>
      </c>
      <c r="R10" t="n">
        <v>59222</v>
      </c>
      <c r="S10" t="n">
        <v>61959</v>
      </c>
      <c r="T10" t="n">
        <v>63054</v>
      </c>
      <c r="U10" t="n">
        <v>69217</v>
      </c>
      <c r="V10" t="n">
        <v>73971</v>
      </c>
    </row>
    <row r="11" ht="15" customHeight="1" s="186">
      <c r="B11" s="8" t="inlineStr">
        <is>
          <t>ES</t>
        </is>
      </c>
      <c r="C11" s="79" t="n">
        <v>27497</v>
      </c>
      <c r="D11" s="79" t="n">
        <v>28235</v>
      </c>
      <c r="E11" s="79" t="n">
        <v>34493</v>
      </c>
      <c r="F11" s="79" t="n">
        <v>34177</v>
      </c>
      <c r="G11" s="79" t="n">
        <v>34066</v>
      </c>
      <c r="H11" s="79" t="n">
        <v>45354</v>
      </c>
      <c r="I11" s="80" t="n">
        <v>47617</v>
      </c>
      <c r="J11" s="81" t="n">
        <v>54733</v>
      </c>
      <c r="K11" s="83" t="n">
        <v>53393</v>
      </c>
      <c r="L11" t="n">
        <v>13855</v>
      </c>
      <c r="M11" t="n">
        <v>15235</v>
      </c>
      <c r="N11" t="n">
        <v>18003</v>
      </c>
      <c r="O11" t="n">
        <v>20231</v>
      </c>
      <c r="P11" t="n">
        <v>19145</v>
      </c>
      <c r="Q11" t="n">
        <v>24271</v>
      </c>
      <c r="R11" t="n">
        <v>29877</v>
      </c>
      <c r="S11" t="n">
        <v>32657</v>
      </c>
      <c r="T11" t="n">
        <v>30545</v>
      </c>
      <c r="U11" t="n">
        <v>33149</v>
      </c>
      <c r="V11" t="n">
        <v>30628</v>
      </c>
    </row>
    <row r="12" ht="15" customHeight="1" s="186">
      <c r="B12" s="4" t="inlineStr">
        <is>
          <t>GO</t>
        </is>
      </c>
      <c r="C12" s="76" t="n">
        <v>27145</v>
      </c>
      <c r="D12" s="76" t="n">
        <v>28316</v>
      </c>
      <c r="E12" s="76" t="n">
        <v>28273</v>
      </c>
      <c r="F12" s="76" t="n">
        <v>29732</v>
      </c>
      <c r="G12" s="76" t="n">
        <v>31507</v>
      </c>
      <c r="H12" s="76" t="n">
        <v>37414</v>
      </c>
      <c r="I12" s="77" t="n">
        <v>45148</v>
      </c>
      <c r="J12" s="78" t="n">
        <v>47722</v>
      </c>
      <c r="K12" s="82" t="n">
        <v>50470</v>
      </c>
      <c r="L12" t="n">
        <v>8992</v>
      </c>
      <c r="M12" t="n">
        <v>9956</v>
      </c>
      <c r="N12" t="n">
        <v>11548</v>
      </c>
      <c r="O12" t="n">
        <v>12878</v>
      </c>
      <c r="P12" t="n">
        <v>14447</v>
      </c>
      <c r="Q12" t="n">
        <v>17784</v>
      </c>
      <c r="R12" t="n">
        <v>19948</v>
      </c>
      <c r="S12" t="n">
        <v>22544</v>
      </c>
      <c r="T12" t="n">
        <v>23516</v>
      </c>
      <c r="U12" t="n">
        <v>25297</v>
      </c>
      <c r="V12" t="n">
        <v>26265</v>
      </c>
    </row>
    <row r="13" ht="15" customHeight="1" s="186">
      <c r="B13" s="8" t="inlineStr">
        <is>
          <t>MA</t>
        </is>
      </c>
      <c r="C13" s="79" t="n">
        <v>12268</v>
      </c>
      <c r="D13" s="79" t="n">
        <v>12791</v>
      </c>
      <c r="E13" s="79" t="n">
        <v>13956</v>
      </c>
      <c r="F13" s="79" t="n">
        <v>13758</v>
      </c>
      <c r="G13" s="79" t="n">
        <v>15028</v>
      </c>
      <c r="H13" s="79" t="n">
        <v>17472</v>
      </c>
      <c r="I13" s="80" t="n">
        <v>20628</v>
      </c>
      <c r="J13" s="81" t="n">
        <v>22021</v>
      </c>
      <c r="K13" s="83" t="n">
        <v>22544</v>
      </c>
      <c r="L13" t="n">
        <v>4151</v>
      </c>
      <c r="M13" t="n">
        <v>4628</v>
      </c>
      <c r="N13" t="n">
        <v>5165</v>
      </c>
      <c r="O13" t="n">
        <v>6104</v>
      </c>
      <c r="P13" t="n">
        <v>6259</v>
      </c>
      <c r="Q13" t="n">
        <v>7044</v>
      </c>
      <c r="R13" t="n">
        <v>7846</v>
      </c>
      <c r="S13" t="n">
        <v>9009</v>
      </c>
      <c r="T13" t="n">
        <v>9963</v>
      </c>
      <c r="U13" t="n">
        <v>11216</v>
      </c>
      <c r="V13" t="n">
        <v>11366</v>
      </c>
    </row>
    <row r="14" ht="15" customHeight="1" s="186">
      <c r="B14" s="4" t="inlineStr">
        <is>
          <t>MG</t>
        </is>
      </c>
      <c r="C14" s="76" t="n">
        <v>25946</v>
      </c>
      <c r="D14" s="76" t="n">
        <v>27291</v>
      </c>
      <c r="E14" s="76" t="n">
        <v>29223</v>
      </c>
      <c r="F14" s="76" t="n">
        <v>30794</v>
      </c>
      <c r="G14" s="76" t="n">
        <v>32067</v>
      </c>
      <c r="H14" s="76" t="n">
        <v>40052</v>
      </c>
      <c r="I14" s="77" t="n">
        <v>44145</v>
      </c>
      <c r="J14" s="78" t="n">
        <v>47321</v>
      </c>
      <c r="K14" s="82" t="n">
        <v>48462</v>
      </c>
      <c r="L14" t="n">
        <v>10014</v>
      </c>
      <c r="M14" t="n">
        <v>11025</v>
      </c>
      <c r="N14" t="n">
        <v>12519</v>
      </c>
      <c r="O14" t="n">
        <v>14233</v>
      </c>
      <c r="P14" t="n">
        <v>14329</v>
      </c>
      <c r="Q14" t="n">
        <v>17917</v>
      </c>
      <c r="R14" t="n">
        <v>20281</v>
      </c>
      <c r="S14" t="n">
        <v>22275</v>
      </c>
      <c r="T14" t="n">
        <v>23697</v>
      </c>
      <c r="U14" t="n">
        <v>24917</v>
      </c>
      <c r="V14" t="n">
        <v>24885</v>
      </c>
    </row>
    <row r="15" ht="15" customHeight="1" s="186">
      <c r="B15" s="8" t="inlineStr">
        <is>
          <t>MS</t>
        </is>
      </c>
      <c r="C15" s="79" t="n">
        <v>34258</v>
      </c>
      <c r="D15" s="79" t="n">
        <v>35529</v>
      </c>
      <c r="E15" s="79" t="n">
        <v>38926</v>
      </c>
      <c r="F15" s="79" t="n">
        <v>38483</v>
      </c>
      <c r="G15" s="79" t="n">
        <v>43649</v>
      </c>
      <c r="H15" s="79" t="n">
        <v>50086</v>
      </c>
      <c r="I15" s="80" t="n">
        <v>60358</v>
      </c>
      <c r="J15" s="81" t="n">
        <v>66885</v>
      </c>
      <c r="K15" s="83" t="n">
        <v>69436</v>
      </c>
      <c r="L15" t="n">
        <v>9561</v>
      </c>
      <c r="M15" t="n">
        <v>10592</v>
      </c>
      <c r="N15" t="n">
        <v>12411</v>
      </c>
      <c r="O15" t="n">
        <v>14188</v>
      </c>
      <c r="P15" t="n">
        <v>15407</v>
      </c>
      <c r="Q15" t="n">
        <v>19302</v>
      </c>
      <c r="R15" t="n">
        <v>22253</v>
      </c>
      <c r="S15" t="n">
        <v>24802</v>
      </c>
      <c r="T15" t="n">
        <v>26748</v>
      </c>
      <c r="U15" t="n">
        <v>30138</v>
      </c>
      <c r="V15" t="n">
        <v>31337</v>
      </c>
    </row>
    <row r="16" ht="15" customHeight="1" s="186">
      <c r="B16" s="4" t="inlineStr">
        <is>
          <t>MT</t>
        </is>
      </c>
      <c r="C16" s="76" t="n">
        <v>37477</v>
      </c>
      <c r="D16" s="76" t="n">
        <v>37926</v>
      </c>
      <c r="E16" s="76" t="n">
        <v>39931</v>
      </c>
      <c r="F16" s="76" t="n">
        <v>40787</v>
      </c>
      <c r="G16" s="76" t="n">
        <v>50663</v>
      </c>
      <c r="H16" s="76" t="n">
        <v>65426</v>
      </c>
      <c r="I16" s="77" t="n">
        <v>69842</v>
      </c>
      <c r="J16" s="78" t="n">
        <v>74620</v>
      </c>
      <c r="K16" s="82" t="n">
        <v>75843</v>
      </c>
      <c r="L16" t="n">
        <v>13365</v>
      </c>
      <c r="M16" t="n">
        <v>12341</v>
      </c>
      <c r="N16" t="n">
        <v>14954</v>
      </c>
      <c r="O16" t="n">
        <v>18050</v>
      </c>
      <c r="P16" t="n">
        <v>19087</v>
      </c>
      <c r="Q16" t="n">
        <v>18649</v>
      </c>
      <c r="R16" t="n">
        <v>22482</v>
      </c>
      <c r="S16" t="n">
        <v>25572</v>
      </c>
      <c r="T16" t="n">
        <v>28036</v>
      </c>
      <c r="U16" t="n">
        <v>31397</v>
      </c>
      <c r="V16" t="n">
        <v>32895</v>
      </c>
    </row>
    <row r="17" ht="15" customHeight="1" s="186">
      <c r="B17" s="8" t="inlineStr">
        <is>
          <t>PA</t>
        </is>
      </c>
      <c r="C17" s="79" t="n">
        <v>16694</v>
      </c>
      <c r="D17" s="79" t="n">
        <v>18554</v>
      </c>
      <c r="E17" s="79" t="n">
        <v>18952</v>
      </c>
      <c r="F17" s="79" t="n">
        <v>20735</v>
      </c>
      <c r="G17" s="79" t="n">
        <v>24847</v>
      </c>
      <c r="H17" s="79" t="n">
        <v>29953</v>
      </c>
      <c r="I17" s="80" t="n">
        <v>29081</v>
      </c>
      <c r="J17" s="81" t="n">
        <v>31348</v>
      </c>
      <c r="K17" s="83" t="n">
        <v>30179</v>
      </c>
      <c r="L17" t="n">
        <v>5612</v>
      </c>
      <c r="M17" t="n">
        <v>6240</v>
      </c>
      <c r="N17" t="n">
        <v>7007</v>
      </c>
      <c r="O17" t="n">
        <v>7993</v>
      </c>
      <c r="P17" t="n">
        <v>7859</v>
      </c>
      <c r="Q17" t="n">
        <v>10907</v>
      </c>
      <c r="R17" t="n">
        <v>12839</v>
      </c>
      <c r="S17" t="n">
        <v>13768</v>
      </c>
      <c r="T17" t="n">
        <v>15211</v>
      </c>
      <c r="U17" t="n">
        <v>15431</v>
      </c>
      <c r="V17" t="n">
        <v>16012</v>
      </c>
    </row>
    <row r="18" ht="15" customHeight="1" s="186">
      <c r="B18" s="4" t="inlineStr">
        <is>
          <t>PB</t>
        </is>
      </c>
      <c r="C18" s="76" t="n">
        <v>14778</v>
      </c>
      <c r="D18" s="76" t="n">
        <v>15500</v>
      </c>
      <c r="E18" s="76" t="n">
        <v>16108</v>
      </c>
      <c r="F18" s="76" t="n">
        <v>16920</v>
      </c>
      <c r="G18" s="76" t="n">
        <v>17402</v>
      </c>
      <c r="H18" s="76" t="n">
        <v>19082</v>
      </c>
      <c r="I18" s="77" t="n">
        <v>21661</v>
      </c>
      <c r="J18" s="78" t="n">
        <v>24395</v>
      </c>
      <c r="K18" s="82" t="n">
        <v>25683</v>
      </c>
      <c r="L18" t="n">
        <v>4691</v>
      </c>
      <c r="M18" t="n">
        <v>5506</v>
      </c>
      <c r="N18" t="n">
        <v>6097</v>
      </c>
      <c r="O18" t="n">
        <v>6866</v>
      </c>
      <c r="P18" t="n">
        <v>7618</v>
      </c>
      <c r="Q18" t="n">
        <v>8900</v>
      </c>
      <c r="R18" t="n">
        <v>9788</v>
      </c>
      <c r="S18" t="n">
        <v>11137</v>
      </c>
      <c r="T18" t="n">
        <v>11848</v>
      </c>
      <c r="U18" t="n">
        <v>13422</v>
      </c>
      <c r="V18" t="n">
        <v>14134</v>
      </c>
    </row>
    <row r="19" ht="15" customHeight="1" s="186">
      <c r="B19" s="8" t="inlineStr">
        <is>
          <t>PE</t>
        </is>
      </c>
      <c r="C19" s="79" t="n">
        <v>17783</v>
      </c>
      <c r="D19" s="79" t="n">
        <v>19171</v>
      </c>
      <c r="E19" s="79" t="n">
        <v>19624</v>
      </c>
      <c r="F19" s="79" t="n">
        <v>20702</v>
      </c>
      <c r="G19" s="79" t="n">
        <v>20101</v>
      </c>
      <c r="H19" s="79" t="n">
        <v>22824</v>
      </c>
      <c r="I19" s="80" t="n">
        <v>27137</v>
      </c>
      <c r="J19" s="81" t="n">
        <v>29857</v>
      </c>
      <c r="K19" s="83" t="n">
        <v>30956</v>
      </c>
      <c r="L19" t="n">
        <v>5933</v>
      </c>
      <c r="M19" t="n">
        <v>6527</v>
      </c>
      <c r="N19" t="n">
        <v>7336</v>
      </c>
      <c r="O19" t="n">
        <v>8065</v>
      </c>
      <c r="P19" t="n">
        <v>8902</v>
      </c>
      <c r="Q19" t="n">
        <v>11049</v>
      </c>
      <c r="R19" t="n">
        <v>12427</v>
      </c>
      <c r="S19" t="n">
        <v>14331</v>
      </c>
      <c r="T19" t="n">
        <v>15328</v>
      </c>
      <c r="U19" t="n">
        <v>16722</v>
      </c>
      <c r="V19" t="n">
        <v>16796</v>
      </c>
    </row>
    <row r="20" ht="15" customHeight="1" s="186">
      <c r="B20" s="4" t="inlineStr">
        <is>
          <t>PI</t>
        </is>
      </c>
      <c r="C20" s="76" t="n">
        <v>12894</v>
      </c>
      <c r="D20" s="76" t="n">
        <v>14092</v>
      </c>
      <c r="E20" s="76" t="n">
        <v>15432</v>
      </c>
      <c r="F20" s="76" t="n">
        <v>16125</v>
      </c>
      <c r="G20" s="76" t="n">
        <v>17185</v>
      </c>
      <c r="H20" s="76" t="n">
        <v>19466</v>
      </c>
      <c r="I20" s="77" t="n">
        <v>22265</v>
      </c>
      <c r="J20" s="78" t="n">
        <v>24736</v>
      </c>
      <c r="K20" s="82" t="n">
        <v>26337</v>
      </c>
      <c r="L20" t="n">
        <v>3701</v>
      </c>
      <c r="M20" t="n">
        <v>4212</v>
      </c>
      <c r="N20" t="n">
        <v>4662</v>
      </c>
      <c r="O20" t="n">
        <v>5386</v>
      </c>
      <c r="P20" t="n">
        <v>6051</v>
      </c>
      <c r="Q20" t="n">
        <v>7141</v>
      </c>
      <c r="R20" t="n">
        <v>8261</v>
      </c>
      <c r="S20" t="n">
        <v>9060</v>
      </c>
      <c r="T20" t="n">
        <v>9825</v>
      </c>
      <c r="U20" t="n">
        <v>11808</v>
      </c>
      <c r="V20" t="n">
        <v>12219</v>
      </c>
    </row>
    <row r="21" ht="15" customHeight="1" s="186">
      <c r="B21" s="8" t="inlineStr">
        <is>
          <t>PR</t>
        </is>
      </c>
      <c r="C21" s="79" t="n">
        <v>35740</v>
      </c>
      <c r="D21" s="79" t="n">
        <v>37232</v>
      </c>
      <c r="E21" s="79" t="n">
        <v>38773</v>
      </c>
      <c r="F21" s="79" t="n">
        <v>40789</v>
      </c>
      <c r="G21" s="79" t="n">
        <v>42367</v>
      </c>
      <c r="H21" s="79" t="n">
        <v>47422</v>
      </c>
      <c r="I21" s="80" t="n">
        <v>53704</v>
      </c>
      <c r="J21" s="81" t="n">
        <v>58624</v>
      </c>
      <c r="K21" s="83" t="n">
        <v>61827</v>
      </c>
      <c r="L21" t="n">
        <v>12344</v>
      </c>
      <c r="M21" t="n">
        <v>13152</v>
      </c>
      <c r="N21" t="n">
        <v>15711</v>
      </c>
      <c r="O21" t="n">
        <v>16927</v>
      </c>
      <c r="P21" t="n">
        <v>17779</v>
      </c>
      <c r="Q21" t="n">
        <v>21562</v>
      </c>
      <c r="R21" t="n">
        <v>24459</v>
      </c>
      <c r="S21" t="n">
        <v>27002</v>
      </c>
      <c r="T21" t="n">
        <v>30323</v>
      </c>
      <c r="U21" t="n">
        <v>31411</v>
      </c>
      <c r="V21" t="n">
        <v>33769</v>
      </c>
    </row>
    <row r="22" ht="15" customHeight="1" s="186">
      <c r="B22" s="4" t="inlineStr">
        <is>
          <t>RJ</t>
        </is>
      </c>
      <c r="C22" s="76" t="n">
        <v>38495</v>
      </c>
      <c r="D22" s="76" t="n">
        <v>40170</v>
      </c>
      <c r="E22" s="76" t="n">
        <v>44223</v>
      </c>
      <c r="F22" s="76" t="n">
        <v>45174</v>
      </c>
      <c r="G22" s="76" t="n">
        <v>43408</v>
      </c>
      <c r="H22" s="76" t="n">
        <v>54360</v>
      </c>
      <c r="I22" s="77" t="n">
        <v>71847</v>
      </c>
      <c r="J22" s="78" t="n">
        <v>73053</v>
      </c>
      <c r="K22" s="82" t="n">
        <v>74008</v>
      </c>
      <c r="L22" t="n">
        <v>16057</v>
      </c>
      <c r="M22" t="n">
        <v>17693</v>
      </c>
      <c r="N22" t="n">
        <v>19245</v>
      </c>
      <c r="O22" t="n">
        <v>21621</v>
      </c>
      <c r="P22" t="n">
        <v>22103</v>
      </c>
      <c r="Q22" t="n">
        <v>28134</v>
      </c>
      <c r="R22" t="n">
        <v>31824</v>
      </c>
      <c r="S22" t="n">
        <v>35418</v>
      </c>
      <c r="T22" t="n">
        <v>38379</v>
      </c>
      <c r="U22" t="n">
        <v>40767</v>
      </c>
      <c r="V22" t="n">
        <v>39827</v>
      </c>
    </row>
    <row r="23" ht="15" customHeight="1" s="186">
      <c r="B23" s="8" t="inlineStr">
        <is>
          <t>RN</t>
        </is>
      </c>
      <c r="C23" s="79" t="n">
        <v>17173</v>
      </c>
      <c r="D23" s="79" t="n">
        <v>18336</v>
      </c>
      <c r="E23" s="79" t="n">
        <v>19250</v>
      </c>
      <c r="F23" s="79" t="n">
        <v>20342</v>
      </c>
      <c r="G23" s="79" t="n">
        <v>20253</v>
      </c>
      <c r="H23" s="79" t="n">
        <v>22517</v>
      </c>
      <c r="I23" s="80" t="n">
        <v>28407</v>
      </c>
      <c r="J23" s="81" t="n">
        <v>30805</v>
      </c>
      <c r="K23" s="83" t="n">
        <v>32670</v>
      </c>
      <c r="L23" t="n">
        <v>5951</v>
      </c>
      <c r="M23" t="n">
        <v>6753</v>
      </c>
      <c r="N23" t="n">
        <v>7607</v>
      </c>
      <c r="O23" t="n">
        <v>8203</v>
      </c>
      <c r="P23" t="n">
        <v>8894</v>
      </c>
      <c r="Q23" t="n">
        <v>11422</v>
      </c>
      <c r="R23" t="n">
        <v>12816</v>
      </c>
      <c r="S23" t="n">
        <v>14377</v>
      </c>
      <c r="T23" t="n">
        <v>15269</v>
      </c>
      <c r="U23" t="n">
        <v>15849</v>
      </c>
      <c r="V23" t="n">
        <v>16632</v>
      </c>
    </row>
    <row r="24" ht="15" customHeight="1" s="186">
      <c r="B24" s="4" t="inlineStr">
        <is>
          <t>RO</t>
        </is>
      </c>
      <c r="C24" s="76" t="n">
        <v>22078</v>
      </c>
      <c r="D24" s="76" t="n">
        <v>24098</v>
      </c>
      <c r="E24" s="76" t="n">
        <v>25554</v>
      </c>
      <c r="F24" s="76" t="n">
        <v>26497</v>
      </c>
      <c r="G24" s="76" t="n">
        <v>28722</v>
      </c>
      <c r="H24" s="76" t="n">
        <v>32045</v>
      </c>
      <c r="I24" s="77" t="n">
        <v>42244</v>
      </c>
      <c r="J24" s="78" t="n">
        <v>48353</v>
      </c>
      <c r="K24" s="82" t="n">
        <v>48766</v>
      </c>
      <c r="L24" t="n">
        <v>8396</v>
      </c>
      <c r="M24" t="n">
        <v>8389</v>
      </c>
      <c r="N24" t="n">
        <v>10320</v>
      </c>
      <c r="O24" t="n">
        <v>11977</v>
      </c>
      <c r="P24" t="n">
        <v>13455</v>
      </c>
      <c r="Q24" t="n">
        <v>15302</v>
      </c>
      <c r="R24" t="n">
        <v>17492</v>
      </c>
      <c r="S24" t="n">
        <v>18939</v>
      </c>
      <c r="T24" t="n">
        <v>18008</v>
      </c>
      <c r="U24" t="n">
        <v>19463</v>
      </c>
      <c r="V24" t="n">
        <v>20678</v>
      </c>
    </row>
    <row r="25" ht="15" customHeight="1" s="186">
      <c r="B25" s="8" t="inlineStr">
        <is>
          <t>RR</t>
        </is>
      </c>
      <c r="C25" s="79" t="n">
        <v>21417</v>
      </c>
      <c r="D25" s="79" t="n">
        <v>23161</v>
      </c>
      <c r="E25" s="79" t="n">
        <v>23189</v>
      </c>
      <c r="F25" s="79" t="n">
        <v>23594</v>
      </c>
      <c r="G25" s="79" t="n">
        <v>25388</v>
      </c>
      <c r="H25" s="79" t="n">
        <v>27888</v>
      </c>
      <c r="I25" s="80" t="n">
        <v>33132</v>
      </c>
      <c r="J25" s="81" t="n">
        <v>39461</v>
      </c>
      <c r="K25" s="83" t="n">
        <v>39946</v>
      </c>
      <c r="L25" t="n">
        <v>8124</v>
      </c>
      <c r="M25" t="n">
        <v>9074</v>
      </c>
      <c r="N25" t="n">
        <v>10535</v>
      </c>
      <c r="O25" t="n">
        <v>11844</v>
      </c>
      <c r="P25" t="n">
        <v>13269</v>
      </c>
      <c r="Q25" t="n">
        <v>14738</v>
      </c>
      <c r="R25" t="n">
        <v>15872</v>
      </c>
      <c r="S25" t="n">
        <v>16424</v>
      </c>
      <c r="T25" t="n">
        <v>18462</v>
      </c>
      <c r="U25" t="n">
        <v>19608</v>
      </c>
      <c r="V25" t="n">
        <v>20256</v>
      </c>
    </row>
    <row r="26" ht="15" customHeight="1" s="186">
      <c r="B26" s="4" t="inlineStr">
        <is>
          <t>RS</t>
        </is>
      </c>
      <c r="C26" s="76" t="n">
        <v>36219</v>
      </c>
      <c r="D26" s="76" t="n">
        <v>37382</v>
      </c>
      <c r="E26" s="76" t="n">
        <v>40363</v>
      </c>
      <c r="F26" s="76" t="n">
        <v>42406</v>
      </c>
      <c r="G26" s="76" t="n">
        <v>41228</v>
      </c>
      <c r="H26" s="76" t="n">
        <v>50694</v>
      </c>
      <c r="I26" s="77" t="n">
        <v>54547</v>
      </c>
      <c r="J26" s="78" t="n">
        <v>59736</v>
      </c>
      <c r="K26" s="82" t="n">
        <v>61199</v>
      </c>
      <c r="L26" t="n">
        <v>13298</v>
      </c>
      <c r="M26" t="n">
        <v>14305</v>
      </c>
      <c r="N26" t="n">
        <v>16689</v>
      </c>
      <c r="O26" t="n">
        <v>18378</v>
      </c>
      <c r="P26" t="n">
        <v>19778</v>
      </c>
      <c r="Q26" t="n">
        <v>22559</v>
      </c>
      <c r="R26" t="n">
        <v>24695</v>
      </c>
      <c r="S26" t="n">
        <v>26707</v>
      </c>
      <c r="T26" t="n">
        <v>29765</v>
      </c>
      <c r="U26" t="n">
        <v>31927</v>
      </c>
      <c r="V26" t="n">
        <v>33961</v>
      </c>
    </row>
    <row r="27" ht="15" customHeight="1" s="186">
      <c r="B27" s="8" t="inlineStr">
        <is>
          <t>SC</t>
        </is>
      </c>
      <c r="C27" s="79" t="n">
        <v>37154</v>
      </c>
      <c r="D27" s="79" t="n">
        <v>39603</v>
      </c>
      <c r="E27" s="79" t="n">
        <v>42149</v>
      </c>
      <c r="F27" s="79" t="n">
        <v>45118</v>
      </c>
      <c r="G27" s="79" t="n">
        <v>48159</v>
      </c>
      <c r="H27" s="79" t="n">
        <v>58401</v>
      </c>
      <c r="I27" s="80" t="n">
        <v>61268</v>
      </c>
      <c r="J27" s="81" t="n">
        <v>67460</v>
      </c>
      <c r="K27" s="83" t="n">
        <v>69506</v>
      </c>
      <c r="L27" t="n">
        <v>14543</v>
      </c>
      <c r="M27" t="n">
        <v>15633</v>
      </c>
      <c r="N27" t="n">
        <v>17834</v>
      </c>
      <c r="O27" t="n">
        <v>20368</v>
      </c>
      <c r="P27" t="n">
        <v>21214</v>
      </c>
      <c r="Q27" t="n">
        <v>24602</v>
      </c>
      <c r="R27" t="n">
        <v>27555</v>
      </c>
      <c r="S27" t="n">
        <v>30143</v>
      </c>
      <c r="T27" t="n">
        <v>32334</v>
      </c>
      <c r="U27" t="n">
        <v>36056</v>
      </c>
      <c r="V27" t="n">
        <v>36526</v>
      </c>
    </row>
    <row r="28" ht="15" customHeight="1" s="186">
      <c r="B28" s="4" t="inlineStr">
        <is>
          <t>SE</t>
        </is>
      </c>
      <c r="C28" s="76" t="n">
        <v>17159</v>
      </c>
      <c r="D28" s="76" t="n">
        <v>17793</v>
      </c>
      <c r="E28" s="76" t="n">
        <v>18443</v>
      </c>
      <c r="F28" s="76" t="n">
        <v>19441</v>
      </c>
      <c r="G28" s="76" t="n">
        <v>19583</v>
      </c>
      <c r="H28" s="76" t="n">
        <v>22177</v>
      </c>
      <c r="I28" s="77" t="n">
        <v>25960</v>
      </c>
      <c r="J28" s="78" t="n">
        <v>27519</v>
      </c>
      <c r="K28" s="82" t="n">
        <v>28579</v>
      </c>
      <c r="L28" t="n">
        <v>6823</v>
      </c>
      <c r="M28" t="n">
        <v>7559</v>
      </c>
      <c r="N28" t="n">
        <v>8712</v>
      </c>
      <c r="O28" t="n">
        <v>9779</v>
      </c>
      <c r="P28" t="n">
        <v>9787</v>
      </c>
      <c r="Q28" t="n">
        <v>12768</v>
      </c>
      <c r="R28" t="n">
        <v>13929</v>
      </c>
      <c r="S28" t="n">
        <v>15564</v>
      </c>
      <c r="T28" t="n">
        <v>16094</v>
      </c>
      <c r="U28" t="n">
        <v>16883</v>
      </c>
      <c r="V28" t="n">
        <v>17190</v>
      </c>
    </row>
    <row r="29" ht="15" customHeight="1" s="186">
      <c r="B29" s="8" t="inlineStr">
        <is>
          <t>SP</t>
        </is>
      </c>
      <c r="C29" s="79" t="n">
        <v>45559</v>
      </c>
      <c r="D29" s="79" t="n">
        <v>47029</v>
      </c>
      <c r="E29" s="79" t="n">
        <v>48542</v>
      </c>
      <c r="F29" s="79" t="n">
        <v>51141</v>
      </c>
      <c r="G29" s="79" t="n">
        <v>51365</v>
      </c>
      <c r="H29" s="79" t="n">
        <v>58302</v>
      </c>
      <c r="I29" s="80" t="n">
        <v>70485</v>
      </c>
      <c r="J29" s="81" t="n">
        <v>77566</v>
      </c>
      <c r="K29" s="83" t="n">
        <v>82767</v>
      </c>
      <c r="L29" t="n">
        <v>17976</v>
      </c>
      <c r="M29" t="n">
        <v>19550</v>
      </c>
      <c r="N29" t="n">
        <v>22667</v>
      </c>
      <c r="O29" t="n">
        <v>24457</v>
      </c>
      <c r="P29" t="n">
        <v>26202</v>
      </c>
      <c r="Q29" t="n">
        <v>31377</v>
      </c>
      <c r="R29" t="n">
        <v>34546</v>
      </c>
      <c r="S29" t="n">
        <v>37207</v>
      </c>
      <c r="T29" t="n">
        <v>39283</v>
      </c>
      <c r="U29" t="n">
        <v>42198</v>
      </c>
      <c r="V29" t="n">
        <v>43695</v>
      </c>
    </row>
    <row r="30" ht="15" customHeight="1" s="186">
      <c r="B30" s="4" t="inlineStr">
        <is>
          <t>TO</t>
        </is>
      </c>
      <c r="C30" s="76" t="n">
        <v>20605</v>
      </c>
      <c r="D30" s="76" t="n">
        <v>22002</v>
      </c>
      <c r="E30" s="76" t="n">
        <v>22933</v>
      </c>
      <c r="F30" s="76" t="n">
        <v>25022</v>
      </c>
      <c r="G30" s="76" t="n">
        <v>27448</v>
      </c>
      <c r="H30" s="76" t="n">
        <v>32215</v>
      </c>
      <c r="I30" s="77" t="n">
        <v>38512</v>
      </c>
      <c r="J30" s="78" t="n">
        <v>42553</v>
      </c>
      <c r="K30" s="82" t="n">
        <v>45296</v>
      </c>
      <c r="L30" t="n">
        <v>6939</v>
      </c>
      <c r="M30" t="n">
        <v>7209</v>
      </c>
      <c r="N30" t="n">
        <v>8921</v>
      </c>
      <c r="O30" t="n">
        <v>10222</v>
      </c>
      <c r="P30" t="n">
        <v>11277</v>
      </c>
      <c r="Q30" t="n">
        <v>11858</v>
      </c>
      <c r="R30" t="n">
        <v>13096</v>
      </c>
      <c r="S30" t="n">
        <v>14590</v>
      </c>
      <c r="T30" t="n">
        <v>16099</v>
      </c>
      <c r="U30" t="n">
        <v>17496</v>
      </c>
      <c r="V30" t="n">
        <v>19094</v>
      </c>
    </row>
    <row r="31" ht="15.75" customHeight="1" s="186">
      <c r="B31" s="11" t="inlineStr">
        <is>
          <t>BRASIL</t>
        </is>
      </c>
      <c r="C31" s="12" t="n">
        <v>30422</v>
      </c>
      <c r="D31" s="12" t="n">
        <v>31713</v>
      </c>
      <c r="E31" s="12" t="n">
        <v>33594</v>
      </c>
      <c r="F31" s="12" t="n">
        <v>35162</v>
      </c>
      <c r="G31" s="12" t="n">
        <v>35936</v>
      </c>
      <c r="H31" s="12" t="n">
        <v>42248</v>
      </c>
      <c r="I31" s="12" t="n">
        <v>49634</v>
      </c>
      <c r="J31" s="12" t="n">
        <v>53887</v>
      </c>
    </row>
    <row r="32" ht="24" customHeight="1" s="186">
      <c r="B32" s="190" t="inlineStr">
        <is>
          <t>PIB per capita em R$ correntes — não deflacionado. Para análise comparativa inter-temporal, deflacionar pelo IPCA.</t>
        </is>
      </c>
    </row>
  </sheetData>
  <mergeCells count="3">
    <mergeCell ref="B2:J2"/>
    <mergeCell ref="B1:J1"/>
    <mergeCell ref="B32:J3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9" customWidth="1" style="186" min="3" max="11"/>
  </cols>
  <sheetData>
    <row r="1" ht="21.75" customHeight="1" s="186">
      <c r="B1" s="192" t="inlineStr">
        <is>
          <t>Taxa de Desocupação por UF — % anual (2016–2024) — PNAD Contínua</t>
        </is>
      </c>
    </row>
    <row r="2" ht="12.75" customHeight="1" s="186">
      <c r="B2" s="191" t="inlineStr">
        <is>
          <t>Fonte: IBGE PNAD Contínua, Tabela 4099. Média anual dos 4 trimestres. Pessoas de 14 anos ou mais.</t>
        </is>
      </c>
    </row>
    <row r="3" ht="19.5" customHeight="1" s="186">
      <c r="B3" s="1" t="inlineStr">
        <is>
          <t>UF</t>
        </is>
      </c>
      <c r="C3" s="2" t="inlineStr">
        <is>
          <t>2016</t>
        </is>
      </c>
      <c r="D3" s="2" t="inlineStr">
        <is>
          <t>2017</t>
        </is>
      </c>
      <c r="E3" s="2" t="inlineStr">
        <is>
          <t>2018</t>
        </is>
      </c>
      <c r="F3" s="2" t="inlineStr">
        <is>
          <t>2019</t>
        </is>
      </c>
      <c r="G3" s="84" t="inlineStr">
        <is>
          <t>2020</t>
        </is>
      </c>
      <c r="H3" s="84" t="inlineStr">
        <is>
          <t>2021</t>
        </is>
      </c>
      <c r="I3" s="54" t="inlineStr">
        <is>
          <t>2022</t>
        </is>
      </c>
      <c r="J3" s="41" t="inlineStr">
        <is>
          <t>2023</t>
        </is>
      </c>
      <c r="K3" s="2" t="inlineStr">
        <is>
          <t>2024</t>
        </is>
      </c>
    </row>
    <row r="4" ht="15" customHeight="1" s="186">
      <c r="B4" s="4" t="inlineStr">
        <is>
          <t>AC</t>
        </is>
      </c>
      <c r="C4" s="85" t="n">
        <v>10.9</v>
      </c>
      <c r="D4" s="85" t="n">
        <v>14.2</v>
      </c>
      <c r="E4" s="85" t="n">
        <v>13.7</v>
      </c>
      <c r="F4" s="85" t="n">
        <v>14.7</v>
      </c>
      <c r="G4" s="86" t="n">
        <v>15.2</v>
      </c>
      <c r="H4" s="86" t="n">
        <v>15.3</v>
      </c>
      <c r="I4" s="87" t="n">
        <v>11.6</v>
      </c>
      <c r="J4" s="88" t="n">
        <v>7.9</v>
      </c>
      <c r="K4" s="85" t="n">
        <v>7.9</v>
      </c>
    </row>
    <row r="5" ht="15" customHeight="1" s="186">
      <c r="B5" s="8" t="inlineStr">
        <is>
          <t>AL</t>
        </is>
      </c>
      <c r="C5" s="89" t="n">
        <v>14.2</v>
      </c>
      <c r="D5" s="89" t="n">
        <v>16.9</v>
      </c>
      <c r="E5" s="89" t="n">
        <v>17.3</v>
      </c>
      <c r="F5" s="89" t="n">
        <v>15.1</v>
      </c>
      <c r="G5" s="86" t="n">
        <v>19.1</v>
      </c>
      <c r="H5" s="86" t="n">
        <v>17.8</v>
      </c>
      <c r="I5" s="90" t="n">
        <v>11.2</v>
      </c>
      <c r="J5" s="91" t="n">
        <v>9.6</v>
      </c>
      <c r="K5" s="89" t="n">
        <v>8.6</v>
      </c>
    </row>
    <row r="6" ht="15" customHeight="1" s="186">
      <c r="B6" s="4" t="inlineStr">
        <is>
          <t>AM</t>
        </is>
      </c>
      <c r="C6" s="85" t="n">
        <v>13.8</v>
      </c>
      <c r="D6" s="85" t="n">
        <v>15.9</v>
      </c>
      <c r="E6" s="85" t="n">
        <v>14</v>
      </c>
      <c r="F6" s="85" t="n">
        <v>14.2</v>
      </c>
      <c r="G6" s="86" t="n">
        <v>16</v>
      </c>
      <c r="H6" s="86" t="n">
        <v>15</v>
      </c>
      <c r="I6" s="87" t="n">
        <v>10.8</v>
      </c>
      <c r="J6" s="88" t="n">
        <v>9.699999999999999</v>
      </c>
      <c r="K6" s="85" t="n">
        <v>8.800000000000001</v>
      </c>
    </row>
    <row r="7" ht="15" customHeight="1" s="186">
      <c r="B7" s="8" t="inlineStr">
        <is>
          <t>AP</t>
        </is>
      </c>
      <c r="C7" s="89" t="n">
        <v>15.8</v>
      </c>
      <c r="D7" s="89" t="n">
        <v>18.1</v>
      </c>
      <c r="E7" s="89" t="n">
        <v>20.4</v>
      </c>
      <c r="F7" s="89" t="n">
        <v>17.6</v>
      </c>
      <c r="G7" s="86" t="n">
        <v>15</v>
      </c>
      <c r="H7" s="86" t="n">
        <v>16.6</v>
      </c>
      <c r="I7" s="90" t="n">
        <v>12.5</v>
      </c>
      <c r="J7" s="91" t="n">
        <v>12.8</v>
      </c>
      <c r="K7" s="89" t="n">
        <v>9.300000000000001</v>
      </c>
    </row>
    <row r="8" ht="15" customHeight="1" s="186">
      <c r="B8" s="4" t="inlineStr">
        <is>
          <t>BA</t>
        </is>
      </c>
      <c r="C8" s="85" t="n">
        <v>16</v>
      </c>
      <c r="D8" s="85" t="n">
        <v>17.1</v>
      </c>
      <c r="E8" s="85" t="n">
        <v>17.2</v>
      </c>
      <c r="F8" s="85" t="n">
        <v>17.4</v>
      </c>
      <c r="G8" s="86" t="n">
        <v>20.2</v>
      </c>
      <c r="H8" s="86" t="n">
        <v>19.5</v>
      </c>
      <c r="I8" s="87" t="n">
        <v>15.3</v>
      </c>
      <c r="J8" s="88" t="n">
        <v>13.4</v>
      </c>
      <c r="K8" s="85" t="n">
        <v>11.2</v>
      </c>
    </row>
    <row r="9" ht="15" customHeight="1" s="186">
      <c r="B9" s="8" t="inlineStr">
        <is>
          <t>CE</t>
        </is>
      </c>
      <c r="C9" s="89" t="n">
        <v>12.1</v>
      </c>
      <c r="D9" s="89" t="n">
        <v>12.7</v>
      </c>
      <c r="E9" s="89" t="n">
        <v>11.4</v>
      </c>
      <c r="F9" s="89" t="n">
        <v>11.1</v>
      </c>
      <c r="G9" s="86" t="n">
        <v>13.3</v>
      </c>
      <c r="H9" s="86" t="n">
        <v>13.4</v>
      </c>
      <c r="I9" s="90" t="n">
        <v>9.5</v>
      </c>
      <c r="J9" s="91" t="n">
        <v>9.1</v>
      </c>
      <c r="K9" s="89" t="n">
        <v>7.3</v>
      </c>
    </row>
    <row r="10" ht="15" customHeight="1" s="186">
      <c r="B10" s="4" t="inlineStr">
        <is>
          <t>DF</t>
        </is>
      </c>
      <c r="C10" s="85" t="n">
        <v>12.1</v>
      </c>
      <c r="D10" s="85" t="n">
        <v>13.3</v>
      </c>
      <c r="E10" s="85" t="n">
        <v>12.8</v>
      </c>
      <c r="F10" s="85" t="n">
        <v>13.4</v>
      </c>
      <c r="G10" s="86" t="n">
        <v>14.8</v>
      </c>
      <c r="H10" s="86" t="n">
        <v>14</v>
      </c>
      <c r="I10" s="87" t="n">
        <v>11.4</v>
      </c>
      <c r="J10" s="88" t="n">
        <v>9.800000000000001</v>
      </c>
      <c r="K10" s="85" t="n">
        <v>9.199999999999999</v>
      </c>
    </row>
    <row r="11" ht="15" customHeight="1" s="186">
      <c r="B11" s="8" t="inlineStr">
        <is>
          <t>ES</t>
        </is>
      </c>
      <c r="C11" s="89" t="n">
        <v>12.4</v>
      </c>
      <c r="D11" s="89" t="n">
        <v>13.3</v>
      </c>
      <c r="E11" s="89" t="n">
        <v>11.7</v>
      </c>
      <c r="F11" s="89" t="n">
        <v>11.2</v>
      </c>
      <c r="G11" s="86" t="n">
        <v>12.9</v>
      </c>
      <c r="H11" s="86" t="n">
        <v>11.2</v>
      </c>
      <c r="I11" s="90" t="n">
        <v>8</v>
      </c>
      <c r="J11" s="91" t="n">
        <v>6.1</v>
      </c>
      <c r="K11" s="89" t="n">
        <v>4.7</v>
      </c>
    </row>
    <row r="12" ht="15" customHeight="1" s="186">
      <c r="B12" s="4" t="inlineStr">
        <is>
          <t>GO</t>
        </is>
      </c>
      <c r="C12" s="85" t="n">
        <v>10.7</v>
      </c>
      <c r="D12" s="85" t="n">
        <v>10.7</v>
      </c>
      <c r="E12" s="85" t="n">
        <v>9.300000000000001</v>
      </c>
      <c r="F12" s="85" t="n">
        <v>10.8</v>
      </c>
      <c r="G12" s="86" t="n">
        <v>12.8</v>
      </c>
      <c r="H12" s="86" t="n">
        <v>11.3</v>
      </c>
      <c r="I12" s="87" t="n">
        <v>7.2</v>
      </c>
      <c r="J12" s="88" t="n">
        <v>6.2</v>
      </c>
      <c r="K12" s="85" t="n">
        <v>5.4</v>
      </c>
    </row>
    <row r="13" ht="15" customHeight="1" s="186">
      <c r="B13" s="8" t="inlineStr">
        <is>
          <t>MA</t>
        </is>
      </c>
      <c r="C13" s="89" t="n">
        <v>12.1</v>
      </c>
      <c r="D13" s="89" t="n">
        <v>14.5</v>
      </c>
      <c r="E13" s="89" t="n">
        <v>14.7</v>
      </c>
      <c r="F13" s="89" t="n">
        <v>14.7</v>
      </c>
      <c r="G13" s="86" t="n">
        <v>16.4</v>
      </c>
      <c r="H13" s="86" t="n">
        <v>16.1</v>
      </c>
      <c r="I13" s="90" t="n">
        <v>10.5</v>
      </c>
      <c r="J13" s="91" t="n">
        <v>8.199999999999999</v>
      </c>
      <c r="K13" s="89" t="n">
        <v>7.7</v>
      </c>
    </row>
    <row r="14" ht="15" customHeight="1" s="186">
      <c r="B14" s="4" t="inlineStr">
        <is>
          <t>MG</t>
        </is>
      </c>
      <c r="C14" s="85" t="n">
        <v>11.2</v>
      </c>
      <c r="D14" s="85" t="n">
        <v>12.2</v>
      </c>
      <c r="E14" s="85" t="n">
        <v>10.8</v>
      </c>
      <c r="F14" s="85" t="n">
        <v>10.1</v>
      </c>
      <c r="G14" s="86" t="n">
        <v>12.8</v>
      </c>
      <c r="H14" s="86" t="n">
        <v>11.7</v>
      </c>
      <c r="I14" s="87" t="n">
        <v>7.2</v>
      </c>
      <c r="J14" s="88" t="n">
        <v>6.1</v>
      </c>
      <c r="K14" s="85" t="n">
        <v>5.2</v>
      </c>
    </row>
    <row r="15" ht="15" customHeight="1" s="186">
      <c r="B15" s="8" t="inlineStr">
        <is>
          <t>MS</t>
        </is>
      </c>
      <c r="C15" s="89" t="n">
        <v>7.7</v>
      </c>
      <c r="D15" s="89" t="n">
        <v>8.6</v>
      </c>
      <c r="E15" s="89" t="n">
        <v>7.6</v>
      </c>
      <c r="F15" s="89" t="n">
        <v>8.1</v>
      </c>
      <c r="G15" s="86" t="n">
        <v>10.2</v>
      </c>
      <c r="H15" s="86" t="n">
        <v>8.699999999999999</v>
      </c>
      <c r="I15" s="90" t="n">
        <v>5</v>
      </c>
      <c r="J15" s="91" t="n">
        <v>4.2</v>
      </c>
      <c r="K15" s="89" t="n">
        <v>4</v>
      </c>
    </row>
    <row r="16" ht="15" customHeight="1" s="186">
      <c r="B16" s="4" t="inlineStr">
        <is>
          <t>MT</t>
        </is>
      </c>
      <c r="C16" s="85" t="n">
        <v>9.5</v>
      </c>
      <c r="D16" s="85" t="n">
        <v>9.1</v>
      </c>
      <c r="E16" s="85" t="n">
        <v>8</v>
      </c>
      <c r="F16" s="85" t="n">
        <v>8</v>
      </c>
      <c r="G16" s="86" t="n">
        <v>9.9</v>
      </c>
      <c r="H16" s="86" t="n">
        <v>8</v>
      </c>
      <c r="I16" s="87" t="n">
        <v>4.3</v>
      </c>
      <c r="J16" s="88" t="n">
        <v>3.5</v>
      </c>
      <c r="K16" s="85" t="n">
        <v>2.9</v>
      </c>
    </row>
    <row r="17" ht="15" customHeight="1" s="186">
      <c r="B17" s="8" t="inlineStr">
        <is>
          <t>PA</t>
        </is>
      </c>
      <c r="C17" s="89" t="n">
        <v>11.2</v>
      </c>
      <c r="D17" s="89" t="n">
        <v>11.8</v>
      </c>
      <c r="E17" s="89" t="n">
        <v>11.2</v>
      </c>
      <c r="F17" s="89" t="n">
        <v>10.8</v>
      </c>
      <c r="G17" s="86" t="n">
        <v>10.5</v>
      </c>
      <c r="H17" s="86" t="n">
        <v>12.5</v>
      </c>
      <c r="I17" s="90" t="n">
        <v>9.6</v>
      </c>
      <c r="J17" s="91" t="n">
        <v>8.5</v>
      </c>
      <c r="K17" s="89" t="n">
        <v>7.5</v>
      </c>
    </row>
    <row r="18" ht="15" customHeight="1" s="186">
      <c r="B18" s="4" t="inlineStr">
        <is>
          <t>PB</t>
        </is>
      </c>
      <c r="C18" s="85" t="n">
        <v>11.6</v>
      </c>
      <c r="D18" s="85" t="n">
        <v>11.5</v>
      </c>
      <c r="E18" s="85" t="n">
        <v>11.3</v>
      </c>
      <c r="F18" s="85" t="n">
        <v>11.8</v>
      </c>
      <c r="G18" s="86" t="n">
        <v>15</v>
      </c>
      <c r="H18" s="86" t="n">
        <v>14.8</v>
      </c>
      <c r="I18" s="87" t="n">
        <v>12</v>
      </c>
      <c r="J18" s="88" t="n">
        <v>10.1</v>
      </c>
      <c r="K18" s="85" t="n">
        <v>8.699999999999999</v>
      </c>
    </row>
    <row r="19" ht="15" customHeight="1" s="186">
      <c r="B19" s="8" t="inlineStr">
        <is>
          <t>PE</t>
        </is>
      </c>
      <c r="C19" s="89" t="n">
        <v>14.8</v>
      </c>
      <c r="D19" s="89" t="n">
        <v>17.9</v>
      </c>
      <c r="E19" s="89" t="n">
        <v>16.9</v>
      </c>
      <c r="F19" s="89" t="n">
        <v>15.7</v>
      </c>
      <c r="G19" s="86" t="n">
        <v>17.2</v>
      </c>
      <c r="H19" s="86" t="n">
        <v>19.9</v>
      </c>
      <c r="I19" s="90" t="n">
        <v>14.2</v>
      </c>
      <c r="J19" s="91" t="n">
        <v>13.4</v>
      </c>
      <c r="K19" s="89" t="n">
        <v>11.1</v>
      </c>
    </row>
    <row r="20" ht="15" customHeight="1" s="186">
      <c r="B20" s="4" t="inlineStr">
        <is>
          <t>PI</t>
        </is>
      </c>
      <c r="C20" s="85" t="n">
        <v>9.6</v>
      </c>
      <c r="D20" s="85" t="n">
        <v>13</v>
      </c>
      <c r="E20" s="85" t="n">
        <v>12.9</v>
      </c>
      <c r="F20" s="85" t="n">
        <v>13</v>
      </c>
      <c r="G20" s="86" t="n">
        <v>13.3</v>
      </c>
      <c r="H20" s="86" t="n">
        <v>13.6</v>
      </c>
      <c r="I20" s="87" t="n">
        <v>10.2</v>
      </c>
      <c r="J20" s="88" t="n">
        <v>10.3</v>
      </c>
      <c r="K20" s="85" t="n">
        <v>8.5</v>
      </c>
    </row>
    <row r="21" ht="15" customHeight="1" s="186">
      <c r="B21" s="8" t="inlineStr">
        <is>
          <t>PR</t>
        </is>
      </c>
      <c r="C21" s="89" t="n">
        <v>8.300000000000001</v>
      </c>
      <c r="D21" s="89" t="n">
        <v>9</v>
      </c>
      <c r="E21" s="89" t="n">
        <v>8.800000000000001</v>
      </c>
      <c r="F21" s="89" t="n">
        <v>8.699999999999999</v>
      </c>
      <c r="G21" s="86" t="n">
        <v>9.6</v>
      </c>
      <c r="H21" s="86" t="n">
        <v>8.4</v>
      </c>
      <c r="I21" s="90" t="n">
        <v>5.8</v>
      </c>
      <c r="J21" s="91" t="n">
        <v>4.9</v>
      </c>
      <c r="K21" s="89" t="n">
        <v>4</v>
      </c>
    </row>
    <row r="22" ht="15" customHeight="1" s="186">
      <c r="B22" s="4" t="inlineStr">
        <is>
          <t>RJ</t>
        </is>
      </c>
      <c r="C22" s="85" t="n">
        <v>11.9</v>
      </c>
      <c r="D22" s="85" t="n">
        <v>15.1</v>
      </c>
      <c r="E22" s="85" t="n">
        <v>15.1</v>
      </c>
      <c r="F22" s="85" t="n">
        <v>14.8</v>
      </c>
      <c r="G22" s="86" t="n">
        <v>17.6</v>
      </c>
      <c r="H22" s="86" t="n">
        <v>16.9</v>
      </c>
      <c r="I22" s="87" t="n">
        <v>12.8</v>
      </c>
      <c r="J22" s="88" t="n">
        <v>11</v>
      </c>
      <c r="K22" s="85" t="n">
        <v>9</v>
      </c>
    </row>
    <row r="23" ht="15" customHeight="1" s="186">
      <c r="B23" s="8" t="inlineStr">
        <is>
          <t>RN</t>
        </is>
      </c>
      <c r="C23" s="89" t="n">
        <v>14.3</v>
      </c>
      <c r="D23" s="89" t="n">
        <v>14.7</v>
      </c>
      <c r="E23" s="89" t="n">
        <v>13.7</v>
      </c>
      <c r="F23" s="89" t="n">
        <v>13.3</v>
      </c>
      <c r="G23" s="86" t="n">
        <v>16.1</v>
      </c>
      <c r="H23" s="86" t="n">
        <v>14.9</v>
      </c>
      <c r="I23" s="90" t="n">
        <v>11.7</v>
      </c>
      <c r="J23" s="91" t="n">
        <v>10.3</v>
      </c>
      <c r="K23" s="89" t="n">
        <v>9.1</v>
      </c>
    </row>
    <row r="24" ht="15" customHeight="1" s="186">
      <c r="B24" s="4" t="inlineStr">
        <is>
          <t>RO</t>
        </is>
      </c>
      <c r="C24" s="85" t="n">
        <v>8</v>
      </c>
      <c r="D24" s="85" t="n">
        <v>8.199999999999999</v>
      </c>
      <c r="E24" s="85" t="n">
        <v>9.199999999999999</v>
      </c>
      <c r="F24" s="85" t="n">
        <v>8.1</v>
      </c>
      <c r="G24" s="86" t="n">
        <v>10.6</v>
      </c>
      <c r="H24" s="86" t="n">
        <v>8.9</v>
      </c>
      <c r="I24" s="87" t="n">
        <v>4.9</v>
      </c>
      <c r="J24" s="88" t="n">
        <v>2.9</v>
      </c>
      <c r="K24" s="85" t="n">
        <v>2.9</v>
      </c>
    </row>
    <row r="25" ht="15" customHeight="1" s="186">
      <c r="B25" s="8" t="inlineStr">
        <is>
          <t>RR</t>
        </is>
      </c>
      <c r="C25" s="89" t="n">
        <v>8.9</v>
      </c>
      <c r="D25" s="89" t="n">
        <v>10</v>
      </c>
      <c r="E25" s="89" t="n">
        <v>12.4</v>
      </c>
      <c r="F25" s="89" t="n">
        <v>15.1</v>
      </c>
      <c r="G25" s="86" t="n">
        <v>16.8</v>
      </c>
      <c r="H25" s="86" t="n">
        <v>12.1</v>
      </c>
      <c r="I25" s="90" t="n">
        <v>6.1</v>
      </c>
      <c r="J25" s="91" t="n">
        <v>6.7</v>
      </c>
      <c r="K25" s="89" t="n">
        <v>6.8</v>
      </c>
    </row>
    <row r="26" ht="15" customHeight="1" s="186">
      <c r="B26" s="4" t="inlineStr">
        <is>
          <t>RS</t>
        </is>
      </c>
      <c r="C26" s="85" t="n">
        <v>8.300000000000001</v>
      </c>
      <c r="D26" s="85" t="n">
        <v>8.5</v>
      </c>
      <c r="E26" s="85" t="n">
        <v>8.199999999999999</v>
      </c>
      <c r="F26" s="85" t="n">
        <v>8.199999999999999</v>
      </c>
      <c r="G26" s="86" t="n">
        <v>9.300000000000001</v>
      </c>
      <c r="H26" s="86" t="n">
        <v>8.699999999999999</v>
      </c>
      <c r="I26" s="87" t="n">
        <v>6.1</v>
      </c>
      <c r="J26" s="88" t="n">
        <v>5.3</v>
      </c>
      <c r="K26" s="85" t="n">
        <v>5.1</v>
      </c>
    </row>
    <row r="27" ht="15" customHeight="1" s="186">
      <c r="B27" s="8" t="inlineStr">
        <is>
          <t>SC</t>
        </is>
      </c>
      <c r="C27" s="89" t="n">
        <v>6.4</v>
      </c>
      <c r="D27" s="89" t="n">
        <v>7.2</v>
      </c>
      <c r="E27" s="89" t="n">
        <v>6.5</v>
      </c>
      <c r="F27" s="89" t="n">
        <v>6.2</v>
      </c>
      <c r="G27" s="86" t="n">
        <v>6.3</v>
      </c>
      <c r="H27" s="86" t="n">
        <v>5.5</v>
      </c>
      <c r="I27" s="90" t="n">
        <v>3.9</v>
      </c>
      <c r="J27" s="91" t="n">
        <v>3.5</v>
      </c>
      <c r="K27" s="89" t="n">
        <v>3.1</v>
      </c>
    </row>
    <row r="28" ht="15" customHeight="1" s="186">
      <c r="B28" s="4" t="inlineStr">
        <is>
          <t>SE</t>
        </is>
      </c>
      <c r="C28" s="85" t="n">
        <v>13.6</v>
      </c>
      <c r="D28" s="85" t="n">
        <v>14.6</v>
      </c>
      <c r="E28" s="85" t="n">
        <v>16.8</v>
      </c>
      <c r="F28" s="85" t="n">
        <v>15.2</v>
      </c>
      <c r="G28" s="86" t="n">
        <v>18.9</v>
      </c>
      <c r="H28" s="86" t="n">
        <v>18</v>
      </c>
      <c r="I28" s="87" t="n">
        <v>13.1</v>
      </c>
      <c r="J28" s="88" t="n">
        <v>10.9</v>
      </c>
      <c r="K28" s="85" t="n">
        <v>8.9</v>
      </c>
    </row>
    <row r="29" ht="15" customHeight="1" s="186">
      <c r="B29" s="8" t="inlineStr">
        <is>
          <t>SP</t>
        </is>
      </c>
      <c r="C29" s="89" t="n">
        <v>12.5</v>
      </c>
      <c r="D29" s="89" t="n">
        <v>13.5</v>
      </c>
      <c r="E29" s="89" t="n">
        <v>13.4</v>
      </c>
      <c r="F29" s="89" t="n">
        <v>12.6</v>
      </c>
      <c r="G29" s="86" t="n">
        <v>14.1</v>
      </c>
      <c r="H29" s="86" t="n">
        <v>13.5</v>
      </c>
      <c r="I29" s="90" t="n">
        <v>9.1</v>
      </c>
      <c r="J29" s="91" t="n">
        <v>7.6</v>
      </c>
      <c r="K29" s="89" t="n">
        <v>6.5</v>
      </c>
    </row>
    <row r="30" ht="15" customHeight="1" s="186">
      <c r="B30" s="4" t="inlineStr">
        <is>
          <t>TO</t>
        </is>
      </c>
      <c r="C30" s="85" t="n">
        <v>11.5</v>
      </c>
      <c r="D30" s="85" t="n">
        <v>11.7</v>
      </c>
      <c r="E30" s="85" t="n">
        <v>10.7</v>
      </c>
      <c r="F30" s="85" t="n">
        <v>11</v>
      </c>
      <c r="G30" s="86" t="n">
        <v>12.1</v>
      </c>
      <c r="H30" s="86" t="n">
        <v>13.4</v>
      </c>
      <c r="I30" s="87" t="n">
        <v>6.4</v>
      </c>
      <c r="J30" s="88" t="n">
        <v>6.1</v>
      </c>
      <c r="K30" s="85" t="n">
        <v>5.4</v>
      </c>
    </row>
    <row r="31" ht="15.75" customHeight="1" s="186">
      <c r="B31" s="11" t="inlineStr">
        <is>
          <t>BRASIL</t>
        </is>
      </c>
      <c r="C31" s="61" t="n">
        <v>11.5</v>
      </c>
      <c r="D31" s="61" t="n">
        <v>12.7</v>
      </c>
      <c r="E31" s="61" t="n">
        <v>12.4</v>
      </c>
      <c r="F31" s="61" t="n">
        <v>12.3</v>
      </c>
      <c r="G31" s="61" t="n">
        <v>13.9</v>
      </c>
      <c r="H31" s="61" t="n">
        <v>13.3</v>
      </c>
      <c r="I31" s="61" t="n">
        <v>9.300000000000001</v>
      </c>
      <c r="J31" s="61" t="n">
        <v>8.1</v>
      </c>
      <c r="K31" s="61" t="n">
        <v>7</v>
      </c>
    </row>
    <row r="32" ht="24" customHeight="1" s="186">
      <c r="B32" s="190" t="inlineStr">
        <is>
          <t>Laranja=pico pandemia 2020-2021. Verde=2022 pico CAC. Vermelho=2023 choque regulatório. Dummy pandemia recomendada nos modelos.</t>
        </is>
      </c>
    </row>
  </sheetData>
  <mergeCells count="3">
    <mergeCell ref="B2:K2"/>
    <mergeCell ref="B1:K1"/>
    <mergeCell ref="B32:K32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O544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" customWidth="1" style="186" min="1" max="1"/>
    <col width="6" customWidth="1" style="186" min="2" max="3"/>
    <col width="12" customWidth="1" style="186" min="4" max="5"/>
    <col width="10" customWidth="1" style="186" min="6" max="7"/>
    <col width="14" customWidth="1" style="186" min="8" max="8"/>
    <col width="10" customWidth="1" style="186" min="9" max="9"/>
    <col width="12" customWidth="1" style="186" min="10" max="10"/>
    <col width="10" customWidth="1" style="186" min="11" max="11"/>
    <col width="12" customWidth="1" style="186" min="12" max="13"/>
  </cols>
  <sheetData>
    <row r="1" ht="21.75" customHeight="1" s="186">
      <c r="B1" s="192" t="inlineStr">
        <is>
          <t>Painel de Variáveis para Estimação — 27 UFs × 20 Anos (2005–2024) = 540 obs.</t>
        </is>
      </c>
    </row>
    <row r="2" ht="12.75" customHeight="1" s="186">
      <c r="B2" s="191" t="inlineStr">
        <is>
          <t>SIM/DataSUS (X93-X95) | PF/Exército (CRs CAC) | IBGE Contas Regionais | PNAD Contínua/anual | IBGE Estimativas Pop. | Versão legível — espelha a aba painel_expandido (fonte de verdade para o notebook). estoque_crs e Populacao adicionados nas colunas N e O.</t>
        </is>
      </c>
    </row>
    <row r="3" ht="42" customHeight="1" s="186">
      <c r="B3" s="92" t="inlineStr">
        <is>
          <t>UF</t>
        </is>
      </c>
      <c r="C3" s="92" t="inlineStr">
        <is>
          <t>Ano</t>
        </is>
      </c>
      <c r="D3" s="3" t="inlineStr">
        <is>
          <t>Hom_100mil</t>
        </is>
      </c>
      <c r="E3" s="93" t="inlineStr">
        <is>
          <t>CRs_100mil</t>
        </is>
      </c>
      <c r="F3" s="3" t="inlineStr">
        <is>
          <t>ln_Hom</t>
        </is>
      </c>
      <c r="G3" s="93" t="inlineStr">
        <is>
          <t>ln_CRs</t>
        </is>
      </c>
      <c r="H3" s="94" t="inlineStr">
        <is>
          <t>PIBpc_R$</t>
        </is>
      </c>
      <c r="I3" s="94" t="inlineStr">
        <is>
          <t>ln_PIBpc</t>
        </is>
      </c>
      <c r="J3" s="95" t="inlineStr">
        <is>
          <t>Desemprego_%</t>
        </is>
      </c>
      <c r="K3" s="96" t="inlineStr">
        <is>
          <t>POST_2023</t>
        </is>
      </c>
      <c r="L3" s="95" t="inlineStr">
        <is>
          <t>D_pandemia</t>
        </is>
      </c>
      <c r="M3" s="55" t="inlineStr">
        <is>
          <t>INT_i</t>
        </is>
      </c>
      <c r="N3" t="inlineStr">
        <is>
          <t>Estoque_CRs</t>
        </is>
      </c>
      <c r="O3" t="inlineStr">
        <is>
          <t>Populacao</t>
        </is>
      </c>
    </row>
    <row r="4" ht="13.5" customHeight="1" s="186">
      <c r="B4" s="97" t="inlineStr">
        <is>
          <t>AC</t>
        </is>
      </c>
      <c r="C4" s="97" t="n">
        <v>2005</v>
      </c>
      <c r="D4" s="98" t="n">
        <v>5.38</v>
      </c>
      <c r="E4" s="99" t="n">
        <v>0</v>
      </c>
      <c r="F4" s="100" t="n">
        <v>3.5835</v>
      </c>
      <c r="G4" s="101" t="n"/>
      <c r="H4" s="77" t="n">
        <v>6694</v>
      </c>
      <c r="I4" s="102" t="n">
        <v>8.808999999999999</v>
      </c>
      <c r="J4" s="85" t="n">
        <v>11.33</v>
      </c>
      <c r="K4" s="103" t="n">
        <v>0</v>
      </c>
      <c r="L4" s="103" t="n">
        <v>0</v>
      </c>
      <c r="M4" s="104" t="n">
        <v>72.89</v>
      </c>
      <c r="N4" t="n">
        <v>0</v>
      </c>
      <c r="O4" t="n">
        <v>669736</v>
      </c>
    </row>
    <row r="5" ht="13.5" customHeight="1" s="186">
      <c r="B5" s="105" t="inlineStr">
        <is>
          <t>AC</t>
        </is>
      </c>
      <c r="C5" s="105" t="n">
        <v>2006</v>
      </c>
      <c r="D5" s="106" t="n">
        <v>6.7</v>
      </c>
      <c r="E5" s="107" t="n">
        <v>0.15</v>
      </c>
      <c r="F5" s="108" t="n">
        <v>3.8286</v>
      </c>
      <c r="G5" s="109" t="n">
        <v>0</v>
      </c>
      <c r="H5" s="110" t="n">
        <v>7041</v>
      </c>
      <c r="I5" s="111" t="n">
        <v>8.859500000000001</v>
      </c>
      <c r="J5" s="89" t="n">
        <v>8.58</v>
      </c>
      <c r="K5" s="112" t="n">
        <v>0</v>
      </c>
      <c r="L5" s="112" t="n">
        <v>0</v>
      </c>
      <c r="M5" s="113" t="n">
        <v>72.89</v>
      </c>
      <c r="N5" t="n">
        <v>1</v>
      </c>
      <c r="O5" t="n">
        <v>686652</v>
      </c>
    </row>
    <row r="6" ht="13.5" customHeight="1" s="186">
      <c r="B6" s="97" t="inlineStr">
        <is>
          <t>AC</t>
        </is>
      </c>
      <c r="C6" s="97" t="n">
        <v>2007</v>
      </c>
      <c r="D6" s="98" t="n">
        <v>7.48</v>
      </c>
      <c r="E6" s="99" t="n">
        <v>0</v>
      </c>
      <c r="F6" s="100" t="n">
        <v>3.8918</v>
      </c>
      <c r="G6" s="101" t="n"/>
      <c r="H6" s="77" t="n">
        <v>8790</v>
      </c>
      <c r="I6" s="102" t="n">
        <v>9.0814</v>
      </c>
      <c r="J6" s="85" t="n">
        <v>5.79</v>
      </c>
      <c r="K6" s="103" t="n">
        <v>0</v>
      </c>
      <c r="L6" s="103" t="n">
        <v>0</v>
      </c>
      <c r="M6" s="104" t="n">
        <v>72.89</v>
      </c>
      <c r="N6" t="n">
        <v>1</v>
      </c>
      <c r="O6" t="n">
        <v>655385</v>
      </c>
    </row>
    <row r="7" ht="13.5" customHeight="1" s="186">
      <c r="B7" s="105" t="inlineStr">
        <is>
          <t>AC</t>
        </is>
      </c>
      <c r="C7" s="105" t="n">
        <v>2008</v>
      </c>
      <c r="D7" s="106" t="n">
        <v>5.73</v>
      </c>
      <c r="E7" s="107" t="n">
        <v>0</v>
      </c>
      <c r="F7" s="108" t="n">
        <v>3.6636</v>
      </c>
      <c r="G7" s="109" t="n"/>
      <c r="H7" s="110" t="n">
        <v>9896</v>
      </c>
      <c r="I7" s="111" t="n">
        <v>9.1999</v>
      </c>
      <c r="J7" s="89" t="n">
        <v>7.74</v>
      </c>
      <c r="K7" s="112" t="n">
        <v>0</v>
      </c>
      <c r="L7" s="112" t="n">
        <v>0</v>
      </c>
      <c r="M7" s="113" t="n">
        <v>72.89</v>
      </c>
      <c r="N7" t="n">
        <v>1</v>
      </c>
      <c r="O7" t="n">
        <v>680075</v>
      </c>
    </row>
    <row r="8" ht="13.5" customHeight="1" s="186">
      <c r="B8" s="97" t="inlineStr">
        <is>
          <t>AC</t>
        </is>
      </c>
      <c r="C8" s="97" t="n">
        <v>2009</v>
      </c>
      <c r="D8" s="98" t="n">
        <v>8.68</v>
      </c>
      <c r="E8" s="99" t="n">
        <v>0</v>
      </c>
      <c r="F8" s="100" t="n">
        <v>4.0943</v>
      </c>
      <c r="G8" s="101" t="n"/>
      <c r="H8" s="77" t="n">
        <v>10687</v>
      </c>
      <c r="I8" s="102" t="n">
        <v>9.2768</v>
      </c>
      <c r="J8" s="86" t="n">
        <v>7.56</v>
      </c>
      <c r="K8" s="103" t="n">
        <v>0</v>
      </c>
      <c r="L8" s="114" t="n">
        <v>0</v>
      </c>
      <c r="M8" s="104" t="n">
        <v>72.89</v>
      </c>
      <c r="N8" t="n">
        <v>1</v>
      </c>
      <c r="O8" t="n">
        <v>691132</v>
      </c>
    </row>
    <row r="9" ht="13.5" customHeight="1" s="186">
      <c r="B9" s="105" t="inlineStr">
        <is>
          <t>AC</t>
        </is>
      </c>
      <c r="C9" s="105" t="n">
        <v>2010</v>
      </c>
      <c r="D9" s="106" t="n">
        <v>8.449999999999999</v>
      </c>
      <c r="E9" s="107" t="n">
        <v>0</v>
      </c>
      <c r="F9" s="108" t="n">
        <v>4.1271</v>
      </c>
      <c r="G9" s="109" t="n"/>
      <c r="H9" s="110" t="n">
        <v>11372</v>
      </c>
      <c r="I9" s="111" t="n">
        <v>9.338900000000001</v>
      </c>
      <c r="J9" s="86" t="n">
        <v>6.46</v>
      </c>
      <c r="K9" s="112" t="n">
        <v>0</v>
      </c>
      <c r="L9" s="114" t="n">
        <v>0</v>
      </c>
      <c r="M9" s="113" t="n">
        <v>72.89</v>
      </c>
      <c r="N9" t="n">
        <v>1</v>
      </c>
      <c r="O9" t="n">
        <v>733559</v>
      </c>
    </row>
    <row r="10" ht="13.5" customHeight="1" s="186">
      <c r="B10" s="97" t="inlineStr">
        <is>
          <t>AC</t>
        </is>
      </c>
      <c r="C10" s="97" t="n">
        <v>2011</v>
      </c>
      <c r="D10" s="98" t="n">
        <v>6.7</v>
      </c>
      <c r="E10" s="99" t="n">
        <v>0</v>
      </c>
      <c r="F10" s="100" t="n">
        <v>3.912</v>
      </c>
      <c r="G10" s="101" t="n"/>
      <c r="H10" s="77" t="n">
        <v>11990</v>
      </c>
      <c r="I10" s="102" t="n">
        <v>9.3918</v>
      </c>
      <c r="J10" s="85" t="n">
        <v>5.36</v>
      </c>
      <c r="K10" s="103" t="n">
        <v>0</v>
      </c>
      <c r="L10" s="103" t="n">
        <v>0</v>
      </c>
      <c r="M10" s="104" t="n">
        <v>72.89</v>
      </c>
      <c r="N10" t="n">
        <v>1</v>
      </c>
      <c r="O10" t="n">
        <v>746386</v>
      </c>
    </row>
    <row r="11" ht="13.5" customHeight="1" s="186">
      <c r="B11" s="105" t="inlineStr">
        <is>
          <t>AC</t>
        </is>
      </c>
      <c r="C11" s="105" t="n">
        <v>2012</v>
      </c>
      <c r="D11" s="106" t="n">
        <v>11.2</v>
      </c>
      <c r="E11" s="107" t="n">
        <v>0</v>
      </c>
      <c r="F11" s="108" t="n">
        <v>4.4427</v>
      </c>
      <c r="G11" s="109" t="n"/>
      <c r="H11" s="110" t="n">
        <v>13361</v>
      </c>
      <c r="I11" s="111" t="n">
        <v>9.5001</v>
      </c>
      <c r="J11" s="89" t="n">
        <v>8</v>
      </c>
      <c r="K11" s="115" t="n">
        <v>0</v>
      </c>
      <c r="L11" s="112" t="n">
        <v>0</v>
      </c>
      <c r="M11" s="113" t="n">
        <v>72.89</v>
      </c>
      <c r="N11" t="n">
        <v>1</v>
      </c>
      <c r="O11" t="n">
        <v>758786</v>
      </c>
    </row>
    <row r="12" ht="13.5" customHeight="1" s="186">
      <c r="B12" s="97" t="inlineStr">
        <is>
          <t>AC</t>
        </is>
      </c>
      <c r="C12" s="97" t="n">
        <v>2013</v>
      </c>
      <c r="D12" s="98" t="n">
        <v>12.49</v>
      </c>
      <c r="E12" s="99" t="n">
        <v>0.26</v>
      </c>
      <c r="F12" s="100" t="n">
        <v>4.5747</v>
      </c>
      <c r="G12" s="101" t="n">
        <v>0.6931</v>
      </c>
      <c r="H12" s="77" t="n">
        <v>14777</v>
      </c>
      <c r="I12" s="102" t="n">
        <v>9.6008</v>
      </c>
      <c r="J12" s="85" t="n">
        <v>9.56</v>
      </c>
      <c r="K12" s="103" t="n">
        <v>0</v>
      </c>
      <c r="L12" s="103" t="n">
        <v>0</v>
      </c>
      <c r="M12" s="104" t="n">
        <v>72.89</v>
      </c>
      <c r="N12" t="n">
        <v>3</v>
      </c>
      <c r="O12" t="n">
        <v>776463</v>
      </c>
    </row>
    <row r="13" ht="13.5" customHeight="1" s="186">
      <c r="B13" s="105" t="inlineStr">
        <is>
          <t>AC</t>
        </is>
      </c>
      <c r="C13" s="105" t="n">
        <v>2014</v>
      </c>
      <c r="D13" s="106" t="n">
        <v>14.68</v>
      </c>
      <c r="E13" s="107" t="n">
        <v>0</v>
      </c>
      <c r="F13" s="108" t="n">
        <v>4.7536</v>
      </c>
      <c r="G13" s="109" t="n"/>
      <c r="H13" s="110" t="n">
        <v>17034</v>
      </c>
      <c r="I13" s="111" t="n">
        <v>9.743</v>
      </c>
      <c r="J13" s="89" t="n">
        <v>9.81</v>
      </c>
      <c r="K13" s="112" t="n">
        <v>0</v>
      </c>
      <c r="L13" s="112" t="n">
        <v>0</v>
      </c>
      <c r="M13" s="113" t="n">
        <v>72.89</v>
      </c>
      <c r="N13" t="n">
        <v>3</v>
      </c>
      <c r="O13" t="n">
        <v>790101</v>
      </c>
    </row>
    <row r="14" ht="13.5" customHeight="1" s="186">
      <c r="B14" s="97" t="inlineStr">
        <is>
          <t>AC</t>
        </is>
      </c>
      <c r="C14" s="97" t="n">
        <v>2015</v>
      </c>
      <c r="D14" s="98" t="n">
        <v>14.44</v>
      </c>
      <c r="E14" s="99" t="n">
        <v>0</v>
      </c>
      <c r="F14" s="100" t="n">
        <v>4.7536</v>
      </c>
      <c r="G14" s="101" t="n"/>
      <c r="H14" s="77" t="n">
        <v>16954</v>
      </c>
      <c r="I14" s="102" t="n">
        <v>9.738300000000001</v>
      </c>
      <c r="J14" s="85" t="n">
        <v>8.6</v>
      </c>
      <c r="K14" s="103" t="n">
        <v>0</v>
      </c>
      <c r="L14" s="103" t="n">
        <v>0</v>
      </c>
      <c r="M14" s="104" t="n">
        <v>72.89</v>
      </c>
      <c r="N14" t="n">
        <v>3</v>
      </c>
      <c r="O14" t="n">
        <v>803513</v>
      </c>
    </row>
    <row r="15" ht="13.5" customHeight="1" s="186">
      <c r="B15" s="105" t="inlineStr">
        <is>
          <t>AC</t>
        </is>
      </c>
      <c r="C15" s="105" t="n">
        <v>2016</v>
      </c>
      <c r="D15" s="106" t="n">
        <v>27.55</v>
      </c>
      <c r="E15" s="107" t="n">
        <v>1.22</v>
      </c>
      <c r="F15" s="108" t="n">
        <v>5.4161</v>
      </c>
      <c r="G15" s="109" t="n">
        <v>2.3026</v>
      </c>
      <c r="H15" s="110" t="n">
        <v>16842</v>
      </c>
      <c r="I15" s="111" t="n">
        <v>9.7316</v>
      </c>
      <c r="J15" s="89" t="n">
        <v>10.9</v>
      </c>
      <c r="K15" s="112" t="n">
        <v>0</v>
      </c>
      <c r="L15" s="112" t="n">
        <v>0</v>
      </c>
      <c r="M15" s="113" t="n">
        <v>72.89</v>
      </c>
      <c r="N15" t="n">
        <v>13</v>
      </c>
      <c r="O15" t="n">
        <v>816687</v>
      </c>
    </row>
    <row r="16" ht="13.5" customHeight="1" s="186">
      <c r="B16" s="97" t="inlineStr">
        <is>
          <t>AC</t>
        </is>
      </c>
      <c r="C16" s="97" t="n">
        <v>2017</v>
      </c>
      <c r="D16" s="98" t="n">
        <v>45.92</v>
      </c>
      <c r="E16" s="99" t="n">
        <v>2.77</v>
      </c>
      <c r="F16" s="100" t="n">
        <v>5.9428</v>
      </c>
      <c r="G16" s="101" t="n">
        <v>3.1355</v>
      </c>
      <c r="H16" s="77" t="n">
        <v>17204</v>
      </c>
      <c r="I16" s="102" t="n">
        <v>9.7529</v>
      </c>
      <c r="J16" s="86" t="n">
        <v>14.2</v>
      </c>
      <c r="K16" s="103" t="n">
        <v>0</v>
      </c>
      <c r="L16" s="114" t="n">
        <v>0</v>
      </c>
      <c r="M16" s="104" t="n">
        <v>72.89</v>
      </c>
      <c r="N16" t="n">
        <v>36</v>
      </c>
      <c r="O16" t="n">
        <v>829619</v>
      </c>
    </row>
    <row r="17" ht="13.5" customHeight="1" s="186">
      <c r="B17" s="105" t="inlineStr">
        <is>
          <t>AC</t>
        </is>
      </c>
      <c r="C17" s="105" t="n">
        <v>2018</v>
      </c>
      <c r="D17" s="106" t="n">
        <v>35.55</v>
      </c>
      <c r="E17" s="107" t="n">
        <v>7.59</v>
      </c>
      <c r="F17" s="108" t="n">
        <v>5.7333</v>
      </c>
      <c r="G17" s="109" t="n">
        <v>4.1897</v>
      </c>
      <c r="H17" s="110" t="n">
        <v>17637</v>
      </c>
      <c r="I17" s="111" t="n">
        <v>9.777799999999999</v>
      </c>
      <c r="J17" s="86" t="n">
        <v>13.7</v>
      </c>
      <c r="K17" s="112" t="n">
        <v>0</v>
      </c>
      <c r="L17" s="114" t="n">
        <v>0</v>
      </c>
      <c r="M17" s="113" t="n">
        <v>72.89</v>
      </c>
      <c r="N17" t="n">
        <v>102</v>
      </c>
      <c r="O17" t="n">
        <v>869265</v>
      </c>
    </row>
    <row r="18" ht="13.5" customHeight="1" s="186">
      <c r="B18" s="97" t="inlineStr">
        <is>
          <t>AC</t>
        </is>
      </c>
      <c r="C18" s="97" t="n">
        <v>2019</v>
      </c>
      <c r="D18" s="98" t="n">
        <v>24.95</v>
      </c>
      <c r="E18" s="99" t="n">
        <v>18.03</v>
      </c>
      <c r="F18" s="100" t="n">
        <v>5.3936</v>
      </c>
      <c r="G18" s="101" t="n">
        <v>5.0689</v>
      </c>
      <c r="H18" s="77" t="n">
        <v>17722</v>
      </c>
      <c r="I18" s="102" t="n">
        <v>9.7826</v>
      </c>
      <c r="J18" s="85" t="n">
        <v>14.7</v>
      </c>
      <c r="K18" s="103" t="n">
        <v>0</v>
      </c>
      <c r="L18" s="103" t="n">
        <v>0</v>
      </c>
      <c r="M18" s="104" t="n">
        <v>72.89</v>
      </c>
      <c r="N18" t="n">
        <v>261</v>
      </c>
      <c r="O18" t="n">
        <v>881935</v>
      </c>
    </row>
    <row r="19" ht="13.5" customHeight="1" s="186">
      <c r="B19" s="105" t="inlineStr">
        <is>
          <t>AC</t>
        </is>
      </c>
      <c r="C19" s="105" t="n">
        <v>2020</v>
      </c>
      <c r="D19" s="106" t="n">
        <v>25.15</v>
      </c>
      <c r="E19" s="107" t="n">
        <v>37.68</v>
      </c>
      <c r="F19" s="108" t="n">
        <v>5.4161</v>
      </c>
      <c r="G19" s="109" t="n">
        <v>5.8201</v>
      </c>
      <c r="H19" s="110" t="n">
        <v>18420</v>
      </c>
      <c r="I19" s="111" t="n">
        <v>9.821199999999999</v>
      </c>
      <c r="J19" s="89" t="n">
        <v>15.2</v>
      </c>
      <c r="K19" s="115" t="n">
        <v>0</v>
      </c>
      <c r="L19" s="112" t="n">
        <v>1</v>
      </c>
      <c r="M19" s="113" t="n">
        <v>72.89</v>
      </c>
      <c r="N19" t="n">
        <v>598</v>
      </c>
      <c r="O19" t="n">
        <v>894470</v>
      </c>
    </row>
    <row r="20" ht="13.5" customHeight="1" s="186">
      <c r="B20" s="97" t="inlineStr">
        <is>
          <t>AC</t>
        </is>
      </c>
      <c r="C20" s="97" t="n">
        <v>2021</v>
      </c>
      <c r="D20" s="98" t="n">
        <v>13.01</v>
      </c>
      <c r="E20" s="99" t="n">
        <v>59.99</v>
      </c>
      <c r="F20" s="100" t="n">
        <v>4.7707</v>
      </c>
      <c r="G20" s="101" t="n">
        <v>6.2989</v>
      </c>
      <c r="H20" s="77" t="n">
        <v>23569</v>
      </c>
      <c r="I20" s="102" t="n">
        <v>10.0677</v>
      </c>
      <c r="J20" s="85" t="n">
        <v>15.3</v>
      </c>
      <c r="K20" s="103" t="n">
        <v>0</v>
      </c>
      <c r="L20" s="103" t="n">
        <v>1</v>
      </c>
      <c r="M20" s="104" t="n">
        <v>72.89</v>
      </c>
      <c r="N20" t="n">
        <v>1142</v>
      </c>
      <c r="O20" t="n">
        <v>906876</v>
      </c>
    </row>
    <row r="21" ht="13.5" customHeight="1" s="186">
      <c r="B21" s="105" t="inlineStr">
        <is>
          <t>AC</t>
        </is>
      </c>
      <c r="C21" s="105" t="n">
        <v>2022</v>
      </c>
      <c r="D21" s="106" t="n">
        <v>17.23</v>
      </c>
      <c r="E21" s="107" t="n">
        <v>72.89</v>
      </c>
      <c r="F21" s="108" t="n">
        <v>4.9628</v>
      </c>
      <c r="G21" s="109" t="n">
        <v>6.4052</v>
      </c>
      <c r="H21" s="110" t="n">
        <v>28525</v>
      </c>
      <c r="I21" s="111" t="n">
        <v>10.2585</v>
      </c>
      <c r="J21" s="89" t="n">
        <v>11.6</v>
      </c>
      <c r="K21" s="112" t="n">
        <v>0</v>
      </c>
      <c r="L21" s="112" t="n">
        <v>0</v>
      </c>
      <c r="M21" s="113" t="n">
        <v>72.89</v>
      </c>
      <c r="N21" t="n">
        <v>1747</v>
      </c>
      <c r="O21" t="n">
        <v>830018</v>
      </c>
    </row>
    <row r="22" ht="13.5" customHeight="1" s="186">
      <c r="B22" s="97" t="inlineStr">
        <is>
          <t>AC</t>
        </is>
      </c>
      <c r="C22" s="97" t="n">
        <v>2023</v>
      </c>
      <c r="D22" s="98" t="n">
        <v>15.66</v>
      </c>
      <c r="E22" s="99" t="n">
        <v>0.12</v>
      </c>
      <c r="F22" s="100" t="n">
        <v>4.8675</v>
      </c>
      <c r="G22" s="101" t="n">
        <v>0</v>
      </c>
      <c r="H22" s="77" t="n">
        <v>31676</v>
      </c>
      <c r="I22" s="102" t="n">
        <v>10.3633</v>
      </c>
      <c r="J22" s="85" t="n">
        <v>7.9</v>
      </c>
      <c r="K22" s="103" t="n">
        <v>1</v>
      </c>
      <c r="L22" s="103" t="n">
        <v>0</v>
      </c>
      <c r="M22" s="104" t="n">
        <v>72.89</v>
      </c>
      <c r="N22" t="n">
        <v>1748</v>
      </c>
      <c r="O22" t="n">
        <v>830018</v>
      </c>
    </row>
    <row r="23" ht="13.5" customHeight="1" s="186">
      <c r="B23" s="105" t="inlineStr">
        <is>
          <t>AC</t>
        </is>
      </c>
      <c r="C23" s="105" t="n">
        <v>2024</v>
      </c>
      <c r="D23" s="106" t="n">
        <v>11.13</v>
      </c>
      <c r="E23" s="107" t="n">
        <v>4.43</v>
      </c>
      <c r="F23" s="108" t="n">
        <v>4.585</v>
      </c>
      <c r="G23" s="109" t="n">
        <v>3.6636</v>
      </c>
      <c r="H23" s="110" t="n">
        <v>32220</v>
      </c>
      <c r="I23" s="111" t="n">
        <v>10.3803</v>
      </c>
      <c r="J23" s="89" t="n">
        <v>7.9</v>
      </c>
      <c r="K23" s="112" t="n">
        <v>1</v>
      </c>
      <c r="L23" s="112" t="n">
        <v>0</v>
      </c>
      <c r="M23" s="113" t="n">
        <v>72.89</v>
      </c>
      <c r="N23" t="n">
        <v>1787</v>
      </c>
      <c r="O23" t="n">
        <v>880631</v>
      </c>
    </row>
    <row r="24" ht="13.5" customHeight="1" s="186">
      <c r="B24" s="97" t="inlineStr">
        <is>
          <t>AL</t>
        </is>
      </c>
      <c r="C24" s="97" t="n">
        <v>2005</v>
      </c>
      <c r="D24" s="98" t="n">
        <v>30.31</v>
      </c>
      <c r="E24" s="99" t="n">
        <v>0.07000000000000001</v>
      </c>
      <c r="F24" s="100" t="n">
        <v>6.8178</v>
      </c>
      <c r="G24" s="101" t="n">
        <v>0.6931</v>
      </c>
      <c r="H24" s="77" t="n">
        <v>4688</v>
      </c>
      <c r="I24" s="102" t="n">
        <v>8.4528</v>
      </c>
      <c r="J24" s="86" t="n">
        <v>9.779999999999999</v>
      </c>
      <c r="K24" s="103" t="n">
        <v>0</v>
      </c>
      <c r="L24" s="114" t="n">
        <v>0</v>
      </c>
      <c r="M24" s="104" t="n">
        <v>111.5203</v>
      </c>
      <c r="N24" t="n">
        <v>2</v>
      </c>
      <c r="O24" t="n">
        <v>3015912</v>
      </c>
    </row>
    <row r="25" ht="13.5" customHeight="1" s="186">
      <c r="B25" s="105" t="inlineStr">
        <is>
          <t>AL</t>
        </is>
      </c>
      <c r="C25" s="105" t="n">
        <v>2006</v>
      </c>
      <c r="D25" s="106" t="n">
        <v>42.74</v>
      </c>
      <c r="E25" s="107" t="n">
        <v>0</v>
      </c>
      <c r="F25" s="108" t="n">
        <v>7.1732</v>
      </c>
      <c r="G25" s="109" t="n"/>
      <c r="H25" s="110" t="n">
        <v>5162</v>
      </c>
      <c r="I25" s="111" t="n">
        <v>8.549099999999999</v>
      </c>
      <c r="J25" s="86" t="n">
        <v>10.64</v>
      </c>
      <c r="K25" s="112" t="n">
        <v>0</v>
      </c>
      <c r="L25" s="114" t="n">
        <v>0</v>
      </c>
      <c r="M25" s="113" t="n">
        <v>111.5203</v>
      </c>
      <c r="N25" t="n">
        <v>2</v>
      </c>
      <c r="O25" t="n">
        <v>3050652</v>
      </c>
    </row>
    <row r="26" ht="13.5" customHeight="1" s="186">
      <c r="B26" s="97" t="inlineStr">
        <is>
          <t>AL</t>
        </is>
      </c>
      <c r="C26" s="97" t="n">
        <v>2007</v>
      </c>
      <c r="D26" s="98" t="n">
        <v>51.2</v>
      </c>
      <c r="E26" s="99" t="n">
        <v>0</v>
      </c>
      <c r="F26" s="100" t="n">
        <v>7.3492</v>
      </c>
      <c r="G26" s="101" t="n"/>
      <c r="H26" s="77" t="n">
        <v>5858</v>
      </c>
      <c r="I26" s="102" t="n">
        <v>8.675599999999999</v>
      </c>
      <c r="J26" s="85" t="n">
        <v>8.359999999999999</v>
      </c>
      <c r="K26" s="103" t="n">
        <v>0</v>
      </c>
      <c r="L26" s="103" t="n">
        <v>0</v>
      </c>
      <c r="M26" s="104" t="n">
        <v>111.5203</v>
      </c>
      <c r="N26" t="n">
        <v>2</v>
      </c>
      <c r="O26" t="n">
        <v>3037231</v>
      </c>
    </row>
    <row r="27" ht="13.5" customHeight="1" s="186">
      <c r="B27" s="105" t="inlineStr">
        <is>
          <t>AL</t>
        </is>
      </c>
      <c r="C27" s="105" t="n">
        <v>2008</v>
      </c>
      <c r="D27" s="106" t="n">
        <v>51.16</v>
      </c>
      <c r="E27" s="107" t="n">
        <v>0.06</v>
      </c>
      <c r="F27" s="108" t="n">
        <v>7.3778</v>
      </c>
      <c r="G27" s="109" t="n">
        <v>0.6931</v>
      </c>
      <c r="H27" s="110" t="n">
        <v>6228</v>
      </c>
      <c r="I27" s="111" t="n">
        <v>8.736800000000001</v>
      </c>
      <c r="J27" s="89" t="n">
        <v>8.01</v>
      </c>
      <c r="K27" s="115" t="n">
        <v>0</v>
      </c>
      <c r="L27" s="112" t="n">
        <v>0</v>
      </c>
      <c r="M27" s="113" t="n">
        <v>111.5203</v>
      </c>
      <c r="N27" t="n">
        <v>4</v>
      </c>
      <c r="O27" t="n">
        <v>3127560</v>
      </c>
    </row>
    <row r="28" ht="13.5" customHeight="1" s="186">
      <c r="B28" s="97" t="inlineStr">
        <is>
          <t>AL</t>
        </is>
      </c>
      <c r="C28" s="97" t="n">
        <v>2009</v>
      </c>
      <c r="D28" s="98" t="n">
        <v>49.71</v>
      </c>
      <c r="E28" s="99" t="n">
        <v>0.1</v>
      </c>
      <c r="F28" s="100" t="n">
        <v>7.3582</v>
      </c>
      <c r="G28" s="101" t="n">
        <v>1.0986</v>
      </c>
      <c r="H28" s="77" t="n">
        <v>6728</v>
      </c>
      <c r="I28" s="102" t="n">
        <v>8.814</v>
      </c>
      <c r="J28" s="85" t="n">
        <v>12.13</v>
      </c>
      <c r="K28" s="103" t="n">
        <v>0</v>
      </c>
      <c r="L28" s="103" t="n">
        <v>0</v>
      </c>
      <c r="M28" s="104" t="n">
        <v>111.5203</v>
      </c>
      <c r="N28" t="n">
        <v>7</v>
      </c>
      <c r="O28" t="n">
        <v>3156108</v>
      </c>
    </row>
    <row r="29" ht="13.5" customHeight="1" s="186">
      <c r="B29" s="105" t="inlineStr">
        <is>
          <t>AL</t>
        </is>
      </c>
      <c r="C29" s="105" t="n">
        <v>2010</v>
      </c>
      <c r="D29" s="106" t="n">
        <v>55.15</v>
      </c>
      <c r="E29" s="107" t="n">
        <v>0.26</v>
      </c>
      <c r="F29" s="108" t="n">
        <v>7.4507</v>
      </c>
      <c r="G29" s="109" t="n">
        <v>2.0794</v>
      </c>
      <c r="H29" s="110" t="n">
        <v>8695</v>
      </c>
      <c r="I29" s="111" t="n">
        <v>9.070499999999999</v>
      </c>
      <c r="J29" s="89" t="n">
        <v>11.27</v>
      </c>
      <c r="K29" s="112" t="n">
        <v>0</v>
      </c>
      <c r="L29" s="112" t="n">
        <v>0</v>
      </c>
      <c r="M29" s="113" t="n">
        <v>111.5203</v>
      </c>
      <c r="N29" t="n">
        <v>15</v>
      </c>
      <c r="O29" t="n">
        <v>3120494</v>
      </c>
    </row>
    <row r="30" ht="13.5" customHeight="1" s="186">
      <c r="B30" s="97" t="inlineStr">
        <is>
          <t>AL</t>
        </is>
      </c>
      <c r="C30" s="97" t="n">
        <v>2011</v>
      </c>
      <c r="D30" s="98" t="n">
        <v>61.62</v>
      </c>
      <c r="E30" s="99" t="n">
        <v>0.35</v>
      </c>
      <c r="F30" s="100" t="n">
        <v>7.5689</v>
      </c>
      <c r="G30" s="101" t="n">
        <v>2.3979</v>
      </c>
      <c r="H30" s="77" t="n">
        <v>10071</v>
      </c>
      <c r="I30" s="102" t="n">
        <v>9.2174</v>
      </c>
      <c r="J30" s="85" t="n">
        <v>10.41</v>
      </c>
      <c r="K30" s="103" t="n">
        <v>0</v>
      </c>
      <c r="L30" s="103" t="n">
        <v>0</v>
      </c>
      <c r="M30" s="104" t="n">
        <v>111.5203</v>
      </c>
      <c r="N30" t="n">
        <v>26</v>
      </c>
      <c r="O30" t="n">
        <v>3143384</v>
      </c>
    </row>
    <row r="31" ht="13.5" customHeight="1" s="186">
      <c r="B31" s="105" t="inlineStr">
        <is>
          <t>AL</t>
        </is>
      </c>
      <c r="C31" s="105" t="n">
        <v>2012</v>
      </c>
      <c r="D31" s="106" t="n">
        <v>54.87</v>
      </c>
      <c r="E31" s="107" t="n">
        <v>0.47</v>
      </c>
      <c r="F31" s="108" t="n">
        <v>7.4599</v>
      </c>
      <c r="G31" s="109" t="n">
        <v>2.7081</v>
      </c>
      <c r="H31" s="110" t="n">
        <v>10946</v>
      </c>
      <c r="I31" s="111" t="n">
        <v>9.300700000000001</v>
      </c>
      <c r="J31" s="89" t="n">
        <v>12.24</v>
      </c>
      <c r="K31" s="112" t="n">
        <v>0</v>
      </c>
      <c r="L31" s="112" t="n">
        <v>0</v>
      </c>
      <c r="M31" s="113" t="n">
        <v>111.5203</v>
      </c>
      <c r="N31" t="n">
        <v>41</v>
      </c>
      <c r="O31" t="n">
        <v>3165472</v>
      </c>
    </row>
    <row r="32" ht="13.5" customHeight="1" s="186">
      <c r="B32" s="97" t="inlineStr">
        <is>
          <t>AL</t>
        </is>
      </c>
      <c r="C32" s="97" t="n">
        <v>2013</v>
      </c>
      <c r="D32" s="98" t="n">
        <v>56.71</v>
      </c>
      <c r="E32" s="99" t="n">
        <v>0.27</v>
      </c>
      <c r="F32" s="100" t="n">
        <v>7.5348</v>
      </c>
      <c r="G32" s="101" t="n">
        <v>2.1972</v>
      </c>
      <c r="H32" s="77" t="n">
        <v>11295</v>
      </c>
      <c r="I32" s="102" t="n">
        <v>9.332100000000001</v>
      </c>
      <c r="J32" s="86" t="n">
        <v>13.19</v>
      </c>
      <c r="K32" s="103" t="n">
        <v>0</v>
      </c>
      <c r="L32" s="114" t="n">
        <v>0</v>
      </c>
      <c r="M32" s="104" t="n">
        <v>111.5203</v>
      </c>
      <c r="N32" t="n">
        <v>50</v>
      </c>
      <c r="O32" t="n">
        <v>3300935</v>
      </c>
    </row>
    <row r="33" ht="13.5" customHeight="1" s="186">
      <c r="B33" s="105" t="inlineStr">
        <is>
          <t>AL</t>
        </is>
      </c>
      <c r="C33" s="105" t="n">
        <v>2014</v>
      </c>
      <c r="D33" s="106" t="n">
        <v>54.82</v>
      </c>
      <c r="E33" s="107" t="n">
        <v>0.18</v>
      </c>
      <c r="F33" s="108" t="n">
        <v>7.5071</v>
      </c>
      <c r="G33" s="109" t="n">
        <v>1.7918</v>
      </c>
      <c r="H33" s="110" t="n">
        <v>12335</v>
      </c>
      <c r="I33" s="111" t="n">
        <v>9.420199999999999</v>
      </c>
      <c r="J33" s="86" t="n">
        <v>13.13</v>
      </c>
      <c r="K33" s="112" t="n">
        <v>0</v>
      </c>
      <c r="L33" s="114" t="n">
        <v>0</v>
      </c>
      <c r="M33" s="113" t="n">
        <v>111.5203</v>
      </c>
      <c r="N33" t="n">
        <v>56</v>
      </c>
      <c r="O33" t="n">
        <v>3321730</v>
      </c>
    </row>
    <row r="34" ht="13.5" customHeight="1" s="186">
      <c r="B34" s="97" t="inlineStr">
        <is>
          <t>AL</t>
        </is>
      </c>
      <c r="C34" s="97" t="n">
        <v>2015</v>
      </c>
      <c r="D34" s="98" t="n">
        <v>44.36</v>
      </c>
      <c r="E34" s="99" t="n">
        <v>0.03</v>
      </c>
      <c r="F34" s="100" t="n">
        <v>7.3011</v>
      </c>
      <c r="G34" s="101" t="n">
        <v>0</v>
      </c>
      <c r="H34" s="77" t="n">
        <v>13879</v>
      </c>
      <c r="I34" s="102" t="n">
        <v>9.5381</v>
      </c>
      <c r="J34" s="85" t="n">
        <v>11.3</v>
      </c>
      <c r="K34" s="103" t="n">
        <v>0</v>
      </c>
      <c r="L34" s="103" t="n">
        <v>0</v>
      </c>
      <c r="M34" s="104" t="n">
        <v>111.5203</v>
      </c>
      <c r="N34" t="n">
        <v>57</v>
      </c>
      <c r="O34" t="n">
        <v>3340932</v>
      </c>
    </row>
    <row r="35" ht="13.5" customHeight="1" s="186">
      <c r="B35" s="105" t="inlineStr">
        <is>
          <t>AL</t>
        </is>
      </c>
      <c r="C35" s="105" t="n">
        <v>2016</v>
      </c>
      <c r="D35" s="106" t="n">
        <v>46.03</v>
      </c>
      <c r="E35" s="107" t="n">
        <v>0.8</v>
      </c>
      <c r="F35" s="108" t="n">
        <v>7.3434</v>
      </c>
      <c r="G35" s="109" t="n">
        <v>3.2958</v>
      </c>
      <c r="H35" s="110" t="n">
        <v>14727</v>
      </c>
      <c r="I35" s="111" t="n">
        <v>9.5974</v>
      </c>
      <c r="J35" s="89" t="n">
        <v>14.2</v>
      </c>
      <c r="K35" s="115" t="n">
        <v>0</v>
      </c>
      <c r="L35" s="112" t="n">
        <v>0</v>
      </c>
      <c r="M35" s="113" t="n">
        <v>111.5203</v>
      </c>
      <c r="N35" t="n">
        <v>84</v>
      </c>
      <c r="O35" t="n">
        <v>3358963</v>
      </c>
    </row>
    <row r="36" ht="13.5" customHeight="1" s="186">
      <c r="B36" s="97" t="inlineStr">
        <is>
          <t>AL</t>
        </is>
      </c>
      <c r="C36" s="97" t="n">
        <v>2017</v>
      </c>
      <c r="D36" s="98" t="n">
        <v>45.56</v>
      </c>
      <c r="E36" s="99" t="n">
        <v>2.28</v>
      </c>
      <c r="F36" s="100" t="n">
        <v>7.3382</v>
      </c>
      <c r="G36" s="101" t="n">
        <v>4.3438</v>
      </c>
      <c r="H36" s="77" t="n">
        <v>15656</v>
      </c>
      <c r="I36" s="102" t="n">
        <v>9.6586</v>
      </c>
      <c r="J36" s="85" t="n">
        <v>16.9</v>
      </c>
      <c r="K36" s="103" t="n">
        <v>0</v>
      </c>
      <c r="L36" s="103" t="n">
        <v>0</v>
      </c>
      <c r="M36" s="104" t="n">
        <v>111.5203</v>
      </c>
      <c r="N36" t="n">
        <v>161</v>
      </c>
      <c r="O36" t="n">
        <v>3375823</v>
      </c>
    </row>
    <row r="37" ht="13.5" customHeight="1" s="186">
      <c r="B37" s="105" t="inlineStr">
        <is>
          <t>AL</t>
        </is>
      </c>
      <c r="C37" s="105" t="n">
        <v>2018</v>
      </c>
      <c r="D37" s="106" t="n">
        <v>36.08</v>
      </c>
      <c r="E37" s="107" t="n">
        <v>3.64</v>
      </c>
      <c r="F37" s="108" t="n">
        <v>7.0892</v>
      </c>
      <c r="G37" s="109" t="n">
        <v>4.7958</v>
      </c>
      <c r="H37" s="110" t="n">
        <v>16376</v>
      </c>
      <c r="I37" s="111" t="n">
        <v>9.7036</v>
      </c>
      <c r="J37" s="89" t="n">
        <v>17.3</v>
      </c>
      <c r="K37" s="112" t="n">
        <v>0</v>
      </c>
      <c r="L37" s="112" t="n">
        <v>0</v>
      </c>
      <c r="M37" s="113" t="n">
        <v>111.5203</v>
      </c>
      <c r="N37" t="n">
        <v>282</v>
      </c>
      <c r="O37" t="n">
        <v>3322820</v>
      </c>
    </row>
    <row r="38" ht="13.5" customHeight="1" s="186">
      <c r="B38" s="97" t="inlineStr">
        <is>
          <t>AL</t>
        </is>
      </c>
      <c r="C38" s="97" t="n">
        <v>2019</v>
      </c>
      <c r="D38" s="98" t="n">
        <v>25.68</v>
      </c>
      <c r="E38" s="99" t="n">
        <v>21.63</v>
      </c>
      <c r="F38" s="100" t="n">
        <v>6.7534</v>
      </c>
      <c r="G38" s="101" t="n">
        <v>6.582</v>
      </c>
      <c r="H38" s="77" t="n">
        <v>17668</v>
      </c>
      <c r="I38" s="102" t="n">
        <v>9.779500000000001</v>
      </c>
      <c r="J38" s="85" t="n">
        <v>15.1</v>
      </c>
      <c r="K38" s="103" t="n">
        <v>0</v>
      </c>
      <c r="L38" s="103" t="n">
        <v>0</v>
      </c>
      <c r="M38" s="104" t="n">
        <v>111.5203</v>
      </c>
      <c r="N38" t="n">
        <v>1004</v>
      </c>
      <c r="O38" t="n">
        <v>3337357</v>
      </c>
    </row>
    <row r="39" ht="13.5" customHeight="1" s="186">
      <c r="B39" s="105" t="inlineStr">
        <is>
          <t>AL</t>
        </is>
      </c>
      <c r="C39" s="105" t="n">
        <v>2020</v>
      </c>
      <c r="D39" s="106" t="n">
        <v>25.78</v>
      </c>
      <c r="E39" s="107" t="n">
        <v>37.62</v>
      </c>
      <c r="F39" s="108" t="n">
        <v>6.7616</v>
      </c>
      <c r="G39" s="109" t="n">
        <v>7.1397</v>
      </c>
      <c r="H39" s="110" t="n">
        <v>18858</v>
      </c>
      <c r="I39" s="111" t="n">
        <v>9.8447</v>
      </c>
      <c r="J39" s="89" t="n">
        <v>19.1</v>
      </c>
      <c r="K39" s="112" t="n">
        <v>0</v>
      </c>
      <c r="L39" s="112" t="n">
        <v>1</v>
      </c>
      <c r="M39" s="113" t="n">
        <v>111.5203</v>
      </c>
      <c r="N39" t="n">
        <v>2265</v>
      </c>
      <c r="O39" t="n">
        <v>3351543</v>
      </c>
    </row>
    <row r="40" ht="13.5" customHeight="1" s="186">
      <c r="B40" s="97" t="inlineStr">
        <is>
          <t>AL</t>
        </is>
      </c>
      <c r="C40" s="97" t="n">
        <v>2021</v>
      </c>
      <c r="D40" s="98" t="n">
        <v>21.78</v>
      </c>
      <c r="E40" s="99" t="n">
        <v>76.87</v>
      </c>
      <c r="F40" s="100" t="n">
        <v>6.5971</v>
      </c>
      <c r="G40" s="101" t="n">
        <v>7.8583</v>
      </c>
      <c r="H40" s="77" t="n">
        <v>22662</v>
      </c>
      <c r="I40" s="102" t="n">
        <v>10.0284</v>
      </c>
      <c r="J40" s="86" t="n">
        <v>17.8</v>
      </c>
      <c r="K40" s="103" t="n">
        <v>0</v>
      </c>
      <c r="L40" s="114" t="n">
        <v>1</v>
      </c>
      <c r="M40" s="104" t="n">
        <v>111.5203</v>
      </c>
      <c r="N40" t="n">
        <v>4852</v>
      </c>
      <c r="O40" t="n">
        <v>3365351</v>
      </c>
    </row>
    <row r="41" ht="13.5" customHeight="1" s="186">
      <c r="B41" s="105" t="inlineStr">
        <is>
          <t>AL</t>
        </is>
      </c>
      <c r="C41" s="105" t="n">
        <v>2022</v>
      </c>
      <c r="D41" s="106" t="n">
        <v>26.47</v>
      </c>
      <c r="E41" s="107" t="n">
        <v>111.52</v>
      </c>
      <c r="F41" s="108" t="n">
        <v>6.719</v>
      </c>
      <c r="G41" s="109" t="n">
        <v>8.1571</v>
      </c>
      <c r="H41" s="110" t="n">
        <v>24320</v>
      </c>
      <c r="I41" s="111" t="n">
        <v>10.0991</v>
      </c>
      <c r="J41" s="86" t="n">
        <v>11.2</v>
      </c>
      <c r="K41" s="112" t="n">
        <v>0</v>
      </c>
      <c r="L41" s="114" t="n">
        <v>0</v>
      </c>
      <c r="M41" s="113" t="n">
        <v>111.5203</v>
      </c>
      <c r="N41" t="n">
        <v>8340</v>
      </c>
      <c r="O41" t="n">
        <v>3127683</v>
      </c>
    </row>
    <row r="42" ht="13.5" customHeight="1" s="186">
      <c r="B42" s="97" t="inlineStr">
        <is>
          <t>AL</t>
        </is>
      </c>
      <c r="C42" s="97" t="n">
        <v>2023</v>
      </c>
      <c r="D42" s="98" t="n">
        <v>28.46</v>
      </c>
      <c r="E42" s="99" t="n">
        <v>0.13</v>
      </c>
      <c r="F42" s="100" t="n">
        <v>6.7912</v>
      </c>
      <c r="G42" s="101" t="n">
        <v>1.3863</v>
      </c>
      <c r="H42" s="77" t="n">
        <v>28676</v>
      </c>
      <c r="I42" s="102" t="n">
        <v>10.2638</v>
      </c>
      <c r="J42" s="85" t="n">
        <v>9.6</v>
      </c>
      <c r="K42" s="103" t="n">
        <v>1</v>
      </c>
      <c r="L42" s="103" t="n">
        <v>0</v>
      </c>
      <c r="M42" s="104" t="n">
        <v>111.5203</v>
      </c>
      <c r="N42" t="n">
        <v>8344</v>
      </c>
      <c r="O42" t="n">
        <v>3127683</v>
      </c>
    </row>
    <row r="43" ht="13.5" customHeight="1" s="186">
      <c r="B43" s="105" t="inlineStr">
        <is>
          <t>AL</t>
        </is>
      </c>
      <c r="C43" s="105" t="n">
        <v>2024</v>
      </c>
      <c r="D43" s="106" t="n">
        <v>27.61</v>
      </c>
      <c r="E43" s="107" t="n">
        <v>16.52</v>
      </c>
      <c r="F43" s="108" t="n">
        <v>6.7901</v>
      </c>
      <c r="G43" s="109" t="n">
        <v>6.2766</v>
      </c>
      <c r="H43" s="110" t="n">
        <v>30268</v>
      </c>
      <c r="I43" s="111" t="n">
        <v>10.3178</v>
      </c>
      <c r="J43" s="89" t="n">
        <v>8.6</v>
      </c>
      <c r="K43" s="115" t="n">
        <v>1</v>
      </c>
      <c r="L43" s="112" t="n">
        <v>0</v>
      </c>
      <c r="M43" s="113" t="n">
        <v>111.5203</v>
      </c>
      <c r="N43" t="n">
        <v>8876</v>
      </c>
      <c r="O43" t="n">
        <v>3220104</v>
      </c>
    </row>
    <row r="44" ht="13.5" customHeight="1" s="186">
      <c r="B44" s="97" t="inlineStr">
        <is>
          <t>AM</t>
        </is>
      </c>
      <c r="C44" s="97" t="n">
        <v>2005</v>
      </c>
      <c r="D44" s="98" t="n">
        <v>8.17</v>
      </c>
      <c r="E44" s="99" t="n">
        <v>0.34</v>
      </c>
      <c r="F44" s="100" t="n">
        <v>5.5759</v>
      </c>
      <c r="G44" s="101" t="n">
        <v>2.3979</v>
      </c>
      <c r="H44" s="77" t="n">
        <v>10318</v>
      </c>
      <c r="I44" s="102" t="n">
        <v>9.2416</v>
      </c>
      <c r="J44" s="85" t="n">
        <v>12.83</v>
      </c>
      <c r="K44" s="103" t="n">
        <v>0</v>
      </c>
      <c r="L44" s="103" t="n">
        <v>0</v>
      </c>
      <c r="M44" s="104" t="n">
        <v>101.6081</v>
      </c>
      <c r="N44" t="n">
        <v>11</v>
      </c>
      <c r="O44" t="n">
        <v>3232330</v>
      </c>
    </row>
    <row r="45" ht="13.5" customHeight="1" s="186">
      <c r="B45" s="105" t="inlineStr">
        <is>
          <t>AM</t>
        </is>
      </c>
      <c r="C45" s="105" t="n">
        <v>2006</v>
      </c>
      <c r="D45" s="106" t="n">
        <v>11.39</v>
      </c>
      <c r="E45" s="107" t="n">
        <v>0.18</v>
      </c>
      <c r="F45" s="108" t="n">
        <v>5.9322</v>
      </c>
      <c r="G45" s="109" t="n">
        <v>1.7918</v>
      </c>
      <c r="H45" s="110" t="n">
        <v>11826</v>
      </c>
      <c r="I45" s="111" t="n">
        <v>9.3781</v>
      </c>
      <c r="J45" s="89" t="n">
        <v>9.43</v>
      </c>
      <c r="K45" s="112" t="n">
        <v>0</v>
      </c>
      <c r="L45" s="112" t="n">
        <v>0</v>
      </c>
      <c r="M45" s="113" t="n">
        <v>101.6081</v>
      </c>
      <c r="N45" t="n">
        <v>17</v>
      </c>
      <c r="O45" t="n">
        <v>3311026</v>
      </c>
    </row>
    <row r="46" ht="13.5" customHeight="1" s="186">
      <c r="B46" s="97" t="inlineStr">
        <is>
          <t>AM</t>
        </is>
      </c>
      <c r="C46" s="97" t="n">
        <v>2007</v>
      </c>
      <c r="D46" s="98" t="n">
        <v>12.82</v>
      </c>
      <c r="E46" s="99" t="n">
        <v>0.43</v>
      </c>
      <c r="F46" s="100" t="n">
        <v>6.0234</v>
      </c>
      <c r="G46" s="101" t="n">
        <v>2.6391</v>
      </c>
      <c r="H46" s="77" t="n">
        <v>13043</v>
      </c>
      <c r="I46" s="102" t="n">
        <v>9.476000000000001</v>
      </c>
      <c r="J46" s="85" t="n">
        <v>12.24</v>
      </c>
      <c r="K46" s="103" t="n">
        <v>0</v>
      </c>
      <c r="L46" s="103" t="n">
        <v>0</v>
      </c>
      <c r="M46" s="104" t="n">
        <v>101.6081</v>
      </c>
      <c r="N46" t="n">
        <v>31</v>
      </c>
      <c r="O46" t="n">
        <v>3221940</v>
      </c>
    </row>
    <row r="47" ht="13.5" customHeight="1" s="186">
      <c r="B47" s="105" t="inlineStr">
        <is>
          <t>AM</t>
        </is>
      </c>
      <c r="C47" s="105" t="n">
        <v>2008</v>
      </c>
      <c r="D47" s="106" t="n">
        <v>13.35</v>
      </c>
      <c r="E47" s="107" t="n">
        <v>0.27</v>
      </c>
      <c r="F47" s="108" t="n">
        <v>6.1003</v>
      </c>
      <c r="G47" s="109" t="n">
        <v>2.1972</v>
      </c>
      <c r="H47" s="110" t="n">
        <v>14014</v>
      </c>
      <c r="I47" s="111" t="n">
        <v>9.547800000000001</v>
      </c>
      <c r="J47" s="89" t="n">
        <v>10.01</v>
      </c>
      <c r="K47" s="112" t="n">
        <v>0</v>
      </c>
      <c r="L47" s="112" t="n">
        <v>0</v>
      </c>
      <c r="M47" s="113" t="n">
        <v>101.6081</v>
      </c>
      <c r="N47" t="n">
        <v>40</v>
      </c>
      <c r="O47" t="n">
        <v>3341094</v>
      </c>
    </row>
    <row r="48" ht="13.5" customHeight="1" s="186">
      <c r="B48" s="97" t="inlineStr">
        <is>
          <t>AM</t>
        </is>
      </c>
      <c r="C48" s="97" t="n">
        <v>2009</v>
      </c>
      <c r="D48" s="98" t="n">
        <v>16.83</v>
      </c>
      <c r="E48" s="99" t="n">
        <v>0.74</v>
      </c>
      <c r="F48" s="100" t="n">
        <v>6.3474</v>
      </c>
      <c r="G48" s="101" t="n">
        <v>3.2189</v>
      </c>
      <c r="H48" s="77" t="n">
        <v>14621</v>
      </c>
      <c r="I48" s="102" t="n">
        <v>9.590199999999999</v>
      </c>
      <c r="J48" s="86" t="n">
        <v>12.44</v>
      </c>
      <c r="K48" s="103" t="n">
        <v>0</v>
      </c>
      <c r="L48" s="114" t="n">
        <v>0</v>
      </c>
      <c r="M48" s="104" t="n">
        <v>101.6081</v>
      </c>
      <c r="N48" t="n">
        <v>65</v>
      </c>
      <c r="O48" t="n">
        <v>3393369</v>
      </c>
    </row>
    <row r="49" ht="13.5" customHeight="1" s="186">
      <c r="B49" s="105" t="inlineStr">
        <is>
          <t>AM</t>
        </is>
      </c>
      <c r="C49" s="105" t="n">
        <v>2010</v>
      </c>
      <c r="D49" s="106" t="n">
        <v>18.17</v>
      </c>
      <c r="E49" s="107" t="n">
        <v>0.46</v>
      </c>
      <c r="F49" s="108" t="n">
        <v>6.4505</v>
      </c>
      <c r="G49" s="109" t="n">
        <v>2.7726</v>
      </c>
      <c r="H49" s="110" t="n">
        <v>17473</v>
      </c>
      <c r="I49" s="111" t="n">
        <v>9.7684</v>
      </c>
      <c r="J49" s="86" t="n">
        <v>10.86</v>
      </c>
      <c r="K49" s="112" t="n">
        <v>0</v>
      </c>
      <c r="L49" s="114" t="n">
        <v>0</v>
      </c>
      <c r="M49" s="113" t="n">
        <v>101.6081</v>
      </c>
      <c r="N49" t="n">
        <v>81</v>
      </c>
      <c r="O49" t="n">
        <v>3483985</v>
      </c>
    </row>
    <row r="50" ht="13.5" customHeight="1" s="186">
      <c r="B50" s="97" t="inlineStr">
        <is>
          <t>AM</t>
        </is>
      </c>
      <c r="C50" s="97" t="n">
        <v>2011</v>
      </c>
      <c r="D50" s="98" t="n">
        <v>24.84</v>
      </c>
      <c r="E50" s="99" t="n">
        <v>0.54</v>
      </c>
      <c r="F50" s="100" t="n">
        <v>6.7788</v>
      </c>
      <c r="G50" s="101" t="n">
        <v>2.9444</v>
      </c>
      <c r="H50" s="77" t="n">
        <v>19991</v>
      </c>
      <c r="I50" s="102" t="n">
        <v>9.903</v>
      </c>
      <c r="J50" s="85" t="n">
        <v>9.279999999999999</v>
      </c>
      <c r="K50" s="103" t="n">
        <v>0</v>
      </c>
      <c r="L50" s="103" t="n">
        <v>0</v>
      </c>
      <c r="M50" s="104" t="n">
        <v>101.6081</v>
      </c>
      <c r="N50" t="n">
        <v>100</v>
      </c>
      <c r="O50" t="n">
        <v>3538387</v>
      </c>
    </row>
    <row r="51" ht="13.5" customHeight="1" s="186">
      <c r="B51" s="105" t="inlineStr">
        <is>
          <t>AM</t>
        </is>
      </c>
      <c r="C51" s="105" t="n">
        <v>2012</v>
      </c>
      <c r="D51" s="106" t="n">
        <v>23.75</v>
      </c>
      <c r="E51" s="107" t="n">
        <v>0.86</v>
      </c>
      <c r="F51" s="108" t="n">
        <v>6.7488</v>
      </c>
      <c r="G51" s="109" t="n">
        <v>3.434</v>
      </c>
      <c r="H51" s="110" t="n">
        <v>20118</v>
      </c>
      <c r="I51" s="111" t="n">
        <v>9.9094</v>
      </c>
      <c r="J51" s="89" t="n">
        <v>9</v>
      </c>
      <c r="K51" s="115" t="n">
        <v>0</v>
      </c>
      <c r="L51" s="112" t="n">
        <v>0</v>
      </c>
      <c r="M51" s="113" t="n">
        <v>101.6081</v>
      </c>
      <c r="N51" t="n">
        <v>131</v>
      </c>
      <c r="O51" t="n">
        <v>3590985</v>
      </c>
    </row>
    <row r="52" ht="13.5" customHeight="1" s="186">
      <c r="B52" s="97" t="inlineStr">
        <is>
          <t>AM</t>
        </is>
      </c>
      <c r="C52" s="97" t="n">
        <v>2013</v>
      </c>
      <c r="D52" s="98" t="n">
        <v>18.17</v>
      </c>
      <c r="E52" s="99" t="n">
        <v>0.42</v>
      </c>
      <c r="F52" s="100" t="n">
        <v>6.5396</v>
      </c>
      <c r="G52" s="101" t="n">
        <v>2.7726</v>
      </c>
      <c r="H52" s="77" t="n">
        <v>21810</v>
      </c>
      <c r="I52" s="102" t="n">
        <v>9.9901</v>
      </c>
      <c r="J52" s="85" t="n">
        <v>10.19</v>
      </c>
      <c r="K52" s="103" t="n">
        <v>0</v>
      </c>
      <c r="L52" s="103" t="n">
        <v>0</v>
      </c>
      <c r="M52" s="104" t="n">
        <v>101.6081</v>
      </c>
      <c r="N52" t="n">
        <v>147</v>
      </c>
      <c r="O52" t="n">
        <v>3807921</v>
      </c>
    </row>
    <row r="53" ht="13.5" customHeight="1" s="186">
      <c r="B53" s="105" t="inlineStr">
        <is>
          <t>AM</t>
        </is>
      </c>
      <c r="C53" s="105" t="n">
        <v>2014</v>
      </c>
      <c r="D53" s="106" t="n">
        <v>19.59</v>
      </c>
      <c r="E53" s="107" t="n">
        <v>0.13</v>
      </c>
      <c r="F53" s="108" t="n">
        <v>6.632</v>
      </c>
      <c r="G53" s="109" t="n">
        <v>1.6094</v>
      </c>
      <c r="H53" s="110" t="n">
        <v>22373</v>
      </c>
      <c r="I53" s="111" t="n">
        <v>10.0156</v>
      </c>
      <c r="J53" s="89" t="n">
        <v>10.84</v>
      </c>
      <c r="K53" s="112" t="n">
        <v>0</v>
      </c>
      <c r="L53" s="112" t="n">
        <v>0</v>
      </c>
      <c r="M53" s="113" t="n">
        <v>101.6081</v>
      </c>
      <c r="N53" t="n">
        <v>152</v>
      </c>
      <c r="O53" t="n">
        <v>3873743</v>
      </c>
    </row>
    <row r="54" ht="13.5" customHeight="1" s="186">
      <c r="B54" s="97" t="inlineStr">
        <is>
          <t>AM</t>
        </is>
      </c>
      <c r="C54" s="97" t="n">
        <v>2015</v>
      </c>
      <c r="D54" s="98" t="n">
        <v>23.54</v>
      </c>
      <c r="E54" s="99" t="n">
        <v>0.41</v>
      </c>
      <c r="F54" s="100" t="n">
        <v>6.832</v>
      </c>
      <c r="G54" s="101" t="n">
        <v>2.7726</v>
      </c>
      <c r="H54" s="77" t="n">
        <v>21981</v>
      </c>
      <c r="I54" s="102" t="n">
        <v>9.9979</v>
      </c>
      <c r="J54" s="85" t="n">
        <v>9.699999999999999</v>
      </c>
      <c r="K54" s="103" t="n">
        <v>0</v>
      </c>
      <c r="L54" s="103" t="n">
        <v>0</v>
      </c>
      <c r="M54" s="104" t="n">
        <v>101.6081</v>
      </c>
      <c r="N54" t="n">
        <v>168</v>
      </c>
      <c r="O54" t="n">
        <v>3938336</v>
      </c>
    </row>
    <row r="55" ht="13.5" customHeight="1" s="186">
      <c r="B55" s="105" t="inlineStr">
        <is>
          <t>AM</t>
        </is>
      </c>
      <c r="C55" s="105" t="n">
        <v>2016</v>
      </c>
      <c r="D55" s="106" t="n">
        <v>19.79</v>
      </c>
      <c r="E55" s="107" t="n">
        <v>0.5</v>
      </c>
      <c r="F55" s="108" t="n">
        <v>6.6746</v>
      </c>
      <c r="G55" s="109" t="n">
        <v>2.9957</v>
      </c>
      <c r="H55" s="110" t="n">
        <v>22251</v>
      </c>
      <c r="I55" s="111" t="n">
        <v>10.0101</v>
      </c>
      <c r="J55" s="89" t="n">
        <v>13.8</v>
      </c>
      <c r="K55" s="112" t="n">
        <v>0</v>
      </c>
      <c r="L55" s="112" t="n">
        <v>0</v>
      </c>
      <c r="M55" s="113" t="n">
        <v>101.6081</v>
      </c>
      <c r="N55" t="n">
        <v>188</v>
      </c>
      <c r="O55" t="n">
        <v>4001667</v>
      </c>
    </row>
    <row r="56" ht="13.5" customHeight="1" s="186">
      <c r="B56" s="97" t="inlineStr">
        <is>
          <t>AM</t>
        </is>
      </c>
      <c r="C56" s="97" t="n">
        <v>2017</v>
      </c>
      <c r="D56" s="98" t="n">
        <v>23.85</v>
      </c>
      <c r="E56" s="99" t="n">
        <v>2.17</v>
      </c>
      <c r="F56" s="100" t="n">
        <v>6.8763</v>
      </c>
      <c r="G56" s="101" t="n">
        <v>4.4773</v>
      </c>
      <c r="H56" s="77" t="n">
        <v>22945</v>
      </c>
      <c r="I56" s="102" t="n">
        <v>10.0409</v>
      </c>
      <c r="J56" s="86" t="n">
        <v>15.9</v>
      </c>
      <c r="K56" s="103" t="n">
        <v>0</v>
      </c>
      <c r="L56" s="114" t="n">
        <v>0</v>
      </c>
      <c r="M56" s="104" t="n">
        <v>101.6081</v>
      </c>
      <c r="N56" t="n">
        <v>276</v>
      </c>
      <c r="O56" t="n">
        <v>4063614</v>
      </c>
    </row>
    <row r="57" ht="13.5" customHeight="1" s="186">
      <c r="B57" s="105" t="inlineStr">
        <is>
          <t>AM</t>
        </is>
      </c>
      <c r="C57" s="105" t="n">
        <v>2018</v>
      </c>
      <c r="D57" s="106" t="n">
        <v>23.43</v>
      </c>
      <c r="E57" s="107" t="n">
        <v>4.71</v>
      </c>
      <c r="F57" s="108" t="n">
        <v>6.8628</v>
      </c>
      <c r="G57" s="109" t="n">
        <v>5.2575</v>
      </c>
      <c r="H57" s="110" t="n">
        <v>24533</v>
      </c>
      <c r="I57" s="111" t="n">
        <v>10.1078</v>
      </c>
      <c r="J57" s="86" t="n">
        <v>14</v>
      </c>
      <c r="K57" s="112" t="n">
        <v>0</v>
      </c>
      <c r="L57" s="114" t="n">
        <v>0</v>
      </c>
      <c r="M57" s="113" t="n">
        <v>101.6081</v>
      </c>
      <c r="N57" t="n">
        <v>468</v>
      </c>
      <c r="O57" t="n">
        <v>4080611</v>
      </c>
    </row>
    <row r="58" ht="13.5" customHeight="1" s="186">
      <c r="B58" s="97" t="inlineStr">
        <is>
          <t>AM</t>
        </is>
      </c>
      <c r="C58" s="97" t="n">
        <v>2019</v>
      </c>
      <c r="D58" s="98" t="n">
        <v>23.65</v>
      </c>
      <c r="E58" s="99" t="n">
        <v>9.58</v>
      </c>
      <c r="F58" s="100" t="n">
        <v>6.8876</v>
      </c>
      <c r="G58" s="101" t="n">
        <v>5.9839</v>
      </c>
      <c r="H58" s="77" t="n">
        <v>26102</v>
      </c>
      <c r="I58" s="102" t="n">
        <v>10.1698</v>
      </c>
      <c r="J58" s="85" t="n">
        <v>14.2</v>
      </c>
      <c r="K58" s="103" t="n">
        <v>0</v>
      </c>
      <c r="L58" s="103" t="n">
        <v>0</v>
      </c>
      <c r="M58" s="104" t="n">
        <v>101.6081</v>
      </c>
      <c r="N58" t="n">
        <v>865</v>
      </c>
      <c r="O58" t="n">
        <v>4144597</v>
      </c>
    </row>
    <row r="59" ht="13.5" customHeight="1" s="186">
      <c r="B59" s="105" t="inlineStr">
        <is>
          <t>AM</t>
        </is>
      </c>
      <c r="C59" s="105" t="n">
        <v>2020</v>
      </c>
      <c r="D59" s="106" t="n">
        <v>18.58</v>
      </c>
      <c r="E59" s="107" t="n">
        <v>25.36</v>
      </c>
      <c r="F59" s="108" t="n">
        <v>6.6619</v>
      </c>
      <c r="G59" s="109" t="n">
        <v>6.9726</v>
      </c>
      <c r="H59" s="110" t="n">
        <v>27573</v>
      </c>
      <c r="I59" s="111" t="n">
        <v>10.2246</v>
      </c>
      <c r="J59" s="89" t="n">
        <v>16</v>
      </c>
      <c r="K59" s="115" t="n">
        <v>0</v>
      </c>
      <c r="L59" s="112" t="n">
        <v>1</v>
      </c>
      <c r="M59" s="113" t="n">
        <v>101.6081</v>
      </c>
      <c r="N59" t="n">
        <v>1932</v>
      </c>
      <c r="O59" t="n">
        <v>4207714</v>
      </c>
    </row>
    <row r="60" ht="13.5" customHeight="1" s="186">
      <c r="B60" s="97" t="inlineStr">
        <is>
          <t>AM</t>
        </is>
      </c>
      <c r="C60" s="97" t="n">
        <v>2021</v>
      </c>
      <c r="D60" s="98" t="n">
        <v>29.93</v>
      </c>
      <c r="E60" s="99" t="n">
        <v>50.16</v>
      </c>
      <c r="F60" s="100" t="n">
        <v>7.1531</v>
      </c>
      <c r="G60" s="101" t="n">
        <v>7.6695</v>
      </c>
      <c r="H60" s="77" t="n">
        <v>30804</v>
      </c>
      <c r="I60" s="102" t="n">
        <v>10.3354</v>
      </c>
      <c r="J60" s="85" t="n">
        <v>15</v>
      </c>
      <c r="K60" s="103" t="n">
        <v>0</v>
      </c>
      <c r="L60" s="103" t="n">
        <v>1</v>
      </c>
      <c r="M60" s="104" t="n">
        <v>101.6081</v>
      </c>
      <c r="N60" t="n">
        <v>4074</v>
      </c>
      <c r="O60" t="n">
        <v>4269995</v>
      </c>
    </row>
    <row r="61" ht="13.5" customHeight="1" s="186">
      <c r="B61" s="105" t="inlineStr">
        <is>
          <t>AM</t>
        </is>
      </c>
      <c r="C61" s="105" t="n">
        <v>2022</v>
      </c>
      <c r="D61" s="106" t="n">
        <v>30.32</v>
      </c>
      <c r="E61" s="107" t="n">
        <v>101.61</v>
      </c>
      <c r="F61" s="108" t="n">
        <v>7.0859</v>
      </c>
      <c r="G61" s="109" t="n">
        <v>8.295299999999999</v>
      </c>
      <c r="H61" s="110" t="n">
        <v>36823</v>
      </c>
      <c r="I61" s="111" t="n">
        <v>10.5139</v>
      </c>
      <c r="J61" s="89" t="n">
        <v>10.8</v>
      </c>
      <c r="K61" s="112" t="n">
        <v>0</v>
      </c>
      <c r="L61" s="112" t="n">
        <v>0</v>
      </c>
      <c r="M61" s="113" t="n">
        <v>101.6081</v>
      </c>
      <c r="N61" t="n">
        <v>8079</v>
      </c>
      <c r="O61" t="n">
        <v>3941613</v>
      </c>
    </row>
    <row r="62" ht="13.5" customHeight="1" s="186">
      <c r="B62" s="97" t="inlineStr">
        <is>
          <t>AM</t>
        </is>
      </c>
      <c r="C62" s="97" t="n">
        <v>2023</v>
      </c>
      <c r="D62" s="98" t="n">
        <v>26.69</v>
      </c>
      <c r="E62" s="99" t="n">
        <v>0.41</v>
      </c>
      <c r="F62" s="100" t="n">
        <v>6.9584</v>
      </c>
      <c r="G62" s="101" t="n">
        <v>2.7726</v>
      </c>
      <c r="H62" s="77" t="n">
        <v>41048</v>
      </c>
      <c r="I62" s="102" t="n">
        <v>10.6225</v>
      </c>
      <c r="J62" s="85" t="n">
        <v>9.699999999999999</v>
      </c>
      <c r="K62" s="103" t="n">
        <v>1</v>
      </c>
      <c r="L62" s="103" t="n">
        <v>0</v>
      </c>
      <c r="M62" s="104" t="n">
        <v>101.6081</v>
      </c>
      <c r="N62" t="n">
        <v>8095</v>
      </c>
      <c r="O62" t="n">
        <v>3941613</v>
      </c>
    </row>
    <row r="63" ht="13.5" customHeight="1" s="186">
      <c r="B63" s="105" t="inlineStr">
        <is>
          <t>AM</t>
        </is>
      </c>
      <c r="C63" s="105" t="n">
        <v>2024</v>
      </c>
      <c r="D63" s="106" t="n">
        <v>17.71</v>
      </c>
      <c r="E63" s="107" t="n">
        <v>2.85</v>
      </c>
      <c r="F63" s="108" t="n">
        <v>6.6307</v>
      </c>
      <c r="G63" s="109" t="n">
        <v>4.804</v>
      </c>
      <c r="H63" s="110" t="n">
        <v>41557</v>
      </c>
      <c r="I63" s="111" t="n">
        <v>10.6348</v>
      </c>
      <c r="J63" s="89" t="n">
        <v>8.800000000000001</v>
      </c>
      <c r="K63" s="112" t="n">
        <v>1</v>
      </c>
      <c r="L63" s="112" t="n">
        <v>0</v>
      </c>
      <c r="M63" s="113" t="n">
        <v>101.6081</v>
      </c>
      <c r="N63" t="n">
        <v>8217</v>
      </c>
      <c r="O63" t="n">
        <v>4281209</v>
      </c>
    </row>
    <row r="64" ht="13.5" customHeight="1" s="186">
      <c r="B64" s="97" t="inlineStr">
        <is>
          <t>AP</t>
        </is>
      </c>
      <c r="C64" s="97" t="n">
        <v>2005</v>
      </c>
      <c r="D64" s="98" t="n">
        <v>9.08</v>
      </c>
      <c r="E64" s="99" t="n">
        <v>0</v>
      </c>
      <c r="F64" s="100" t="n">
        <v>3.989</v>
      </c>
      <c r="G64" s="101" t="n"/>
      <c r="H64" s="77" t="n">
        <v>7335</v>
      </c>
      <c r="I64" s="102" t="n">
        <v>8.900399999999999</v>
      </c>
      <c r="J64" s="86" t="n">
        <v>11.96</v>
      </c>
      <c r="K64" s="103" t="n">
        <v>0</v>
      </c>
      <c r="L64" s="114" t="n">
        <v>0</v>
      </c>
      <c r="M64" s="104" t="n">
        <v>75.0928</v>
      </c>
      <c r="N64" t="n">
        <v>0</v>
      </c>
      <c r="O64" t="n">
        <v>594587</v>
      </c>
    </row>
    <row r="65" ht="13.5" customHeight="1" s="186">
      <c r="B65" s="105" t="inlineStr">
        <is>
          <t>AP</t>
        </is>
      </c>
      <c r="C65" s="105" t="n">
        <v>2006</v>
      </c>
      <c r="D65" s="106" t="n">
        <v>12.02</v>
      </c>
      <c r="E65" s="107" t="n">
        <v>0</v>
      </c>
      <c r="F65" s="108" t="n">
        <v>4.3041</v>
      </c>
      <c r="G65" s="109" t="n"/>
      <c r="H65" s="110" t="n">
        <v>8543</v>
      </c>
      <c r="I65" s="111" t="n">
        <v>9.052899999999999</v>
      </c>
      <c r="J65" s="86" t="n">
        <v>6.67</v>
      </c>
      <c r="K65" s="112" t="n">
        <v>0</v>
      </c>
      <c r="L65" s="114" t="n">
        <v>0</v>
      </c>
      <c r="M65" s="113" t="n">
        <v>75.0928</v>
      </c>
      <c r="N65" t="n">
        <v>0</v>
      </c>
      <c r="O65" t="n">
        <v>615715</v>
      </c>
    </row>
    <row r="66" ht="13.5" customHeight="1" s="186">
      <c r="B66" s="97" t="inlineStr">
        <is>
          <t>AP</t>
        </is>
      </c>
      <c r="C66" s="97" t="n">
        <v>2007</v>
      </c>
      <c r="D66" s="98" t="n">
        <v>10.05</v>
      </c>
      <c r="E66" s="99" t="n">
        <v>0</v>
      </c>
      <c r="F66" s="100" t="n">
        <v>4.0775</v>
      </c>
      <c r="G66" s="101" t="n"/>
      <c r="H66" s="77" t="n">
        <v>10254</v>
      </c>
      <c r="I66" s="102" t="n">
        <v>9.2354</v>
      </c>
      <c r="J66" s="85" t="n">
        <v>16.33</v>
      </c>
      <c r="K66" s="103" t="n">
        <v>0</v>
      </c>
      <c r="L66" s="103" t="n">
        <v>0</v>
      </c>
      <c r="M66" s="104" t="n">
        <v>75.0928</v>
      </c>
      <c r="N66" t="n">
        <v>0</v>
      </c>
      <c r="O66" t="n">
        <v>587311</v>
      </c>
    </row>
    <row r="67" ht="13.5" customHeight="1" s="186">
      <c r="B67" s="105" t="inlineStr">
        <is>
          <t>AP</t>
        </is>
      </c>
      <c r="C67" s="105" t="n">
        <v>2008</v>
      </c>
      <c r="D67" s="106" t="n">
        <v>10.76</v>
      </c>
      <c r="E67" s="107" t="n">
        <v>0</v>
      </c>
      <c r="F67" s="108" t="n">
        <v>4.1897</v>
      </c>
      <c r="G67" s="109" t="n"/>
      <c r="H67" s="110" t="n">
        <v>11033</v>
      </c>
      <c r="I67" s="111" t="n">
        <v>9.3086</v>
      </c>
      <c r="J67" s="89" t="n">
        <v>15.19</v>
      </c>
      <c r="K67" s="115" t="n">
        <v>0</v>
      </c>
      <c r="L67" s="112" t="n">
        <v>0</v>
      </c>
      <c r="M67" s="113" t="n">
        <v>75.0928</v>
      </c>
      <c r="N67" t="n">
        <v>0</v>
      </c>
      <c r="O67" t="n">
        <v>613166</v>
      </c>
    </row>
    <row r="68" ht="13.5" customHeight="1" s="186">
      <c r="B68" s="97" t="inlineStr">
        <is>
          <t>AP</t>
        </is>
      </c>
      <c r="C68" s="97" t="n">
        <v>2009</v>
      </c>
      <c r="D68" s="98" t="n">
        <v>11.01</v>
      </c>
      <c r="E68" s="99" t="n">
        <v>0</v>
      </c>
      <c r="F68" s="100" t="n">
        <v>4.2341</v>
      </c>
      <c r="G68" s="101" t="n"/>
      <c r="H68" s="77" t="n">
        <v>11816</v>
      </c>
      <c r="I68" s="102" t="n">
        <v>9.3772</v>
      </c>
      <c r="J68" s="85" t="n">
        <v>13.76</v>
      </c>
      <c r="K68" s="103" t="n">
        <v>0</v>
      </c>
      <c r="L68" s="103" t="n">
        <v>0</v>
      </c>
      <c r="M68" s="104" t="n">
        <v>75.0928</v>
      </c>
      <c r="N68" t="n">
        <v>0</v>
      </c>
      <c r="O68" t="n">
        <v>626609</v>
      </c>
    </row>
    <row r="69" ht="13.5" customHeight="1" s="186">
      <c r="B69" s="105" t="inlineStr">
        <is>
          <t>AP</t>
        </is>
      </c>
      <c r="C69" s="105" t="n">
        <v>2010</v>
      </c>
      <c r="D69" s="106" t="n">
        <v>15.38</v>
      </c>
      <c r="E69" s="107" t="n">
        <v>0</v>
      </c>
      <c r="F69" s="108" t="n">
        <v>4.6347</v>
      </c>
      <c r="G69" s="109" t="n"/>
      <c r="H69" s="110" t="n">
        <v>12304</v>
      </c>
      <c r="I69" s="111" t="n">
        <v>9.4177</v>
      </c>
      <c r="J69" s="89" t="n">
        <v>13.98</v>
      </c>
      <c r="K69" s="112" t="n">
        <v>0</v>
      </c>
      <c r="L69" s="112" t="n">
        <v>0</v>
      </c>
      <c r="M69" s="113" t="n">
        <v>75.0928</v>
      </c>
      <c r="N69" t="n">
        <v>0</v>
      </c>
      <c r="O69" t="n">
        <v>669526</v>
      </c>
    </row>
    <row r="70" ht="13.5" customHeight="1" s="186">
      <c r="B70" s="97" t="inlineStr">
        <is>
          <t>AP</t>
        </is>
      </c>
      <c r="C70" s="97" t="n">
        <v>2011</v>
      </c>
      <c r="D70" s="98" t="n">
        <v>11.4</v>
      </c>
      <c r="E70" s="99" t="n">
        <v>0.15</v>
      </c>
      <c r="F70" s="100" t="n">
        <v>4.3567</v>
      </c>
      <c r="G70" s="101" t="n">
        <v>0</v>
      </c>
      <c r="H70" s="77" t="n">
        <v>13750</v>
      </c>
      <c r="I70" s="102" t="n">
        <v>9.5288</v>
      </c>
      <c r="J70" s="85" t="n">
        <v>14.21</v>
      </c>
      <c r="K70" s="103" t="n">
        <v>0</v>
      </c>
      <c r="L70" s="103" t="n">
        <v>0</v>
      </c>
      <c r="M70" s="104" t="n">
        <v>75.0928</v>
      </c>
      <c r="N70" t="n">
        <v>1</v>
      </c>
      <c r="O70" t="n">
        <v>684309</v>
      </c>
    </row>
    <row r="71" ht="13.5" customHeight="1" s="186">
      <c r="B71" s="105" t="inlineStr">
        <is>
          <t>AP</t>
        </is>
      </c>
      <c r="C71" s="105" t="n">
        <v>2012</v>
      </c>
      <c r="D71" s="106" t="n">
        <v>16.6</v>
      </c>
      <c r="E71" s="107" t="n">
        <v>0.14</v>
      </c>
      <c r="F71" s="108" t="n">
        <v>4.7536</v>
      </c>
      <c r="G71" s="109" t="n">
        <v>0</v>
      </c>
      <c r="H71" s="110" t="n">
        <v>15933</v>
      </c>
      <c r="I71" s="111" t="n">
        <v>9.6761</v>
      </c>
      <c r="J71" s="89" t="n">
        <v>10.91</v>
      </c>
      <c r="K71" s="112" t="n">
        <v>0</v>
      </c>
      <c r="L71" s="112" t="n">
        <v>0</v>
      </c>
      <c r="M71" s="113" t="n">
        <v>75.0928</v>
      </c>
      <c r="N71" t="n">
        <v>2</v>
      </c>
      <c r="O71" t="n">
        <v>698602</v>
      </c>
    </row>
    <row r="72" ht="13.5" customHeight="1" s="186">
      <c r="B72" s="97" t="inlineStr">
        <is>
          <t>AP</t>
        </is>
      </c>
      <c r="C72" s="97" t="n">
        <v>2013</v>
      </c>
      <c r="D72" s="98" t="n">
        <v>13.47</v>
      </c>
      <c r="E72" s="99" t="n">
        <v>0.14</v>
      </c>
      <c r="F72" s="100" t="n">
        <v>4.5951</v>
      </c>
      <c r="G72" s="101" t="n">
        <v>0</v>
      </c>
      <c r="H72" s="77" t="n">
        <v>17365</v>
      </c>
      <c r="I72" s="102" t="n">
        <v>9.7622</v>
      </c>
      <c r="J72" s="86" t="n">
        <v>13.1</v>
      </c>
      <c r="K72" s="103" t="n">
        <v>0</v>
      </c>
      <c r="L72" s="114" t="n">
        <v>0</v>
      </c>
      <c r="M72" s="104" t="n">
        <v>75.0928</v>
      </c>
      <c r="N72" t="n">
        <v>3</v>
      </c>
      <c r="O72" t="n">
        <v>734996</v>
      </c>
    </row>
    <row r="73" ht="13.5" customHeight="1" s="186">
      <c r="B73" s="105" t="inlineStr">
        <is>
          <t>AP</t>
        </is>
      </c>
      <c r="C73" s="105" t="n">
        <v>2014</v>
      </c>
      <c r="D73" s="106" t="n">
        <v>19.71</v>
      </c>
      <c r="E73" s="107" t="n">
        <v>0</v>
      </c>
      <c r="F73" s="108" t="n">
        <v>4.9972</v>
      </c>
      <c r="G73" s="109" t="n"/>
      <c r="H73" s="110" t="n">
        <v>17845</v>
      </c>
      <c r="I73" s="111" t="n">
        <v>9.7895</v>
      </c>
      <c r="J73" s="86" t="n">
        <v>10.33</v>
      </c>
      <c r="K73" s="112" t="n">
        <v>0</v>
      </c>
      <c r="L73" s="114" t="n">
        <v>0</v>
      </c>
      <c r="M73" s="113" t="n">
        <v>75.0928</v>
      </c>
      <c r="N73" t="n">
        <v>3</v>
      </c>
      <c r="O73" t="n">
        <v>750912</v>
      </c>
    </row>
    <row r="74" ht="13.5" customHeight="1" s="186">
      <c r="B74" s="97" t="inlineStr">
        <is>
          <t>AP</t>
        </is>
      </c>
      <c r="C74" s="97" t="n">
        <v>2015</v>
      </c>
      <c r="D74" s="98" t="n">
        <v>19.83</v>
      </c>
      <c r="E74" s="99" t="n">
        <v>0.13</v>
      </c>
      <c r="F74" s="100" t="n">
        <v>5.0239</v>
      </c>
      <c r="G74" s="101" t="n">
        <v>0</v>
      </c>
      <c r="H74" s="77" t="n">
        <v>18080</v>
      </c>
      <c r="I74" s="102" t="n">
        <v>9.8026</v>
      </c>
      <c r="J74" s="85" t="n">
        <v>11.2</v>
      </c>
      <c r="K74" s="103" t="n">
        <v>0</v>
      </c>
      <c r="L74" s="103" t="n">
        <v>0</v>
      </c>
      <c r="M74" s="104" t="n">
        <v>75.0928</v>
      </c>
      <c r="N74" t="n">
        <v>4</v>
      </c>
      <c r="O74" t="n">
        <v>766679</v>
      </c>
    </row>
    <row r="75" ht="13.5" customHeight="1" s="186">
      <c r="B75" s="105" t="inlineStr">
        <is>
          <t>AP</t>
        </is>
      </c>
      <c r="C75" s="105" t="n">
        <v>2016</v>
      </c>
      <c r="D75" s="106" t="n">
        <v>27.61</v>
      </c>
      <c r="E75" s="107" t="n">
        <v>0</v>
      </c>
      <c r="F75" s="108" t="n">
        <v>5.3753</v>
      </c>
      <c r="G75" s="109" t="n"/>
      <c r="H75" s="110" t="n">
        <v>18333</v>
      </c>
      <c r="I75" s="111" t="n">
        <v>9.8165</v>
      </c>
      <c r="J75" s="89" t="n">
        <v>15.8</v>
      </c>
      <c r="K75" s="115" t="n">
        <v>0</v>
      </c>
      <c r="L75" s="112" t="n">
        <v>0</v>
      </c>
      <c r="M75" s="113" t="n">
        <v>75.0928</v>
      </c>
      <c r="N75" t="n">
        <v>4</v>
      </c>
      <c r="O75" t="n">
        <v>782295</v>
      </c>
    </row>
    <row r="76" ht="13.5" customHeight="1" s="186">
      <c r="B76" s="97" t="inlineStr">
        <is>
          <t>AP</t>
        </is>
      </c>
      <c r="C76" s="97" t="n">
        <v>2017</v>
      </c>
      <c r="D76" s="98" t="n">
        <v>22.31</v>
      </c>
      <c r="E76" s="99" t="n">
        <v>2.76</v>
      </c>
      <c r="F76" s="100" t="n">
        <v>5.1818</v>
      </c>
      <c r="G76" s="101" t="n">
        <v>3.091</v>
      </c>
      <c r="H76" s="77" t="n">
        <v>19408</v>
      </c>
      <c r="I76" s="102" t="n">
        <v>9.8734</v>
      </c>
      <c r="J76" s="85" t="n">
        <v>18.1</v>
      </c>
      <c r="K76" s="103" t="n">
        <v>0</v>
      </c>
      <c r="L76" s="103" t="n">
        <v>0</v>
      </c>
      <c r="M76" s="104" t="n">
        <v>75.0928</v>
      </c>
      <c r="N76" t="n">
        <v>26</v>
      </c>
      <c r="O76" t="n">
        <v>797722</v>
      </c>
    </row>
    <row r="77" ht="13.5" customHeight="1" s="186">
      <c r="B77" s="105" t="inlineStr">
        <is>
          <t>AP</t>
        </is>
      </c>
      <c r="C77" s="105" t="n">
        <v>2018</v>
      </c>
      <c r="D77" s="106" t="n">
        <v>28.81</v>
      </c>
      <c r="E77" s="107" t="n">
        <v>2.53</v>
      </c>
      <c r="F77" s="108" t="n">
        <v>5.4765</v>
      </c>
      <c r="G77" s="109" t="n">
        <v>3.0445</v>
      </c>
      <c r="H77" s="110" t="n">
        <v>20248</v>
      </c>
      <c r="I77" s="111" t="n">
        <v>9.915800000000001</v>
      </c>
      <c r="J77" s="89" t="n">
        <v>20.4</v>
      </c>
      <c r="K77" s="112" t="n">
        <v>0</v>
      </c>
      <c r="L77" s="112" t="n">
        <v>0</v>
      </c>
      <c r="M77" s="113" t="n">
        <v>75.0928</v>
      </c>
      <c r="N77" t="n">
        <v>47</v>
      </c>
      <c r="O77" t="n">
        <v>829494</v>
      </c>
    </row>
    <row r="78" ht="13.5" customHeight="1" s="186">
      <c r="B78" s="97" t="inlineStr">
        <is>
          <t>AP</t>
        </is>
      </c>
      <c r="C78" s="97" t="n">
        <v>2019</v>
      </c>
      <c r="D78" s="98" t="n">
        <v>27.43</v>
      </c>
      <c r="E78" s="99" t="n">
        <v>13.12</v>
      </c>
      <c r="F78" s="100" t="n">
        <v>5.4467</v>
      </c>
      <c r="G78" s="101" t="n">
        <v>4.7095</v>
      </c>
      <c r="H78" s="77" t="n">
        <v>20688</v>
      </c>
      <c r="I78" s="102" t="n">
        <v>9.9373</v>
      </c>
      <c r="J78" s="85" t="n">
        <v>17.6</v>
      </c>
      <c r="K78" s="103" t="n">
        <v>0</v>
      </c>
      <c r="L78" s="103" t="n">
        <v>0</v>
      </c>
      <c r="M78" s="104" t="n">
        <v>75.0928</v>
      </c>
      <c r="N78" t="n">
        <v>158</v>
      </c>
      <c r="O78" t="n">
        <v>845731</v>
      </c>
    </row>
    <row r="79" ht="13.5" customHeight="1" s="186">
      <c r="B79" s="105" t="inlineStr">
        <is>
          <t>AP</t>
        </is>
      </c>
      <c r="C79" s="105" t="n">
        <v>2020</v>
      </c>
      <c r="D79" s="106" t="n">
        <v>25.76</v>
      </c>
      <c r="E79" s="107" t="n">
        <v>26.23</v>
      </c>
      <c r="F79" s="108" t="n">
        <v>5.4027</v>
      </c>
      <c r="G79" s="109" t="n">
        <v>5.4205</v>
      </c>
      <c r="H79" s="110" t="n">
        <v>21432</v>
      </c>
      <c r="I79" s="111" t="n">
        <v>9.9726</v>
      </c>
      <c r="J79" s="89" t="n">
        <v>15</v>
      </c>
      <c r="K79" s="112" t="n">
        <v>0</v>
      </c>
      <c r="L79" s="112" t="n">
        <v>1</v>
      </c>
      <c r="M79" s="113" t="n">
        <v>75.0928</v>
      </c>
      <c r="N79" t="n">
        <v>384</v>
      </c>
      <c r="O79" t="n">
        <v>861773</v>
      </c>
    </row>
    <row r="80" ht="13.5" customHeight="1" s="186">
      <c r="B80" s="97" t="inlineStr">
        <is>
          <t>AP</t>
        </is>
      </c>
      <c r="C80" s="97" t="n">
        <v>2021</v>
      </c>
      <c r="D80" s="98" t="n">
        <v>35.44</v>
      </c>
      <c r="E80" s="99" t="n">
        <v>40.45</v>
      </c>
      <c r="F80" s="100" t="n">
        <v>5.7398</v>
      </c>
      <c r="G80" s="101" t="n">
        <v>5.8721</v>
      </c>
      <c r="H80" s="77" t="n">
        <v>22903</v>
      </c>
      <c r="I80" s="102" t="n">
        <v>10.039</v>
      </c>
      <c r="J80" s="86" t="n">
        <v>16.6</v>
      </c>
      <c r="K80" s="103" t="n">
        <v>0</v>
      </c>
      <c r="L80" s="114" t="n">
        <v>1</v>
      </c>
      <c r="M80" s="104" t="n">
        <v>75.0928</v>
      </c>
      <c r="N80" t="n">
        <v>739</v>
      </c>
      <c r="O80" t="n">
        <v>877613</v>
      </c>
    </row>
    <row r="81" ht="13.5" customHeight="1" s="186">
      <c r="B81" s="105" t="inlineStr">
        <is>
          <t>AP</t>
        </is>
      </c>
      <c r="C81" s="105" t="n">
        <v>2022</v>
      </c>
      <c r="D81" s="106" t="n">
        <v>32.03</v>
      </c>
      <c r="E81" s="107" t="n">
        <v>75.09</v>
      </c>
      <c r="F81" s="108" t="n">
        <v>5.4596</v>
      </c>
      <c r="G81" s="109" t="n">
        <v>6.3117</v>
      </c>
      <c r="H81" s="110" t="n">
        <v>32183</v>
      </c>
      <c r="I81" s="111" t="n">
        <v>10.3792</v>
      </c>
      <c r="J81" s="86" t="n">
        <v>12.5</v>
      </c>
      <c r="K81" s="112" t="n">
        <v>0</v>
      </c>
      <c r="L81" s="114" t="n">
        <v>0</v>
      </c>
      <c r="M81" s="113" t="n">
        <v>75.0928</v>
      </c>
      <c r="N81" t="n">
        <v>1290</v>
      </c>
      <c r="O81" t="n">
        <v>733759</v>
      </c>
    </row>
    <row r="82" ht="13.5" customHeight="1" s="186">
      <c r="B82" s="97" t="inlineStr">
        <is>
          <t>AP</t>
        </is>
      </c>
      <c r="C82" s="97" t="n">
        <v>2023</v>
      </c>
      <c r="D82" s="98" t="n">
        <v>41.29</v>
      </c>
      <c r="E82" s="99" t="n">
        <v>5.59</v>
      </c>
      <c r="F82" s="100" t="n">
        <v>5.7137</v>
      </c>
      <c r="G82" s="101" t="n">
        <v>3.7136</v>
      </c>
      <c r="H82" s="77" t="n">
        <v>38187</v>
      </c>
      <c r="I82" s="102" t="n">
        <v>10.5503</v>
      </c>
      <c r="J82" s="85" t="n">
        <v>12.8</v>
      </c>
      <c r="K82" s="103" t="n">
        <v>1</v>
      </c>
      <c r="L82" s="103" t="n">
        <v>0</v>
      </c>
      <c r="M82" s="104" t="n">
        <v>75.0928</v>
      </c>
      <c r="N82" t="n">
        <v>1331</v>
      </c>
      <c r="O82" t="n">
        <v>733759</v>
      </c>
    </row>
    <row r="83" ht="13.5" customHeight="1" s="186">
      <c r="B83" s="105" t="inlineStr">
        <is>
          <t>AP</t>
        </is>
      </c>
      <c r="C83" s="105" t="n">
        <v>2024</v>
      </c>
      <c r="D83" s="106" t="n">
        <v>24.41</v>
      </c>
      <c r="E83" s="107" t="n">
        <v>8.220000000000001</v>
      </c>
      <c r="F83" s="108" t="n">
        <v>5.2781</v>
      </c>
      <c r="G83" s="109" t="n">
        <v>4.1897</v>
      </c>
      <c r="H83" s="110" t="n">
        <v>39592</v>
      </c>
      <c r="I83" s="111" t="n">
        <v>10.5864</v>
      </c>
      <c r="J83" s="89" t="n">
        <v>9.300000000000001</v>
      </c>
      <c r="K83" s="115" t="n">
        <v>1</v>
      </c>
      <c r="L83" s="112" t="n">
        <v>0</v>
      </c>
      <c r="M83" s="113" t="n">
        <v>75.0928</v>
      </c>
      <c r="N83" t="n">
        <v>1397</v>
      </c>
      <c r="O83" t="n">
        <v>802837</v>
      </c>
    </row>
    <row r="84" ht="13.5" customHeight="1" s="186">
      <c r="B84" s="97" t="inlineStr">
        <is>
          <t>BA</t>
        </is>
      </c>
      <c r="C84" s="97" t="n">
        <v>2005</v>
      </c>
      <c r="D84" s="98" t="n">
        <v>14.68</v>
      </c>
      <c r="E84" s="99" t="n">
        <v>0.04</v>
      </c>
      <c r="F84" s="100" t="n">
        <v>7.6148</v>
      </c>
      <c r="G84" s="101" t="n">
        <v>1.7918</v>
      </c>
      <c r="H84" s="77" t="n">
        <v>6581</v>
      </c>
      <c r="I84" s="102" t="n">
        <v>8.7919</v>
      </c>
      <c r="J84" s="85" t="n">
        <v>11.07</v>
      </c>
      <c r="K84" s="103" t="n">
        <v>0</v>
      </c>
      <c r="L84" s="103" t="n">
        <v>0</v>
      </c>
      <c r="M84" s="104" t="n">
        <v>83.59010000000001</v>
      </c>
      <c r="N84" t="n">
        <v>6</v>
      </c>
      <c r="O84" t="n">
        <v>13815334</v>
      </c>
    </row>
    <row r="85" ht="13.5" customHeight="1" s="186">
      <c r="B85" s="105" t="inlineStr">
        <is>
          <t>BA</t>
        </is>
      </c>
      <c r="C85" s="105" t="n">
        <v>2006</v>
      </c>
      <c r="D85" s="106" t="n">
        <v>17.18</v>
      </c>
      <c r="E85" s="107" t="n">
        <v>0.08</v>
      </c>
      <c r="F85" s="108" t="n">
        <v>7.7816</v>
      </c>
      <c r="G85" s="109" t="n">
        <v>2.3979</v>
      </c>
      <c r="H85" s="110" t="n">
        <v>6919</v>
      </c>
      <c r="I85" s="111" t="n">
        <v>8.842000000000001</v>
      </c>
      <c r="J85" s="89" t="n">
        <v>10.25</v>
      </c>
      <c r="K85" s="112" t="n">
        <v>0</v>
      </c>
      <c r="L85" s="112" t="n">
        <v>0</v>
      </c>
      <c r="M85" s="113" t="n">
        <v>83.59010000000001</v>
      </c>
      <c r="N85" t="n">
        <v>17</v>
      </c>
      <c r="O85" t="n">
        <v>13950146</v>
      </c>
    </row>
    <row r="86" ht="13.5" customHeight="1" s="186">
      <c r="B86" s="97" t="inlineStr">
        <is>
          <t>BA</t>
        </is>
      </c>
      <c r="C86" s="97" t="n">
        <v>2007</v>
      </c>
      <c r="D86" s="98" t="n">
        <v>19.12</v>
      </c>
      <c r="E86" s="99" t="n">
        <v>0.11</v>
      </c>
      <c r="F86" s="100" t="n">
        <v>7.898</v>
      </c>
      <c r="G86" s="101" t="n">
        <v>2.7726</v>
      </c>
      <c r="H86" s="77" t="n">
        <v>7787</v>
      </c>
      <c r="I86" s="102" t="n">
        <v>8.9602</v>
      </c>
      <c r="J86" s="85" t="n">
        <v>10.34</v>
      </c>
      <c r="K86" s="103" t="n">
        <v>0</v>
      </c>
      <c r="L86" s="103" t="n">
        <v>0</v>
      </c>
      <c r="M86" s="104" t="n">
        <v>83.59010000000001</v>
      </c>
      <c r="N86" t="n">
        <v>33</v>
      </c>
      <c r="O86" t="n">
        <v>14080670</v>
      </c>
    </row>
    <row r="87" ht="13.5" customHeight="1" s="186">
      <c r="B87" s="105" t="inlineStr">
        <is>
          <t>BA</t>
        </is>
      </c>
      <c r="C87" s="105" t="n">
        <v>2008</v>
      </c>
      <c r="D87" s="106" t="n">
        <v>26.35</v>
      </c>
      <c r="E87" s="107" t="n">
        <v>0.22</v>
      </c>
      <c r="F87" s="108" t="n">
        <v>8.2485</v>
      </c>
      <c r="G87" s="109" t="n">
        <v>3.4657</v>
      </c>
      <c r="H87" s="110" t="n">
        <v>8378</v>
      </c>
      <c r="I87" s="111" t="n">
        <v>9.0334</v>
      </c>
      <c r="J87" s="89" t="n">
        <v>10.53</v>
      </c>
      <c r="K87" s="112" t="n">
        <v>0</v>
      </c>
      <c r="L87" s="112" t="n">
        <v>0</v>
      </c>
      <c r="M87" s="113" t="n">
        <v>83.59010000000001</v>
      </c>
      <c r="N87" t="n">
        <v>65</v>
      </c>
      <c r="O87" t="n">
        <v>14502563</v>
      </c>
    </row>
    <row r="88" ht="13.5" customHeight="1" s="186">
      <c r="B88" s="97" t="inlineStr">
        <is>
          <t>BA</t>
        </is>
      </c>
      <c r="C88" s="97" t="n">
        <v>2009</v>
      </c>
      <c r="D88" s="98" t="n">
        <v>29.83</v>
      </c>
      <c r="E88" s="99" t="n">
        <v>0.4</v>
      </c>
      <c r="F88" s="100" t="n">
        <v>8.3818</v>
      </c>
      <c r="G88" s="101" t="n">
        <v>4.0604</v>
      </c>
      <c r="H88" s="77" t="n">
        <v>9365</v>
      </c>
      <c r="I88" s="102" t="n">
        <v>9.1447</v>
      </c>
      <c r="J88" s="86" t="n">
        <v>10.67</v>
      </c>
      <c r="K88" s="103" t="n">
        <v>0</v>
      </c>
      <c r="L88" s="114" t="n">
        <v>0</v>
      </c>
      <c r="M88" s="104" t="n">
        <v>83.59010000000001</v>
      </c>
      <c r="N88" t="n">
        <v>123</v>
      </c>
      <c r="O88" t="n">
        <v>14637364</v>
      </c>
    </row>
    <row r="89" ht="13.5" customHeight="1" s="186">
      <c r="B89" s="105" t="inlineStr">
        <is>
          <t>BA</t>
        </is>
      </c>
      <c r="C89" s="105" t="n">
        <v>2010</v>
      </c>
      <c r="D89" s="106" t="n">
        <v>31.74</v>
      </c>
      <c r="E89" s="107" t="n">
        <v>0.44</v>
      </c>
      <c r="F89" s="108" t="n">
        <v>8.400399999999999</v>
      </c>
      <c r="G89" s="109" t="n">
        <v>4.1271</v>
      </c>
      <c r="H89" s="110" t="n">
        <v>11017</v>
      </c>
      <c r="I89" s="111" t="n">
        <v>9.3072</v>
      </c>
      <c r="J89" s="86" t="n">
        <v>10.59</v>
      </c>
      <c r="K89" s="112" t="n">
        <v>0</v>
      </c>
      <c r="L89" s="114" t="n">
        <v>0</v>
      </c>
      <c r="M89" s="113" t="n">
        <v>83.59010000000001</v>
      </c>
      <c r="N89" t="n">
        <v>185</v>
      </c>
      <c r="O89" t="n">
        <v>14016906</v>
      </c>
    </row>
    <row r="90" ht="13.5" customHeight="1" s="186">
      <c r="B90" s="97" t="inlineStr">
        <is>
          <t>BA</t>
        </is>
      </c>
      <c r="C90" s="97" t="n">
        <v>2011</v>
      </c>
      <c r="D90" s="98" t="n">
        <v>29.54</v>
      </c>
      <c r="E90" s="99" t="n">
        <v>1.09</v>
      </c>
      <c r="F90" s="100" t="n">
        <v>8.3345</v>
      </c>
      <c r="G90" s="101" t="n">
        <v>5.0304</v>
      </c>
      <c r="H90" s="77" t="n">
        <v>11818</v>
      </c>
      <c r="I90" s="102" t="n">
        <v>9.3774</v>
      </c>
      <c r="J90" s="85" t="n">
        <v>10.51</v>
      </c>
      <c r="K90" s="103" t="n">
        <v>0</v>
      </c>
      <c r="L90" s="103" t="n">
        <v>0</v>
      </c>
      <c r="M90" s="104" t="n">
        <v>83.59010000000001</v>
      </c>
      <c r="N90" t="n">
        <v>338</v>
      </c>
      <c r="O90" t="n">
        <v>14097534</v>
      </c>
    </row>
    <row r="91" ht="13.5" customHeight="1" s="186">
      <c r="B91" s="105" t="inlineStr">
        <is>
          <t>BA</t>
        </is>
      </c>
      <c r="C91" s="105" t="n">
        <v>2012</v>
      </c>
      <c r="D91" s="106" t="n">
        <v>32.45</v>
      </c>
      <c r="E91" s="107" t="n">
        <v>1.1</v>
      </c>
      <c r="F91" s="108" t="n">
        <v>8.4338</v>
      </c>
      <c r="G91" s="109" t="n">
        <v>5.0499</v>
      </c>
      <c r="H91" s="110" t="n">
        <v>12880</v>
      </c>
      <c r="I91" s="111" t="n">
        <v>9.4634</v>
      </c>
      <c r="J91" s="89" t="n">
        <v>10.18</v>
      </c>
      <c r="K91" s="115" t="n">
        <v>0</v>
      </c>
      <c r="L91" s="112" t="n">
        <v>0</v>
      </c>
      <c r="M91" s="113" t="n">
        <v>83.59010000000001</v>
      </c>
      <c r="N91" t="n">
        <v>494</v>
      </c>
      <c r="O91" t="n">
        <v>14175341</v>
      </c>
    </row>
    <row r="92" ht="13.5" customHeight="1" s="186">
      <c r="B92" s="97" t="inlineStr">
        <is>
          <t>BA</t>
        </is>
      </c>
      <c r="C92" s="97" t="n">
        <v>2013</v>
      </c>
      <c r="D92" s="98" t="n">
        <v>28.51</v>
      </c>
      <c r="E92" s="99" t="n">
        <v>0.58</v>
      </c>
      <c r="F92" s="100" t="n">
        <v>8.363799999999999</v>
      </c>
      <c r="G92" s="101" t="n">
        <v>4.4773</v>
      </c>
      <c r="H92" s="77" t="n">
        <v>13616</v>
      </c>
      <c r="I92" s="102" t="n">
        <v>9.519</v>
      </c>
      <c r="J92" s="85" t="n">
        <v>9.869999999999999</v>
      </c>
      <c r="K92" s="103" t="n">
        <v>0</v>
      </c>
      <c r="L92" s="103" t="n">
        <v>0</v>
      </c>
      <c r="M92" s="104" t="n">
        <v>83.59010000000001</v>
      </c>
      <c r="N92" t="n">
        <v>582</v>
      </c>
      <c r="O92" t="n">
        <v>15044137</v>
      </c>
    </row>
    <row r="93" ht="13.5" customHeight="1" s="186">
      <c r="B93" s="105" t="inlineStr">
        <is>
          <t>BA</t>
        </is>
      </c>
      <c r="C93" s="105" t="n">
        <v>2014</v>
      </c>
      <c r="D93" s="106" t="n">
        <v>30.75</v>
      </c>
      <c r="E93" s="107" t="n">
        <v>0.17</v>
      </c>
      <c r="F93" s="108" t="n">
        <v>8.4451</v>
      </c>
      <c r="G93" s="109" t="n">
        <v>3.2581</v>
      </c>
      <c r="H93" s="110" t="n">
        <v>14804</v>
      </c>
      <c r="I93" s="111" t="n">
        <v>9.6027</v>
      </c>
      <c r="J93" s="89" t="n">
        <v>9.98</v>
      </c>
      <c r="K93" s="112" t="n">
        <v>0</v>
      </c>
      <c r="L93" s="112" t="n">
        <v>0</v>
      </c>
      <c r="M93" s="113" t="n">
        <v>83.59010000000001</v>
      </c>
      <c r="N93" t="n">
        <v>608</v>
      </c>
      <c r="O93" t="n">
        <v>15126371</v>
      </c>
    </row>
    <row r="94" ht="13.5" customHeight="1" s="186">
      <c r="B94" s="97" t="inlineStr">
        <is>
          <t>BA</t>
        </is>
      </c>
      <c r="C94" s="97" t="n">
        <v>2015</v>
      </c>
      <c r="D94" s="98" t="n">
        <v>29.95</v>
      </c>
      <c r="E94" s="99" t="n">
        <v>0.97</v>
      </c>
      <c r="F94" s="100" t="n">
        <v>8.423500000000001</v>
      </c>
      <c r="G94" s="101" t="n">
        <v>4.9972</v>
      </c>
      <c r="H94" s="77" t="n">
        <v>16118</v>
      </c>
      <c r="I94" s="102" t="n">
        <v>9.6877</v>
      </c>
      <c r="J94" s="85" t="n">
        <v>12.4</v>
      </c>
      <c r="K94" s="103" t="n">
        <v>0</v>
      </c>
      <c r="L94" s="103" t="n">
        <v>0</v>
      </c>
      <c r="M94" s="104" t="n">
        <v>83.59010000000001</v>
      </c>
      <c r="N94" t="n">
        <v>756</v>
      </c>
      <c r="O94" t="n">
        <v>15203334</v>
      </c>
    </row>
    <row r="95" ht="13.5" customHeight="1" s="186">
      <c r="B95" s="105" t="inlineStr">
        <is>
          <t>BA</t>
        </is>
      </c>
      <c r="C95" s="105" t="n">
        <v>2016</v>
      </c>
      <c r="D95" s="106" t="n">
        <v>35.62</v>
      </c>
      <c r="E95" s="107" t="n">
        <v>1.6</v>
      </c>
      <c r="F95" s="108" t="n">
        <v>8.601900000000001</v>
      </c>
      <c r="G95" s="109" t="n">
        <v>5.5013</v>
      </c>
      <c r="H95" s="110" t="n">
        <v>16937</v>
      </c>
      <c r="I95" s="111" t="n">
        <v>9.737299999999999</v>
      </c>
      <c r="J95" s="89" t="n">
        <v>16</v>
      </c>
      <c r="K95" s="112" t="n">
        <v>0</v>
      </c>
      <c r="L95" s="112" t="n">
        <v>0</v>
      </c>
      <c r="M95" s="113" t="n">
        <v>83.59010000000001</v>
      </c>
      <c r="N95" t="n">
        <v>1001</v>
      </c>
      <c r="O95" t="n">
        <v>15276566</v>
      </c>
    </row>
    <row r="96" ht="13.5" customHeight="1" s="186">
      <c r="B96" s="97" t="inlineStr">
        <is>
          <t>BA</t>
        </is>
      </c>
      <c r="C96" s="97" t="n">
        <v>2017</v>
      </c>
      <c r="D96" s="98" t="n">
        <v>35.3</v>
      </c>
      <c r="E96" s="99" t="n">
        <v>2.97</v>
      </c>
      <c r="F96" s="100" t="n">
        <v>8.597099999999999</v>
      </c>
      <c r="G96" s="101" t="n">
        <v>6.1203</v>
      </c>
      <c r="H96" s="77" t="n">
        <v>17513</v>
      </c>
      <c r="I96" s="102" t="n">
        <v>9.7707</v>
      </c>
      <c r="J96" s="86" t="n">
        <v>17.1</v>
      </c>
      <c r="K96" s="103" t="n">
        <v>0</v>
      </c>
      <c r="L96" s="114" t="n">
        <v>0</v>
      </c>
      <c r="M96" s="104" t="n">
        <v>83.59010000000001</v>
      </c>
      <c r="N96" t="n">
        <v>1456</v>
      </c>
      <c r="O96" t="n">
        <v>15344447</v>
      </c>
    </row>
    <row r="97" ht="13.5" customHeight="1" s="186">
      <c r="B97" s="105" t="inlineStr">
        <is>
          <t>BA</t>
        </is>
      </c>
      <c r="C97" s="105" t="n">
        <v>2018</v>
      </c>
      <c r="D97" s="106" t="n">
        <v>33.47</v>
      </c>
      <c r="E97" s="107" t="n">
        <v>5.33</v>
      </c>
      <c r="F97" s="108" t="n">
        <v>8.508800000000001</v>
      </c>
      <c r="G97" s="109" t="n">
        <v>6.672</v>
      </c>
      <c r="H97" s="110" t="n">
        <v>19324</v>
      </c>
      <c r="I97" s="111" t="n">
        <v>9.8691</v>
      </c>
      <c r="J97" s="86" t="n">
        <v>17.2</v>
      </c>
      <c r="K97" s="112" t="n">
        <v>0</v>
      </c>
      <c r="L97" s="114" t="n">
        <v>0</v>
      </c>
      <c r="M97" s="113" t="n">
        <v>83.59010000000001</v>
      </c>
      <c r="N97" t="n">
        <v>2246</v>
      </c>
      <c r="O97" t="n">
        <v>14812617</v>
      </c>
    </row>
    <row r="98" ht="13.5" customHeight="1" s="186">
      <c r="B98" s="97" t="inlineStr">
        <is>
          <t>BA</t>
        </is>
      </c>
      <c r="C98" s="97" t="n">
        <v>2019</v>
      </c>
      <c r="D98" s="98" t="n">
        <v>30.83</v>
      </c>
      <c r="E98" s="99" t="n">
        <v>19.63</v>
      </c>
      <c r="F98" s="100" t="n">
        <v>8.4308</v>
      </c>
      <c r="G98" s="101" t="n">
        <v>7.9793</v>
      </c>
      <c r="H98" s="77" t="n">
        <v>19716</v>
      </c>
      <c r="I98" s="102" t="n">
        <v>9.889200000000001</v>
      </c>
      <c r="J98" s="85" t="n">
        <v>17.4</v>
      </c>
      <c r="K98" s="103" t="n">
        <v>0</v>
      </c>
      <c r="L98" s="103" t="n">
        <v>0</v>
      </c>
      <c r="M98" s="104" t="n">
        <v>83.59010000000001</v>
      </c>
      <c r="N98" t="n">
        <v>5166</v>
      </c>
      <c r="O98" t="n">
        <v>14873064</v>
      </c>
    </row>
    <row r="99" ht="13.5" customHeight="1" s="186">
      <c r="B99" s="105" t="inlineStr">
        <is>
          <t>BA</t>
        </is>
      </c>
      <c r="C99" s="105" t="n">
        <v>2020</v>
      </c>
      <c r="D99" s="106" t="n">
        <v>34.04</v>
      </c>
      <c r="E99" s="107" t="n">
        <v>41.26</v>
      </c>
      <c r="F99" s="108" t="n">
        <v>8.5335</v>
      </c>
      <c r="G99" s="109" t="n">
        <v>8.726000000000001</v>
      </c>
      <c r="H99" s="110" t="n">
        <v>20449</v>
      </c>
      <c r="I99" s="111" t="n">
        <v>9.925700000000001</v>
      </c>
      <c r="J99" s="89" t="n">
        <v>20.2</v>
      </c>
      <c r="K99" s="115" t="n">
        <v>0</v>
      </c>
      <c r="L99" s="112" t="n">
        <v>1</v>
      </c>
      <c r="M99" s="113" t="n">
        <v>83.59010000000001</v>
      </c>
      <c r="N99" t="n">
        <v>11327</v>
      </c>
      <c r="O99" t="n">
        <v>14930634</v>
      </c>
    </row>
    <row r="100" ht="13.5" customHeight="1" s="186">
      <c r="B100" s="97" t="inlineStr">
        <is>
          <t>BA</t>
        </is>
      </c>
      <c r="C100" s="97" t="n">
        <v>2021</v>
      </c>
      <c r="D100" s="98" t="n">
        <v>35.3</v>
      </c>
      <c r="E100" s="99" t="n">
        <v>56.73</v>
      </c>
      <c r="F100" s="100" t="n">
        <v>8.573600000000001</v>
      </c>
      <c r="G100" s="101" t="n">
        <v>9.0479</v>
      </c>
      <c r="H100" s="77" t="n">
        <v>23531</v>
      </c>
      <c r="I100" s="102" t="n">
        <v>10.0661</v>
      </c>
      <c r="J100" s="85" t="n">
        <v>19.5</v>
      </c>
      <c r="K100" s="103" t="n">
        <v>0</v>
      </c>
      <c r="L100" s="103" t="n">
        <v>1</v>
      </c>
      <c r="M100" s="104" t="n">
        <v>83.59010000000001</v>
      </c>
      <c r="N100" t="n">
        <v>19828</v>
      </c>
      <c r="O100" t="n">
        <v>14985284</v>
      </c>
    </row>
    <row r="101" ht="13.5" customHeight="1" s="186">
      <c r="B101" s="105" t="inlineStr">
        <is>
          <t>BA</t>
        </is>
      </c>
      <c r="C101" s="105" t="n">
        <v>2022</v>
      </c>
      <c r="D101" s="106" t="n">
        <v>34.12</v>
      </c>
      <c r="E101" s="107" t="n">
        <v>83.59</v>
      </c>
      <c r="F101" s="108" t="n">
        <v>8.4816</v>
      </c>
      <c r="G101" s="109" t="n">
        <v>9.377599999999999</v>
      </c>
      <c r="H101" s="110" t="n">
        <v>28472</v>
      </c>
      <c r="I101" s="111" t="n">
        <v>10.2567</v>
      </c>
      <c r="J101" s="89" t="n">
        <v>15.3</v>
      </c>
      <c r="K101" s="112" t="n">
        <v>0</v>
      </c>
      <c r="L101" s="112" t="n">
        <v>0</v>
      </c>
      <c r="M101" s="113" t="n">
        <v>83.59010000000001</v>
      </c>
      <c r="N101" t="n">
        <v>31649</v>
      </c>
      <c r="O101" t="n">
        <v>14141626</v>
      </c>
    </row>
    <row r="102" ht="13.5" customHeight="1" s="186">
      <c r="B102" s="97" t="inlineStr">
        <is>
          <t>BA</t>
        </is>
      </c>
      <c r="C102" s="97" t="n">
        <v>2023</v>
      </c>
      <c r="D102" s="98" t="n">
        <v>33.58</v>
      </c>
      <c r="E102" s="99" t="n">
        <v>0.51</v>
      </c>
      <c r="F102" s="100" t="n">
        <v>8.4657</v>
      </c>
      <c r="G102" s="101" t="n">
        <v>4.2767</v>
      </c>
      <c r="H102" s="77" t="n">
        <v>30477</v>
      </c>
      <c r="I102" s="102" t="n">
        <v>10.3247</v>
      </c>
      <c r="J102" s="85" t="n">
        <v>13.4</v>
      </c>
      <c r="K102" s="103" t="n">
        <v>1</v>
      </c>
      <c r="L102" s="103" t="n">
        <v>0</v>
      </c>
      <c r="M102" s="104" t="n">
        <v>83.59010000000001</v>
      </c>
      <c r="N102" t="n">
        <v>31721</v>
      </c>
      <c r="O102" t="n">
        <v>14141626</v>
      </c>
    </row>
    <row r="103" ht="13.5" customHeight="1" s="186">
      <c r="B103" s="105" t="inlineStr">
        <is>
          <t>BA</t>
        </is>
      </c>
      <c r="C103" s="105" t="n">
        <v>2024</v>
      </c>
      <c r="D103" s="106" t="n">
        <v>25.43</v>
      </c>
      <c r="E103" s="107" t="n">
        <v>10.38</v>
      </c>
      <c r="F103" s="108" t="n">
        <v>8.236700000000001</v>
      </c>
      <c r="G103" s="109" t="n">
        <v>7.3402</v>
      </c>
      <c r="H103" s="110" t="n">
        <v>31312</v>
      </c>
      <c r="I103" s="111" t="n">
        <v>10.3518</v>
      </c>
      <c r="J103" s="89" t="n">
        <v>11.2</v>
      </c>
      <c r="K103" s="112" t="n">
        <v>1</v>
      </c>
      <c r="L103" s="112" t="n">
        <v>0</v>
      </c>
      <c r="M103" s="113" t="n">
        <v>83.59010000000001</v>
      </c>
      <c r="N103" t="n">
        <v>33262</v>
      </c>
      <c r="O103" t="n">
        <v>14850513</v>
      </c>
    </row>
    <row r="104" ht="13.5" customHeight="1" s="186">
      <c r="B104" s="97" t="inlineStr">
        <is>
          <t>CE</t>
        </is>
      </c>
      <c r="C104" s="97" t="n">
        <v>2005</v>
      </c>
      <c r="D104" s="98" t="n">
        <v>12.49</v>
      </c>
      <c r="E104" s="99" t="n">
        <v>0.21</v>
      </c>
      <c r="F104" s="100" t="n">
        <v>6.9187</v>
      </c>
      <c r="G104" s="101" t="n">
        <v>2.8332</v>
      </c>
      <c r="H104" s="77" t="n">
        <v>5055</v>
      </c>
      <c r="I104" s="102" t="n">
        <v>8.5281</v>
      </c>
      <c r="J104" s="86" t="n">
        <v>9.119999999999999</v>
      </c>
      <c r="K104" s="103" t="n">
        <v>0</v>
      </c>
      <c r="L104" s="114" t="n">
        <v>0</v>
      </c>
      <c r="M104" s="104" t="n">
        <v>73.20099999999999</v>
      </c>
      <c r="N104" t="n">
        <v>17</v>
      </c>
      <c r="O104" t="n">
        <v>8097276</v>
      </c>
    </row>
    <row r="105" ht="13.5" customHeight="1" s="186">
      <c r="B105" s="105" t="inlineStr">
        <is>
          <t>CE</t>
        </is>
      </c>
      <c r="C105" s="105" t="n">
        <v>2006</v>
      </c>
      <c r="D105" s="106" t="n">
        <v>12.9</v>
      </c>
      <c r="E105" s="107" t="n">
        <v>0.27</v>
      </c>
      <c r="F105" s="108" t="n">
        <v>6.966</v>
      </c>
      <c r="G105" s="109" t="n">
        <v>3.091</v>
      </c>
      <c r="H105" s="110" t="n">
        <v>5635</v>
      </c>
      <c r="I105" s="111" t="n">
        <v>8.636799999999999</v>
      </c>
      <c r="J105" s="86" t="n">
        <v>8.359999999999999</v>
      </c>
      <c r="K105" s="112" t="n">
        <v>0</v>
      </c>
      <c r="L105" s="114" t="n">
        <v>0</v>
      </c>
      <c r="M105" s="113" t="n">
        <v>73.20099999999999</v>
      </c>
      <c r="N105" t="n">
        <v>39</v>
      </c>
      <c r="O105" t="n">
        <v>8217085</v>
      </c>
    </row>
    <row r="106" ht="13.5" customHeight="1" s="186">
      <c r="B106" s="97" t="inlineStr">
        <is>
          <t>CE</t>
        </is>
      </c>
      <c r="C106" s="97" t="n">
        <v>2007</v>
      </c>
      <c r="D106" s="98" t="n">
        <v>15.04</v>
      </c>
      <c r="E106" s="99" t="n">
        <v>0.45</v>
      </c>
      <c r="F106" s="100" t="n">
        <v>7.1156</v>
      </c>
      <c r="G106" s="101" t="n">
        <v>3.6109</v>
      </c>
      <c r="H106" s="77" t="n">
        <v>6149</v>
      </c>
      <c r="I106" s="102" t="n">
        <v>8.724</v>
      </c>
      <c r="J106" s="85" t="n">
        <v>7.88</v>
      </c>
      <c r="K106" s="103" t="n">
        <v>0</v>
      </c>
      <c r="L106" s="103" t="n">
        <v>0</v>
      </c>
      <c r="M106" s="104" t="n">
        <v>73.20099999999999</v>
      </c>
      <c r="N106" t="n">
        <v>76</v>
      </c>
      <c r="O106" t="n">
        <v>8185250</v>
      </c>
    </row>
    <row r="107" ht="13.5" customHeight="1" s="186">
      <c r="B107" s="105" t="inlineStr">
        <is>
          <t>CE</t>
        </is>
      </c>
      <c r="C107" s="105" t="n">
        <v>2008</v>
      </c>
      <c r="D107" s="106" t="n">
        <v>15.89</v>
      </c>
      <c r="E107" s="107" t="n">
        <v>0.51</v>
      </c>
      <c r="F107" s="108" t="n">
        <v>7.2027</v>
      </c>
      <c r="G107" s="109" t="n">
        <v>3.7612</v>
      </c>
      <c r="H107" s="110" t="n">
        <v>7112</v>
      </c>
      <c r="I107" s="111" t="n">
        <v>8.8695</v>
      </c>
      <c r="J107" s="89" t="n">
        <v>7</v>
      </c>
      <c r="K107" s="115" t="n">
        <v>0</v>
      </c>
      <c r="L107" s="112" t="n">
        <v>0</v>
      </c>
      <c r="M107" s="113" t="n">
        <v>73.20099999999999</v>
      </c>
      <c r="N107" t="n">
        <v>119</v>
      </c>
      <c r="O107" t="n">
        <v>8450528</v>
      </c>
    </row>
    <row r="108" ht="13.5" customHeight="1" s="186">
      <c r="B108" s="97" t="inlineStr">
        <is>
          <t>CE</t>
        </is>
      </c>
      <c r="C108" s="97" t="n">
        <v>2009</v>
      </c>
      <c r="D108" s="98" t="n">
        <v>17.72</v>
      </c>
      <c r="E108" s="99" t="n">
        <v>1.5</v>
      </c>
      <c r="F108" s="100" t="n">
        <v>7.3232</v>
      </c>
      <c r="G108" s="101" t="n">
        <v>4.852</v>
      </c>
      <c r="H108" s="77" t="n">
        <v>7687</v>
      </c>
      <c r="I108" s="102" t="n">
        <v>8.9473</v>
      </c>
      <c r="J108" s="85" t="n">
        <v>7.91</v>
      </c>
      <c r="K108" s="103" t="n">
        <v>0</v>
      </c>
      <c r="L108" s="103" t="n">
        <v>0</v>
      </c>
      <c r="M108" s="104" t="n">
        <v>73.20099999999999</v>
      </c>
      <c r="N108" t="n">
        <v>247</v>
      </c>
      <c r="O108" t="n">
        <v>8547809</v>
      </c>
    </row>
    <row r="109" ht="13.5" customHeight="1" s="186">
      <c r="B109" s="105" t="inlineStr">
        <is>
          <t>CE</t>
        </is>
      </c>
      <c r="C109" s="105" t="n">
        <v>2010</v>
      </c>
      <c r="D109" s="106" t="n">
        <v>24.32</v>
      </c>
      <c r="E109" s="107" t="n">
        <v>1.59</v>
      </c>
      <c r="F109" s="108" t="n">
        <v>7.6285</v>
      </c>
      <c r="G109" s="109" t="n">
        <v>4.8978</v>
      </c>
      <c r="H109" s="110" t="n">
        <v>9386</v>
      </c>
      <c r="I109" s="111" t="n">
        <v>9.147</v>
      </c>
      <c r="J109" s="89" t="n">
        <v>7.02</v>
      </c>
      <c r="K109" s="112" t="n">
        <v>0</v>
      </c>
      <c r="L109" s="112" t="n">
        <v>0</v>
      </c>
      <c r="M109" s="113" t="n">
        <v>73.20099999999999</v>
      </c>
      <c r="N109" t="n">
        <v>381</v>
      </c>
      <c r="O109" t="n">
        <v>8452381</v>
      </c>
    </row>
    <row r="110" ht="13.5" customHeight="1" s="186">
      <c r="B110" s="97" t="inlineStr">
        <is>
          <t>CE</t>
        </is>
      </c>
      <c r="C110" s="97" t="n">
        <v>2011</v>
      </c>
      <c r="D110" s="98" t="n">
        <v>24.18</v>
      </c>
      <c r="E110" s="99" t="n">
        <v>2.59</v>
      </c>
      <c r="F110" s="100" t="n">
        <v>7.6319</v>
      </c>
      <c r="G110" s="101" t="n">
        <v>5.3982</v>
      </c>
      <c r="H110" s="77" t="n">
        <v>10515</v>
      </c>
      <c r="I110" s="102" t="n">
        <v>9.2606</v>
      </c>
      <c r="J110" s="85" t="n">
        <v>6.12</v>
      </c>
      <c r="K110" s="103" t="n">
        <v>0</v>
      </c>
      <c r="L110" s="103" t="n">
        <v>0</v>
      </c>
      <c r="M110" s="104" t="n">
        <v>73.20099999999999</v>
      </c>
      <c r="N110" t="n">
        <v>602</v>
      </c>
      <c r="O110" t="n">
        <v>8530155</v>
      </c>
    </row>
    <row r="111" ht="13.5" customHeight="1" s="186">
      <c r="B111" s="105" t="inlineStr">
        <is>
          <t>CE</t>
        </is>
      </c>
      <c r="C111" s="105" t="n">
        <v>2012</v>
      </c>
      <c r="D111" s="106" t="n">
        <v>36.39</v>
      </c>
      <c r="E111" s="107" t="n">
        <v>3.32</v>
      </c>
      <c r="F111" s="108" t="n">
        <v>8.0494</v>
      </c>
      <c r="G111" s="109" t="n">
        <v>5.656</v>
      </c>
      <c r="H111" s="110" t="n">
        <v>11268</v>
      </c>
      <c r="I111" s="111" t="n">
        <v>9.329700000000001</v>
      </c>
      <c r="J111" s="89" t="n">
        <v>6.58</v>
      </c>
      <c r="K111" s="112" t="n">
        <v>0</v>
      </c>
      <c r="L111" s="112" t="n">
        <v>0</v>
      </c>
      <c r="M111" s="113" t="n">
        <v>73.20099999999999</v>
      </c>
      <c r="N111" t="n">
        <v>888</v>
      </c>
      <c r="O111" t="n">
        <v>8606005</v>
      </c>
    </row>
    <row r="112" ht="13.5" customHeight="1" s="186">
      <c r="B112" s="97" t="inlineStr">
        <is>
          <t>CE</t>
        </is>
      </c>
      <c r="C112" s="97" t="n">
        <v>2013</v>
      </c>
      <c r="D112" s="98" t="n">
        <v>41.6</v>
      </c>
      <c r="E112" s="99" t="n">
        <v>4.28</v>
      </c>
      <c r="F112" s="100" t="n">
        <v>8.202999999999999</v>
      </c>
      <c r="G112" s="101" t="n">
        <v>5.9296</v>
      </c>
      <c r="H112" s="77" t="n">
        <v>12421</v>
      </c>
      <c r="I112" s="102" t="n">
        <v>9.427099999999999</v>
      </c>
      <c r="J112" s="86" t="n">
        <v>7.42</v>
      </c>
      <c r="K112" s="103" t="n">
        <v>0</v>
      </c>
      <c r="L112" s="114" t="n">
        <v>0</v>
      </c>
      <c r="M112" s="104" t="n">
        <v>73.20099999999999</v>
      </c>
      <c r="N112" t="n">
        <v>1264</v>
      </c>
      <c r="O112" t="n">
        <v>8778576</v>
      </c>
    </row>
    <row r="113" ht="13.5" customHeight="1" s="186">
      <c r="B113" s="105" t="inlineStr">
        <is>
          <t>CE</t>
        </is>
      </c>
      <c r="C113" s="105" t="n">
        <v>2014</v>
      </c>
      <c r="D113" s="106" t="n">
        <v>42.97</v>
      </c>
      <c r="E113" s="107" t="n">
        <v>1.83</v>
      </c>
      <c r="F113" s="108" t="n">
        <v>8.242800000000001</v>
      </c>
      <c r="G113" s="109" t="n">
        <v>5.0876</v>
      </c>
      <c r="H113" s="110" t="n">
        <v>14255</v>
      </c>
      <c r="I113" s="111" t="n">
        <v>9.5649</v>
      </c>
      <c r="J113" s="86" t="n">
        <v>8.23</v>
      </c>
      <c r="K113" s="112" t="n">
        <v>0</v>
      </c>
      <c r="L113" s="114" t="n">
        <v>0</v>
      </c>
      <c r="M113" s="113" t="n">
        <v>73.20099999999999</v>
      </c>
      <c r="N113" t="n">
        <v>1426</v>
      </c>
      <c r="O113" t="n">
        <v>8842791</v>
      </c>
    </row>
    <row r="114" ht="13.5" customHeight="1" s="186">
      <c r="B114" s="97" t="inlineStr">
        <is>
          <t>CE</t>
        </is>
      </c>
      <c r="C114" s="97" t="n">
        <v>2015</v>
      </c>
      <c r="D114" s="98" t="n">
        <v>38.15</v>
      </c>
      <c r="E114" s="99" t="n">
        <v>2.81</v>
      </c>
      <c r="F114" s="100" t="n">
        <v>8.130599999999999</v>
      </c>
      <c r="G114" s="101" t="n">
        <v>5.5215</v>
      </c>
      <c r="H114" s="77" t="n">
        <v>14670</v>
      </c>
      <c r="I114" s="102" t="n">
        <v>9.5936</v>
      </c>
      <c r="J114" s="85" t="n">
        <v>8.9</v>
      </c>
      <c r="K114" s="103" t="n">
        <v>0</v>
      </c>
      <c r="L114" s="103" t="n">
        <v>0</v>
      </c>
      <c r="M114" s="104" t="n">
        <v>73.20099999999999</v>
      </c>
      <c r="N114" t="n">
        <v>1676</v>
      </c>
      <c r="O114" t="n">
        <v>8904459</v>
      </c>
    </row>
    <row r="115" ht="13.5" customHeight="1" s="186">
      <c r="B115" s="105" t="inlineStr">
        <is>
          <t>CE</t>
        </is>
      </c>
      <c r="C115" s="105" t="n">
        <v>2016</v>
      </c>
      <c r="D115" s="106" t="n">
        <v>32.26</v>
      </c>
      <c r="E115" s="107" t="n">
        <v>4.33</v>
      </c>
      <c r="F115" s="108" t="n">
        <v>7.9697</v>
      </c>
      <c r="G115" s="109" t="n">
        <v>5.961</v>
      </c>
      <c r="H115" s="110" t="n">
        <v>15443</v>
      </c>
      <c r="I115" s="111" t="n">
        <v>9.6449</v>
      </c>
      <c r="J115" s="89" t="n">
        <v>12.1</v>
      </c>
      <c r="K115" s="115" t="n">
        <v>0</v>
      </c>
      <c r="L115" s="112" t="n">
        <v>0</v>
      </c>
      <c r="M115" s="113" t="n">
        <v>73.20099999999999</v>
      </c>
      <c r="N115" t="n">
        <v>2064</v>
      </c>
      <c r="O115" t="n">
        <v>8963663</v>
      </c>
    </row>
    <row r="116" ht="13.5" customHeight="1" s="186">
      <c r="B116" s="97" t="inlineStr">
        <is>
          <t>CE</t>
        </is>
      </c>
      <c r="C116" s="97" t="n">
        <v>2017</v>
      </c>
      <c r="D116" s="98" t="n">
        <v>52.05</v>
      </c>
      <c r="E116" s="99" t="n">
        <v>7.67</v>
      </c>
      <c r="F116" s="100" t="n">
        <v>8.4543</v>
      </c>
      <c r="G116" s="101" t="n">
        <v>6.5396</v>
      </c>
      <c r="H116" s="77" t="n">
        <v>16398</v>
      </c>
      <c r="I116" s="102" t="n">
        <v>9.7049</v>
      </c>
      <c r="J116" s="85" t="n">
        <v>12.7</v>
      </c>
      <c r="K116" s="103" t="n">
        <v>0</v>
      </c>
      <c r="L116" s="103" t="n">
        <v>0</v>
      </c>
      <c r="M116" s="104" t="n">
        <v>73.20099999999999</v>
      </c>
      <c r="N116" t="n">
        <v>2756</v>
      </c>
      <c r="O116" t="n">
        <v>9020460</v>
      </c>
    </row>
    <row r="117" ht="13.5" customHeight="1" s="186">
      <c r="B117" s="105" t="inlineStr">
        <is>
          <t>CE</t>
        </is>
      </c>
      <c r="C117" s="105" t="n">
        <v>2018</v>
      </c>
      <c r="D117" s="106" t="n">
        <v>46.5</v>
      </c>
      <c r="E117" s="107" t="n">
        <v>10.94</v>
      </c>
      <c r="F117" s="108" t="n">
        <v>8.3476</v>
      </c>
      <c r="G117" s="109" t="n">
        <v>6.9007</v>
      </c>
      <c r="H117" s="110" t="n">
        <v>17178</v>
      </c>
      <c r="I117" s="111" t="n">
        <v>9.7514</v>
      </c>
      <c r="J117" s="89" t="n">
        <v>11.4</v>
      </c>
      <c r="K117" s="112" t="n">
        <v>0</v>
      </c>
      <c r="L117" s="112" t="n">
        <v>0</v>
      </c>
      <c r="M117" s="113" t="n">
        <v>73.20099999999999</v>
      </c>
      <c r="N117" t="n">
        <v>3749</v>
      </c>
      <c r="O117" t="n">
        <v>9075649</v>
      </c>
    </row>
    <row r="118" ht="13.5" customHeight="1" s="186">
      <c r="B118" s="97" t="inlineStr">
        <is>
          <t>CE</t>
        </is>
      </c>
      <c r="C118" s="97" t="n">
        <v>2019</v>
      </c>
      <c r="D118" s="98" t="n">
        <v>20.64</v>
      </c>
      <c r="E118" s="99" t="n">
        <v>23.02</v>
      </c>
      <c r="F118" s="100" t="n">
        <v>7.5417</v>
      </c>
      <c r="G118" s="101" t="n">
        <v>7.6506</v>
      </c>
      <c r="H118" s="77" t="n">
        <v>17912</v>
      </c>
      <c r="I118" s="102" t="n">
        <v>9.793200000000001</v>
      </c>
      <c r="J118" s="85" t="n">
        <v>11.1</v>
      </c>
      <c r="K118" s="103" t="n">
        <v>0</v>
      </c>
      <c r="L118" s="103" t="n">
        <v>0</v>
      </c>
      <c r="M118" s="104" t="n">
        <v>73.20099999999999</v>
      </c>
      <c r="N118" t="n">
        <v>5851</v>
      </c>
      <c r="O118" t="n">
        <v>9132078</v>
      </c>
    </row>
    <row r="119" ht="13.5" customHeight="1" s="186">
      <c r="B119" s="105" t="inlineStr">
        <is>
          <t>CE</t>
        </is>
      </c>
      <c r="C119" s="105" t="n">
        <v>2020</v>
      </c>
      <c r="D119" s="106" t="n">
        <v>37.38</v>
      </c>
      <c r="E119" s="107" t="n">
        <v>33.93</v>
      </c>
      <c r="F119" s="108" t="n">
        <v>8.141500000000001</v>
      </c>
      <c r="G119" s="109" t="n">
        <v>8.044600000000001</v>
      </c>
      <c r="H119" s="110" t="n">
        <v>18168</v>
      </c>
      <c r="I119" s="111" t="n">
        <v>9.807399999999999</v>
      </c>
      <c r="J119" s="89" t="n">
        <v>13.3</v>
      </c>
      <c r="K119" s="112" t="n">
        <v>0</v>
      </c>
      <c r="L119" s="112" t="n">
        <v>1</v>
      </c>
      <c r="M119" s="113" t="n">
        <v>73.20099999999999</v>
      </c>
      <c r="N119" t="n">
        <v>8968</v>
      </c>
      <c r="O119" t="n">
        <v>9187103</v>
      </c>
    </row>
    <row r="120" ht="13.5" customHeight="1" s="186">
      <c r="B120" s="97" t="inlineStr">
        <is>
          <t>CE</t>
        </is>
      </c>
      <c r="C120" s="97" t="n">
        <v>2021</v>
      </c>
      <c r="D120" s="98" t="n">
        <v>32.1</v>
      </c>
      <c r="E120" s="99" t="n">
        <v>66.87</v>
      </c>
      <c r="F120" s="100" t="n">
        <v>7.995</v>
      </c>
      <c r="G120" s="101" t="n">
        <v>8.728899999999999</v>
      </c>
      <c r="H120" s="77" t="n">
        <v>21090</v>
      </c>
      <c r="I120" s="102" t="n">
        <v>9.9566</v>
      </c>
      <c r="J120" s="86" t="n">
        <v>13.4</v>
      </c>
      <c r="K120" s="103" t="n">
        <v>0</v>
      </c>
      <c r="L120" s="114" t="n">
        <v>1</v>
      </c>
      <c r="M120" s="104" t="n">
        <v>73.20099999999999</v>
      </c>
      <c r="N120" t="n">
        <v>15147</v>
      </c>
      <c r="O120" t="n">
        <v>9240580</v>
      </c>
    </row>
    <row r="121" ht="13.5" customHeight="1" s="186">
      <c r="B121" s="105" t="inlineStr">
        <is>
          <t>CE</t>
        </is>
      </c>
      <c r="C121" s="105" t="n">
        <v>2022</v>
      </c>
      <c r="D121" s="106" t="n">
        <v>28.13</v>
      </c>
      <c r="E121" s="107" t="n">
        <v>73.2</v>
      </c>
      <c r="F121" s="108" t="n">
        <v>7.8136</v>
      </c>
      <c r="G121" s="109" t="n">
        <v>8.77</v>
      </c>
      <c r="H121" s="110" t="n">
        <v>24287</v>
      </c>
      <c r="I121" s="111" t="n">
        <v>10.0977</v>
      </c>
      <c r="J121" s="86" t="n">
        <v>9.5</v>
      </c>
      <c r="K121" s="112" t="n">
        <v>0</v>
      </c>
      <c r="L121" s="114" t="n">
        <v>0</v>
      </c>
      <c r="M121" s="113" t="n">
        <v>73.20099999999999</v>
      </c>
      <c r="N121" t="n">
        <v>21585</v>
      </c>
      <c r="O121" t="n">
        <v>8794957</v>
      </c>
    </row>
    <row r="122" ht="13.5" customHeight="1" s="186">
      <c r="B122" s="97" t="inlineStr">
        <is>
          <t>CE</t>
        </is>
      </c>
      <c r="C122" s="97" t="n">
        <v>2023</v>
      </c>
      <c r="D122" s="98" t="n">
        <v>28.57</v>
      </c>
      <c r="E122" s="99" t="n">
        <v>0.2</v>
      </c>
      <c r="F122" s="100" t="n">
        <v>7.8292</v>
      </c>
      <c r="G122" s="101" t="n">
        <v>2.8904</v>
      </c>
      <c r="H122" s="77" t="n">
        <v>26406</v>
      </c>
      <c r="I122" s="102" t="n">
        <v>10.1813</v>
      </c>
      <c r="J122" s="85" t="n">
        <v>9.1</v>
      </c>
      <c r="K122" s="103" t="n">
        <v>1</v>
      </c>
      <c r="L122" s="103" t="n">
        <v>0</v>
      </c>
      <c r="M122" s="104" t="n">
        <v>73.20099999999999</v>
      </c>
      <c r="N122" t="n">
        <v>21603</v>
      </c>
      <c r="O122" t="n">
        <v>8794957</v>
      </c>
    </row>
    <row r="123" ht="13.5" customHeight="1" s="186">
      <c r="B123" s="105" t="inlineStr">
        <is>
          <t>CE</t>
        </is>
      </c>
      <c r="C123" s="105" t="n">
        <v>2024</v>
      </c>
      <c r="D123" s="106" t="n">
        <v>29.3</v>
      </c>
      <c r="E123" s="107" t="n">
        <v>14.34</v>
      </c>
      <c r="F123" s="108" t="n">
        <v>7.9029</v>
      </c>
      <c r="G123" s="109" t="n">
        <v>7.1884</v>
      </c>
      <c r="H123" s="110" t="n">
        <v>27101</v>
      </c>
      <c r="I123" s="111" t="n">
        <v>10.2073</v>
      </c>
      <c r="J123" s="89" t="n">
        <v>7.3</v>
      </c>
      <c r="K123" s="115" t="n">
        <v>1</v>
      </c>
      <c r="L123" s="112" t="n">
        <v>0</v>
      </c>
      <c r="M123" s="113" t="n">
        <v>73.20099999999999</v>
      </c>
      <c r="N123" t="n">
        <v>22927</v>
      </c>
      <c r="O123" t="n">
        <v>9233656</v>
      </c>
    </row>
    <row r="124" ht="13.5" customHeight="1" s="186">
      <c r="B124" s="97" t="inlineStr">
        <is>
          <t>DF</t>
        </is>
      </c>
      <c r="C124" s="97" t="n">
        <v>2005</v>
      </c>
      <c r="D124" s="98" t="n">
        <v>21.94</v>
      </c>
      <c r="E124" s="99" t="n">
        <v>3.21</v>
      </c>
      <c r="F124" s="100" t="n">
        <v>6.2383</v>
      </c>
      <c r="G124" s="101" t="n">
        <v>4.3175</v>
      </c>
      <c r="H124" s="77" t="n">
        <v>34515</v>
      </c>
      <c r="I124" s="102" t="n">
        <v>10.4491</v>
      </c>
      <c r="J124" s="85" t="n">
        <v>13.51</v>
      </c>
      <c r="K124" s="103" t="n">
        <v>0</v>
      </c>
      <c r="L124" s="103" t="n">
        <v>0</v>
      </c>
      <c r="M124" s="104" t="n">
        <v>385.4999</v>
      </c>
      <c r="N124" t="n">
        <v>75</v>
      </c>
      <c r="O124" t="n">
        <v>2333108</v>
      </c>
    </row>
    <row r="125" ht="13.5" customHeight="1" s="186">
      <c r="B125" s="105" t="inlineStr">
        <is>
          <t>DF</t>
        </is>
      </c>
      <c r="C125" s="105" t="n">
        <v>2006</v>
      </c>
      <c r="D125" s="106" t="n">
        <v>21.06</v>
      </c>
      <c r="E125" s="107" t="n">
        <v>2.64</v>
      </c>
      <c r="F125" s="108" t="n">
        <v>6.2186</v>
      </c>
      <c r="G125" s="109" t="n">
        <v>4.1431</v>
      </c>
      <c r="H125" s="110" t="n">
        <v>37599</v>
      </c>
      <c r="I125" s="111" t="n">
        <v>10.5347</v>
      </c>
      <c r="J125" s="89" t="n">
        <v>11.63</v>
      </c>
      <c r="K125" s="112" t="n">
        <v>0</v>
      </c>
      <c r="L125" s="112" t="n">
        <v>0</v>
      </c>
      <c r="M125" s="113" t="n">
        <v>385.4999</v>
      </c>
      <c r="N125" t="n">
        <v>138</v>
      </c>
      <c r="O125" t="n">
        <v>2383784</v>
      </c>
    </row>
    <row r="126" ht="13.5" customHeight="1" s="186">
      <c r="B126" s="97" t="inlineStr">
        <is>
          <t>DF</t>
        </is>
      </c>
      <c r="C126" s="97" t="n">
        <v>2007</v>
      </c>
      <c r="D126" s="98" t="n">
        <v>24.06</v>
      </c>
      <c r="E126" s="99" t="n">
        <v>2.16</v>
      </c>
      <c r="F126" s="100" t="n">
        <v>6.3818</v>
      </c>
      <c r="G126" s="101" t="n">
        <v>3.9703</v>
      </c>
      <c r="H126" s="77" t="n">
        <v>40696</v>
      </c>
      <c r="I126" s="102" t="n">
        <v>10.6139</v>
      </c>
      <c r="J126" s="85" t="n">
        <v>11.95</v>
      </c>
      <c r="K126" s="103" t="n">
        <v>0</v>
      </c>
      <c r="L126" s="103" t="n">
        <v>0</v>
      </c>
      <c r="M126" s="104" t="n">
        <v>385.4999</v>
      </c>
      <c r="N126" t="n">
        <v>191</v>
      </c>
      <c r="O126" t="n">
        <v>2455903</v>
      </c>
    </row>
    <row r="127" ht="13.5" customHeight="1" s="186">
      <c r="B127" s="105" t="inlineStr">
        <is>
          <t>DF</t>
        </is>
      </c>
      <c r="C127" s="105" t="n">
        <v>2008</v>
      </c>
      <c r="D127" s="106" t="n">
        <v>24.13</v>
      </c>
      <c r="E127" s="107" t="n">
        <v>2.54</v>
      </c>
      <c r="F127" s="108" t="n">
        <v>6.4249</v>
      </c>
      <c r="G127" s="109" t="n">
        <v>4.1744</v>
      </c>
      <c r="H127" s="110" t="n">
        <v>45978</v>
      </c>
      <c r="I127" s="111" t="n">
        <v>10.7359</v>
      </c>
      <c r="J127" s="89" t="n">
        <v>11.24</v>
      </c>
      <c r="K127" s="112" t="n">
        <v>0</v>
      </c>
      <c r="L127" s="112" t="n">
        <v>0</v>
      </c>
      <c r="M127" s="113" t="n">
        <v>385.4999</v>
      </c>
      <c r="N127" t="n">
        <v>256</v>
      </c>
      <c r="O127" t="n">
        <v>2557159</v>
      </c>
    </row>
    <row r="128" ht="13.5" customHeight="1" s="186">
      <c r="B128" s="97" t="inlineStr">
        <is>
          <t>DF</t>
        </is>
      </c>
      <c r="C128" s="97" t="n">
        <v>2009</v>
      </c>
      <c r="D128" s="98" t="n">
        <v>28.58</v>
      </c>
      <c r="E128" s="99" t="n">
        <v>2.49</v>
      </c>
      <c r="F128" s="100" t="n">
        <v>6.6134</v>
      </c>
      <c r="G128" s="101" t="n">
        <v>4.1744</v>
      </c>
      <c r="H128" s="77" t="n">
        <v>50438</v>
      </c>
      <c r="I128" s="102" t="n">
        <v>10.8285</v>
      </c>
      <c r="J128" s="86" t="n">
        <v>11.46</v>
      </c>
      <c r="K128" s="103" t="n">
        <v>0</v>
      </c>
      <c r="L128" s="114" t="n">
        <v>0</v>
      </c>
      <c r="M128" s="104" t="n">
        <v>385.4999</v>
      </c>
      <c r="N128" t="n">
        <v>321</v>
      </c>
      <c r="O128" t="n">
        <v>2606885</v>
      </c>
    </row>
    <row r="129" ht="13.5" customHeight="1" s="186">
      <c r="B129" s="105" t="inlineStr">
        <is>
          <t>DF</t>
        </is>
      </c>
      <c r="C129" s="105" t="n">
        <v>2010</v>
      </c>
      <c r="D129" s="106" t="n">
        <v>24.51</v>
      </c>
      <c r="E129" s="107" t="n">
        <v>2.33</v>
      </c>
      <c r="F129" s="108" t="n">
        <v>6.4457</v>
      </c>
      <c r="G129" s="109" t="n">
        <v>4.0943</v>
      </c>
      <c r="H129" s="110" t="n">
        <v>56095</v>
      </c>
      <c r="I129" s="111" t="n">
        <v>10.9348</v>
      </c>
      <c r="J129" s="86" t="n">
        <v>9.67</v>
      </c>
      <c r="K129" s="112" t="n">
        <v>0</v>
      </c>
      <c r="L129" s="114" t="n">
        <v>0</v>
      </c>
      <c r="M129" s="113" t="n">
        <v>385.4999</v>
      </c>
      <c r="N129" t="n">
        <v>381</v>
      </c>
      <c r="O129" t="n">
        <v>2570160</v>
      </c>
    </row>
    <row r="130" ht="13.5" customHeight="1" s="186">
      <c r="B130" s="97" t="inlineStr">
        <is>
          <t>DF</t>
        </is>
      </c>
      <c r="C130" s="97" t="n">
        <v>2011</v>
      </c>
      <c r="D130" s="98" t="n">
        <v>27.2</v>
      </c>
      <c r="E130" s="99" t="n">
        <v>6.02</v>
      </c>
      <c r="F130" s="100" t="n">
        <v>6.5653</v>
      </c>
      <c r="G130" s="101" t="n">
        <v>5.0562</v>
      </c>
      <c r="H130" s="77" t="n">
        <v>59222</v>
      </c>
      <c r="I130" s="102" t="n">
        <v>10.989</v>
      </c>
      <c r="J130" s="85" t="n">
        <v>7.88</v>
      </c>
      <c r="K130" s="103" t="n">
        <v>0</v>
      </c>
      <c r="L130" s="103" t="n">
        <v>0</v>
      </c>
      <c r="M130" s="104" t="n">
        <v>385.4999</v>
      </c>
      <c r="N130" t="n">
        <v>538</v>
      </c>
      <c r="O130" t="n">
        <v>2609998</v>
      </c>
    </row>
    <row r="131" ht="13.5" customHeight="1" s="186">
      <c r="B131" s="105" t="inlineStr">
        <is>
          <t>DF</t>
        </is>
      </c>
      <c r="C131" s="105" t="n">
        <v>2012</v>
      </c>
      <c r="D131" s="106" t="n">
        <v>29.68</v>
      </c>
      <c r="E131" s="107" t="n">
        <v>4.15</v>
      </c>
      <c r="F131" s="108" t="n">
        <v>6.667</v>
      </c>
      <c r="G131" s="109" t="n">
        <v>4.7005</v>
      </c>
      <c r="H131" s="110" t="n">
        <v>61959</v>
      </c>
      <c r="I131" s="111" t="n">
        <v>11.0342</v>
      </c>
      <c r="J131" s="89" t="n">
        <v>8.390000000000001</v>
      </c>
      <c r="K131" s="115" t="n">
        <v>0</v>
      </c>
      <c r="L131" s="112" t="n">
        <v>0</v>
      </c>
      <c r="M131" s="113" t="n">
        <v>385.4999</v>
      </c>
      <c r="N131" t="n">
        <v>648</v>
      </c>
      <c r="O131" t="n">
        <v>2648532</v>
      </c>
    </row>
    <row r="132" ht="13.5" customHeight="1" s="186">
      <c r="B132" s="97" t="inlineStr">
        <is>
          <t>DF</t>
        </is>
      </c>
      <c r="C132" s="97" t="n">
        <v>2013</v>
      </c>
      <c r="D132" s="98" t="n">
        <v>23.51</v>
      </c>
      <c r="E132" s="99" t="n">
        <v>2.47</v>
      </c>
      <c r="F132" s="100" t="n">
        <v>6.4862</v>
      </c>
      <c r="G132" s="101" t="n">
        <v>4.2341</v>
      </c>
      <c r="H132" s="77" t="n">
        <v>63054</v>
      </c>
      <c r="I132" s="102" t="n">
        <v>11.0517</v>
      </c>
      <c r="J132" s="85" t="n">
        <v>9.32</v>
      </c>
      <c r="K132" s="103" t="n">
        <v>0</v>
      </c>
      <c r="L132" s="103" t="n">
        <v>0</v>
      </c>
      <c r="M132" s="104" t="n">
        <v>385.4999</v>
      </c>
      <c r="N132" t="n">
        <v>717</v>
      </c>
      <c r="O132" t="n">
        <v>2789761</v>
      </c>
    </row>
    <row r="133" ht="13.5" customHeight="1" s="186">
      <c r="B133" s="105" t="inlineStr">
        <is>
          <t>DF</t>
        </is>
      </c>
      <c r="C133" s="105" t="n">
        <v>2014</v>
      </c>
      <c r="D133" s="106" t="n">
        <v>24.75</v>
      </c>
      <c r="E133" s="107" t="n">
        <v>1.65</v>
      </c>
      <c r="F133" s="108" t="n">
        <v>6.5596</v>
      </c>
      <c r="G133" s="109" t="n">
        <v>3.8501</v>
      </c>
      <c r="H133" s="110" t="n">
        <v>69217</v>
      </c>
      <c r="I133" s="111" t="n">
        <v>11.145</v>
      </c>
      <c r="J133" s="89" t="n">
        <v>9.48</v>
      </c>
      <c r="K133" s="112" t="n">
        <v>0</v>
      </c>
      <c r="L133" s="112" t="n">
        <v>0</v>
      </c>
      <c r="M133" s="113" t="n">
        <v>385.4999</v>
      </c>
      <c r="N133" t="n">
        <v>764</v>
      </c>
      <c r="O133" t="n">
        <v>2852372</v>
      </c>
    </row>
    <row r="134" ht="13.5" customHeight="1" s="186">
      <c r="B134" s="97" t="inlineStr">
        <is>
          <t>DF</t>
        </is>
      </c>
      <c r="C134" s="97" t="n">
        <v>2015</v>
      </c>
      <c r="D134" s="98" t="n">
        <v>18.35</v>
      </c>
      <c r="E134" s="99" t="n">
        <v>1.65</v>
      </c>
      <c r="F134" s="100" t="n">
        <v>6.2823</v>
      </c>
      <c r="G134" s="101" t="n">
        <v>3.8712</v>
      </c>
      <c r="H134" s="77" t="n">
        <v>73971</v>
      </c>
      <c r="I134" s="102" t="n">
        <v>11.2114</v>
      </c>
      <c r="J134" s="85" t="n">
        <v>10.2</v>
      </c>
      <c r="K134" s="103" t="n">
        <v>0</v>
      </c>
      <c r="L134" s="103" t="n">
        <v>0</v>
      </c>
      <c r="M134" s="104" t="n">
        <v>385.4999</v>
      </c>
      <c r="N134" t="n">
        <v>812</v>
      </c>
      <c r="O134" t="n">
        <v>2914830</v>
      </c>
    </row>
    <row r="135" ht="13.5" customHeight="1" s="186">
      <c r="B135" s="105" t="inlineStr">
        <is>
          <t>DF</t>
        </is>
      </c>
      <c r="C135" s="105" t="n">
        <v>2016</v>
      </c>
      <c r="D135" s="106" t="n">
        <v>18.17</v>
      </c>
      <c r="E135" s="107" t="n">
        <v>6.35</v>
      </c>
      <c r="F135" s="108" t="n">
        <v>6.2934</v>
      </c>
      <c r="G135" s="109" t="n">
        <v>5.2417</v>
      </c>
      <c r="H135" s="110" t="n">
        <v>79114</v>
      </c>
      <c r="I135" s="111" t="n">
        <v>11.2786</v>
      </c>
      <c r="J135" s="89" t="n">
        <v>12.1</v>
      </c>
      <c r="K135" s="112" t="n">
        <v>0</v>
      </c>
      <c r="L135" s="112" t="n">
        <v>0</v>
      </c>
      <c r="M135" s="113" t="n">
        <v>385.4999</v>
      </c>
      <c r="N135" t="n">
        <v>1001</v>
      </c>
      <c r="O135" t="n">
        <v>2977216</v>
      </c>
    </row>
    <row r="136" ht="13.5" customHeight="1" s="186">
      <c r="B136" s="97" t="inlineStr">
        <is>
          <t>DF</t>
        </is>
      </c>
      <c r="C136" s="97" t="n">
        <v>2017</v>
      </c>
      <c r="D136" s="98" t="n">
        <v>13.32</v>
      </c>
      <c r="E136" s="99" t="n">
        <v>10.5</v>
      </c>
      <c r="F136" s="100" t="n">
        <v>6.0039</v>
      </c>
      <c r="G136" s="101" t="n">
        <v>5.7652</v>
      </c>
      <c r="H136" s="77" t="n">
        <v>80515</v>
      </c>
      <c r="I136" s="102" t="n">
        <v>11.2962</v>
      </c>
      <c r="J136" s="86" t="n">
        <v>13.3</v>
      </c>
      <c r="K136" s="103" t="n">
        <v>0</v>
      </c>
      <c r="L136" s="114" t="n">
        <v>0</v>
      </c>
      <c r="M136" s="104" t="n">
        <v>385.4999</v>
      </c>
      <c r="N136" t="n">
        <v>1320</v>
      </c>
      <c r="O136" t="n">
        <v>3039444</v>
      </c>
    </row>
    <row r="137" ht="13.5" customHeight="1" s="186">
      <c r="B137" s="105" t="inlineStr">
        <is>
          <t>DF</t>
        </is>
      </c>
      <c r="C137" s="105" t="n">
        <v>2018</v>
      </c>
      <c r="D137" s="106" t="n">
        <v>11.43</v>
      </c>
      <c r="E137" s="107" t="n">
        <v>16.81</v>
      </c>
      <c r="F137" s="108" t="n">
        <v>5.8289</v>
      </c>
      <c r="G137" s="109" t="n">
        <v>6.2146</v>
      </c>
      <c r="H137" s="110" t="n">
        <v>85661</v>
      </c>
      <c r="I137" s="111" t="n">
        <v>11.3582</v>
      </c>
      <c r="J137" s="86" t="n">
        <v>12.8</v>
      </c>
      <c r="K137" s="112" t="n">
        <v>0</v>
      </c>
      <c r="L137" s="114" t="n">
        <v>0</v>
      </c>
      <c r="M137" s="113" t="n">
        <v>385.4999</v>
      </c>
      <c r="N137" t="n">
        <v>1820</v>
      </c>
      <c r="O137" t="n">
        <v>2974703</v>
      </c>
    </row>
    <row r="138" ht="13.5" customHeight="1" s="186">
      <c r="B138" s="97" t="inlineStr">
        <is>
          <t>DF</t>
        </is>
      </c>
      <c r="C138" s="97" t="n">
        <v>2019</v>
      </c>
      <c r="D138" s="98" t="n">
        <v>8.85</v>
      </c>
      <c r="E138" s="99" t="n">
        <v>82.34999999999999</v>
      </c>
      <c r="F138" s="100" t="n">
        <v>5.5872</v>
      </c>
      <c r="G138" s="101" t="n">
        <v>7.8172</v>
      </c>
      <c r="H138" s="77" t="n">
        <v>90743</v>
      </c>
      <c r="I138" s="102" t="n">
        <v>11.4158</v>
      </c>
      <c r="J138" s="85" t="n">
        <v>13.4</v>
      </c>
      <c r="K138" s="103" t="n">
        <v>0</v>
      </c>
      <c r="L138" s="103" t="n">
        <v>0</v>
      </c>
      <c r="M138" s="104" t="n">
        <v>385.4999</v>
      </c>
      <c r="N138" t="n">
        <v>4303</v>
      </c>
      <c r="O138" t="n">
        <v>3015268</v>
      </c>
    </row>
    <row r="139" ht="13.5" customHeight="1" s="186">
      <c r="B139" s="105" t="inlineStr">
        <is>
          <t>DF</t>
        </is>
      </c>
      <c r="C139" s="105" t="n">
        <v>2020</v>
      </c>
      <c r="D139" s="106" t="n">
        <v>8.279999999999999</v>
      </c>
      <c r="E139" s="107" t="n">
        <v>165.13</v>
      </c>
      <c r="F139" s="108" t="n">
        <v>5.5334</v>
      </c>
      <c r="G139" s="109" t="n">
        <v>8.526199999999999</v>
      </c>
      <c r="H139" s="110" t="n">
        <v>87016</v>
      </c>
      <c r="I139" s="111" t="n">
        <v>11.3738</v>
      </c>
      <c r="J139" s="89" t="n">
        <v>14.8</v>
      </c>
      <c r="K139" s="115" t="n">
        <v>0</v>
      </c>
      <c r="L139" s="112" t="n">
        <v>1</v>
      </c>
      <c r="M139" s="113" t="n">
        <v>385.4999</v>
      </c>
      <c r="N139" t="n">
        <v>9348</v>
      </c>
      <c r="O139" t="n">
        <v>3055149</v>
      </c>
    </row>
    <row r="140" ht="13.5" customHeight="1" s="186">
      <c r="B140" s="97" t="inlineStr">
        <is>
          <t>DF</t>
        </is>
      </c>
      <c r="C140" s="97" t="n">
        <v>2021</v>
      </c>
      <c r="D140" s="98" t="n">
        <v>6.24</v>
      </c>
      <c r="E140" s="99" t="n">
        <v>267.88</v>
      </c>
      <c r="F140" s="100" t="n">
        <v>5.2627</v>
      </c>
      <c r="G140" s="101" t="n">
        <v>9.0227</v>
      </c>
      <c r="H140" s="77" t="n">
        <v>92732</v>
      </c>
      <c r="I140" s="102" t="n">
        <v>11.4375</v>
      </c>
      <c r="J140" s="85" t="n">
        <v>14</v>
      </c>
      <c r="K140" s="103" t="n">
        <v>0</v>
      </c>
      <c r="L140" s="103" t="n">
        <v>1</v>
      </c>
      <c r="M140" s="104" t="n">
        <v>385.4999</v>
      </c>
      <c r="N140" t="n">
        <v>17637</v>
      </c>
      <c r="O140" t="n">
        <v>3094325</v>
      </c>
    </row>
    <row r="141" ht="13.5" customHeight="1" s="186">
      <c r="B141" s="105" t="inlineStr">
        <is>
          <t>DF</t>
        </is>
      </c>
      <c r="C141" s="105" t="n">
        <v>2022</v>
      </c>
      <c r="D141" s="106" t="n">
        <v>6.35</v>
      </c>
      <c r="E141" s="107" t="n">
        <v>385.5</v>
      </c>
      <c r="F141" s="108" t="n">
        <v>5.1874</v>
      </c>
      <c r="G141" s="109" t="n">
        <v>9.292899999999999</v>
      </c>
      <c r="H141" s="110" t="n">
        <v>116700</v>
      </c>
      <c r="I141" s="111" t="n">
        <v>11.6674</v>
      </c>
      <c r="J141" s="89" t="n">
        <v>11.4</v>
      </c>
      <c r="K141" s="112" t="n">
        <v>0</v>
      </c>
      <c r="L141" s="112" t="n">
        <v>0</v>
      </c>
      <c r="M141" s="113" t="n">
        <v>385.4999</v>
      </c>
      <c r="N141" t="n">
        <v>28498</v>
      </c>
      <c r="O141" t="n">
        <v>2817381</v>
      </c>
    </row>
    <row r="142" ht="13.5" customHeight="1" s="186">
      <c r="B142" s="97" t="inlineStr">
        <is>
          <t>DF</t>
        </is>
      </c>
      <c r="C142" s="97" t="n">
        <v>2023</v>
      </c>
      <c r="D142" s="98" t="n">
        <v>4.69</v>
      </c>
      <c r="E142" s="99" t="n">
        <v>0.64</v>
      </c>
      <c r="F142" s="100" t="n">
        <v>4.8828</v>
      </c>
      <c r="G142" s="101" t="n">
        <v>2.8904</v>
      </c>
      <c r="H142" s="77" t="n">
        <v>129790</v>
      </c>
      <c r="I142" s="102" t="n">
        <v>11.7737</v>
      </c>
      <c r="J142" s="85" t="n">
        <v>9.800000000000001</v>
      </c>
      <c r="K142" s="103" t="n">
        <v>1</v>
      </c>
      <c r="L142" s="103" t="n">
        <v>0</v>
      </c>
      <c r="M142" s="104" t="n">
        <v>385.4999</v>
      </c>
      <c r="N142" t="n">
        <v>28516</v>
      </c>
      <c r="O142" t="n">
        <v>2817381</v>
      </c>
    </row>
    <row r="143" ht="13.5" customHeight="1" s="186">
      <c r="B143" s="105" t="inlineStr">
        <is>
          <t>DF</t>
        </is>
      </c>
      <c r="C143" s="105" t="n">
        <v>2024</v>
      </c>
      <c r="D143" s="106" t="n">
        <v>3.69</v>
      </c>
      <c r="E143" s="107" t="n">
        <v>38.49</v>
      </c>
      <c r="F143" s="108" t="n">
        <v>4.7005</v>
      </c>
      <c r="G143" s="109" t="n">
        <v>7.0458</v>
      </c>
      <c r="H143" s="110" t="n">
        <v>136149</v>
      </c>
      <c r="I143" s="111" t="n">
        <v>11.8215</v>
      </c>
      <c r="J143" s="89" t="n">
        <v>9.199999999999999</v>
      </c>
      <c r="K143" s="112" t="n">
        <v>1</v>
      </c>
      <c r="L143" s="112" t="n">
        <v>0</v>
      </c>
      <c r="M143" s="113" t="n">
        <v>385.4999</v>
      </c>
      <c r="N143" t="n">
        <v>29664</v>
      </c>
      <c r="O143" t="n">
        <v>2982818</v>
      </c>
    </row>
    <row r="144" ht="13.5" customHeight="1" s="186">
      <c r="B144" s="97" t="inlineStr">
        <is>
          <t>ES</t>
        </is>
      </c>
      <c r="C144" s="97" t="n">
        <v>2005</v>
      </c>
      <c r="D144" s="98" t="n">
        <v>34.86</v>
      </c>
      <c r="E144" s="99" t="n">
        <v>1.14</v>
      </c>
      <c r="F144" s="100" t="n">
        <v>7.08</v>
      </c>
      <c r="G144" s="101" t="n">
        <v>3.6636</v>
      </c>
      <c r="H144" s="77" t="n">
        <v>13855</v>
      </c>
      <c r="I144" s="102" t="n">
        <v>9.5364</v>
      </c>
      <c r="J144" s="86" t="n">
        <v>10.33</v>
      </c>
      <c r="K144" s="103" t="n">
        <v>0</v>
      </c>
      <c r="L144" s="114" t="n">
        <v>0</v>
      </c>
      <c r="M144" s="104" t="n">
        <v>78.6444</v>
      </c>
      <c r="N144" t="n">
        <v>39</v>
      </c>
      <c r="O144" t="n">
        <v>3408365</v>
      </c>
    </row>
    <row r="145" ht="13.5" customHeight="1" s="186">
      <c r="B145" s="105" t="inlineStr">
        <is>
          <t>ES</t>
        </is>
      </c>
      <c r="C145" s="105" t="n">
        <v>2006</v>
      </c>
      <c r="D145" s="106" t="n">
        <v>37.5</v>
      </c>
      <c r="E145" s="107" t="n">
        <v>0.84</v>
      </c>
      <c r="F145" s="108" t="n">
        <v>7.1694</v>
      </c>
      <c r="G145" s="109" t="n">
        <v>3.3673</v>
      </c>
      <c r="H145" s="110" t="n">
        <v>15235</v>
      </c>
      <c r="I145" s="111" t="n">
        <v>9.631399999999999</v>
      </c>
      <c r="J145" s="86" t="n">
        <v>7.5</v>
      </c>
      <c r="K145" s="112" t="n">
        <v>0</v>
      </c>
      <c r="L145" s="114" t="n">
        <v>0</v>
      </c>
      <c r="M145" s="113" t="n">
        <v>78.6444</v>
      </c>
      <c r="N145" t="n">
        <v>68</v>
      </c>
      <c r="O145" t="n">
        <v>3464285</v>
      </c>
    </row>
    <row r="146" ht="13.5" customHeight="1" s="186">
      <c r="B146" s="97" t="inlineStr">
        <is>
          <t>ES</t>
        </is>
      </c>
      <c r="C146" s="97" t="n">
        <v>2007</v>
      </c>
      <c r="D146" s="98" t="n">
        <v>40.93</v>
      </c>
      <c r="E146" s="99" t="n">
        <v>0.39</v>
      </c>
      <c r="F146" s="100" t="n">
        <v>7.224</v>
      </c>
      <c r="G146" s="101" t="n">
        <v>2.5649</v>
      </c>
      <c r="H146" s="77" t="n">
        <v>18003</v>
      </c>
      <c r="I146" s="102" t="n">
        <v>9.798299999999999</v>
      </c>
      <c r="J146" s="85" t="n">
        <v>10.81</v>
      </c>
      <c r="K146" s="103" t="n">
        <v>0</v>
      </c>
      <c r="L146" s="103" t="n">
        <v>0</v>
      </c>
      <c r="M146" s="104" t="n">
        <v>78.6444</v>
      </c>
      <c r="N146" t="n">
        <v>81</v>
      </c>
      <c r="O146" t="n">
        <v>3351669</v>
      </c>
    </row>
    <row r="147" ht="13.5" customHeight="1" s="186">
      <c r="B147" s="105" t="inlineStr">
        <is>
          <t>ES</t>
        </is>
      </c>
      <c r="C147" s="105" t="n">
        <v>2008</v>
      </c>
      <c r="D147" s="106" t="n">
        <v>43.26</v>
      </c>
      <c r="E147" s="107" t="n">
        <v>0.55</v>
      </c>
      <c r="F147" s="108" t="n">
        <v>7.3092</v>
      </c>
      <c r="G147" s="109" t="n">
        <v>2.9444</v>
      </c>
      <c r="H147" s="110" t="n">
        <v>20231</v>
      </c>
      <c r="I147" s="111" t="n">
        <v>9.914999999999999</v>
      </c>
      <c r="J147" s="89" t="n">
        <v>6.24</v>
      </c>
      <c r="K147" s="115" t="n">
        <v>0</v>
      </c>
      <c r="L147" s="112" t="n">
        <v>0</v>
      </c>
      <c r="M147" s="113" t="n">
        <v>78.6444</v>
      </c>
      <c r="N147" t="n">
        <v>100</v>
      </c>
      <c r="O147" t="n">
        <v>3453646</v>
      </c>
    </row>
    <row r="148" ht="13.5" customHeight="1" s="186">
      <c r="B148" s="97" t="inlineStr">
        <is>
          <t>ES</t>
        </is>
      </c>
      <c r="C148" s="97" t="n">
        <v>2009</v>
      </c>
      <c r="D148" s="98" t="n">
        <v>44.65</v>
      </c>
      <c r="E148" s="99" t="n">
        <v>0.46</v>
      </c>
      <c r="F148" s="100" t="n">
        <v>7.3505</v>
      </c>
      <c r="G148" s="101" t="n">
        <v>2.7726</v>
      </c>
      <c r="H148" s="77" t="n">
        <v>19145</v>
      </c>
      <c r="I148" s="102" t="n">
        <v>9.8598</v>
      </c>
      <c r="J148" s="85" t="n">
        <v>8.48</v>
      </c>
      <c r="K148" s="103" t="n">
        <v>0</v>
      </c>
      <c r="L148" s="103" t="n">
        <v>0</v>
      </c>
      <c r="M148" s="104" t="n">
        <v>78.6444</v>
      </c>
      <c r="N148" t="n">
        <v>116</v>
      </c>
      <c r="O148" t="n">
        <v>3487199</v>
      </c>
    </row>
    <row r="149" ht="13.5" customHeight="1" s="186">
      <c r="B149" s="105" t="inlineStr">
        <is>
          <t>ES</t>
        </is>
      </c>
      <c r="C149" s="105" t="n">
        <v>2010</v>
      </c>
      <c r="D149" s="106" t="n">
        <v>38.66</v>
      </c>
      <c r="E149" s="107" t="n">
        <v>0.54</v>
      </c>
      <c r="F149" s="108" t="n">
        <v>7.2145</v>
      </c>
      <c r="G149" s="109" t="n">
        <v>2.9444</v>
      </c>
      <c r="H149" s="110" t="n">
        <v>24271</v>
      </c>
      <c r="I149" s="111" t="n">
        <v>10.097</v>
      </c>
      <c r="J149" s="89" t="n">
        <v>8.220000000000001</v>
      </c>
      <c r="K149" s="112" t="n">
        <v>0</v>
      </c>
      <c r="L149" s="112" t="n">
        <v>0</v>
      </c>
      <c r="M149" s="113" t="n">
        <v>78.6444</v>
      </c>
      <c r="N149" t="n">
        <v>135</v>
      </c>
      <c r="O149" t="n">
        <v>3514952</v>
      </c>
    </row>
    <row r="150" ht="13.5" customHeight="1" s="186">
      <c r="B150" s="97" t="inlineStr">
        <is>
          <t>ES</t>
        </is>
      </c>
      <c r="C150" s="97" t="n">
        <v>2011</v>
      </c>
      <c r="D150" s="98" t="n">
        <v>38.29</v>
      </c>
      <c r="E150" s="99" t="n">
        <v>1.3</v>
      </c>
      <c r="F150" s="100" t="n">
        <v>7.2138</v>
      </c>
      <c r="G150" s="101" t="n">
        <v>3.8286</v>
      </c>
      <c r="H150" s="77" t="n">
        <v>29877</v>
      </c>
      <c r="I150" s="102" t="n">
        <v>10.3048</v>
      </c>
      <c r="J150" s="85" t="n">
        <v>7.97</v>
      </c>
      <c r="K150" s="103" t="n">
        <v>0</v>
      </c>
      <c r="L150" s="103" t="n">
        <v>0</v>
      </c>
      <c r="M150" s="104" t="n">
        <v>78.6444</v>
      </c>
      <c r="N150" t="n">
        <v>181</v>
      </c>
      <c r="O150" t="n">
        <v>3547055</v>
      </c>
    </row>
    <row r="151" ht="13.5" customHeight="1" s="186">
      <c r="B151" s="105" t="inlineStr">
        <is>
          <t>ES</t>
        </is>
      </c>
      <c r="C151" s="105" t="n">
        <v>2012</v>
      </c>
      <c r="D151" s="106" t="n">
        <v>37.73</v>
      </c>
      <c r="E151" s="107" t="n">
        <v>1.03</v>
      </c>
      <c r="F151" s="108" t="n">
        <v>7.2079</v>
      </c>
      <c r="G151" s="109" t="n">
        <v>3.6109</v>
      </c>
      <c r="H151" s="110" t="n">
        <v>32657</v>
      </c>
      <c r="I151" s="111" t="n">
        <v>10.3938</v>
      </c>
      <c r="J151" s="89" t="n">
        <v>5.78</v>
      </c>
      <c r="K151" s="112" t="n">
        <v>0</v>
      </c>
      <c r="L151" s="112" t="n">
        <v>0</v>
      </c>
      <c r="M151" s="113" t="n">
        <v>78.6444</v>
      </c>
      <c r="N151" t="n">
        <v>218</v>
      </c>
      <c r="O151" t="n">
        <v>3578067</v>
      </c>
    </row>
    <row r="152" ht="13.5" customHeight="1" s="186">
      <c r="B152" s="97" t="inlineStr">
        <is>
          <t>ES</t>
        </is>
      </c>
      <c r="C152" s="97" t="n">
        <v>2013</v>
      </c>
      <c r="D152" s="98" t="n">
        <v>33.57</v>
      </c>
      <c r="E152" s="99" t="n">
        <v>0.63</v>
      </c>
      <c r="F152" s="100" t="n">
        <v>7.1616</v>
      </c>
      <c r="G152" s="101" t="n">
        <v>3.1781</v>
      </c>
      <c r="H152" s="77" t="n">
        <v>30545</v>
      </c>
      <c r="I152" s="102" t="n">
        <v>10.327</v>
      </c>
      <c r="J152" s="86" t="n">
        <v>6.19</v>
      </c>
      <c r="K152" s="103" t="n">
        <v>0</v>
      </c>
      <c r="L152" s="114" t="n">
        <v>0</v>
      </c>
      <c r="M152" s="104" t="n">
        <v>78.6444</v>
      </c>
      <c r="N152" t="n">
        <v>242</v>
      </c>
      <c r="O152" t="n">
        <v>3839366</v>
      </c>
    </row>
    <row r="153" ht="13.5" customHeight="1" s="186">
      <c r="B153" s="105" t="inlineStr">
        <is>
          <t>ES</t>
        </is>
      </c>
      <c r="C153" s="105" t="n">
        <v>2014</v>
      </c>
      <c r="D153" s="106" t="n">
        <v>33.23</v>
      </c>
      <c r="E153" s="107" t="n">
        <v>0.21</v>
      </c>
      <c r="F153" s="108" t="n">
        <v>7.1632</v>
      </c>
      <c r="G153" s="109" t="n">
        <v>2.0794</v>
      </c>
      <c r="H153" s="110" t="n">
        <v>33149</v>
      </c>
      <c r="I153" s="111" t="n">
        <v>10.4088</v>
      </c>
      <c r="J153" s="86" t="n">
        <v>7.14</v>
      </c>
      <c r="K153" s="112" t="n">
        <v>0</v>
      </c>
      <c r="L153" s="114" t="n">
        <v>0</v>
      </c>
      <c r="M153" s="113" t="n">
        <v>78.6444</v>
      </c>
      <c r="N153" t="n">
        <v>250</v>
      </c>
      <c r="O153" t="n">
        <v>3885049</v>
      </c>
    </row>
    <row r="154" ht="13.5" customHeight="1" s="186">
      <c r="B154" s="97" t="inlineStr">
        <is>
          <t>ES</t>
        </is>
      </c>
      <c r="C154" s="97" t="n">
        <v>2015</v>
      </c>
      <c r="D154" s="98" t="n">
        <v>27.99</v>
      </c>
      <c r="E154" s="99" t="n">
        <v>0.61</v>
      </c>
      <c r="F154" s="100" t="n">
        <v>7.0031</v>
      </c>
      <c r="G154" s="101" t="n">
        <v>3.1781</v>
      </c>
      <c r="H154" s="77" t="n">
        <v>30628</v>
      </c>
      <c r="I154" s="102" t="n">
        <v>10.3297</v>
      </c>
      <c r="J154" s="85" t="n">
        <v>7.8</v>
      </c>
      <c r="K154" s="103" t="n">
        <v>0</v>
      </c>
      <c r="L154" s="103" t="n">
        <v>0</v>
      </c>
      <c r="M154" s="104" t="n">
        <v>78.6444</v>
      </c>
      <c r="N154" t="n">
        <v>274</v>
      </c>
      <c r="O154" t="n">
        <v>3929911</v>
      </c>
    </row>
    <row r="155" ht="13.5" customHeight="1" s="186">
      <c r="B155" s="105" t="inlineStr">
        <is>
          <t>ES</t>
        </is>
      </c>
      <c r="C155" s="105" t="n">
        <v>2016</v>
      </c>
      <c r="D155" s="106" t="n">
        <v>24.28</v>
      </c>
      <c r="E155" s="107" t="n">
        <v>1.01</v>
      </c>
      <c r="F155" s="108" t="n">
        <v>6.8721</v>
      </c>
      <c r="G155" s="109" t="n">
        <v>3.6889</v>
      </c>
      <c r="H155" s="110" t="n">
        <v>27497</v>
      </c>
      <c r="I155" s="111" t="n">
        <v>10.2218</v>
      </c>
      <c r="J155" s="89" t="n">
        <v>12.4</v>
      </c>
      <c r="K155" s="115" t="n">
        <v>0</v>
      </c>
      <c r="L155" s="112" t="n">
        <v>0</v>
      </c>
      <c r="M155" s="113" t="n">
        <v>78.6444</v>
      </c>
      <c r="N155" t="n">
        <v>314</v>
      </c>
      <c r="O155" t="n">
        <v>3973697</v>
      </c>
    </row>
    <row r="156" ht="13.5" customHeight="1" s="186">
      <c r="B156" s="97" t="inlineStr">
        <is>
          <t>ES</t>
        </is>
      </c>
      <c r="C156" s="97" t="n">
        <v>2017</v>
      </c>
      <c r="D156" s="98" t="n">
        <v>30.72</v>
      </c>
      <c r="E156" s="99" t="n">
        <v>3.36</v>
      </c>
      <c r="F156" s="100" t="n">
        <v>7.118</v>
      </c>
      <c r="G156" s="101" t="n">
        <v>4.9053</v>
      </c>
      <c r="H156" s="77" t="n">
        <v>28235</v>
      </c>
      <c r="I156" s="102" t="n">
        <v>10.2483</v>
      </c>
      <c r="J156" s="85" t="n">
        <v>13.3</v>
      </c>
      <c r="K156" s="103" t="n">
        <v>0</v>
      </c>
      <c r="L156" s="103" t="n">
        <v>0</v>
      </c>
      <c r="M156" s="104" t="n">
        <v>78.6444</v>
      </c>
      <c r="N156" t="n">
        <v>449</v>
      </c>
      <c r="O156" t="n">
        <v>4016356</v>
      </c>
    </row>
    <row r="157" ht="13.5" customHeight="1" s="186">
      <c r="B157" s="105" t="inlineStr">
        <is>
          <t>ES</t>
        </is>
      </c>
      <c r="C157" s="105" t="n">
        <v>2018</v>
      </c>
      <c r="D157" s="106" t="n">
        <v>22.28</v>
      </c>
      <c r="E157" s="107" t="n">
        <v>8.08</v>
      </c>
      <c r="F157" s="108" t="n">
        <v>6.7856</v>
      </c>
      <c r="G157" s="109" t="n">
        <v>5.7714</v>
      </c>
      <c r="H157" s="110" t="n">
        <v>34493</v>
      </c>
      <c r="I157" s="111" t="n">
        <v>10.4485</v>
      </c>
      <c r="J157" s="89" t="n">
        <v>11.7</v>
      </c>
      <c r="K157" s="112" t="n">
        <v>0</v>
      </c>
      <c r="L157" s="112" t="n">
        <v>0</v>
      </c>
      <c r="M157" s="113" t="n">
        <v>78.6444</v>
      </c>
      <c r="N157" t="n">
        <v>770</v>
      </c>
      <c r="O157" t="n">
        <v>3972388</v>
      </c>
    </row>
    <row r="158" ht="13.5" customHeight="1" s="186">
      <c r="B158" s="97" t="inlineStr">
        <is>
          <t>ES</t>
        </is>
      </c>
      <c r="C158" s="97" t="n">
        <v>2019</v>
      </c>
      <c r="D158" s="98" t="n">
        <v>19.33</v>
      </c>
      <c r="E158" s="99" t="n">
        <v>16.37</v>
      </c>
      <c r="F158" s="100" t="n">
        <v>6.6554</v>
      </c>
      <c r="G158" s="101" t="n">
        <v>6.4892</v>
      </c>
      <c r="H158" s="77" t="n">
        <v>34177</v>
      </c>
      <c r="I158" s="102" t="n">
        <v>10.4393</v>
      </c>
      <c r="J158" s="85" t="n">
        <v>11.2</v>
      </c>
      <c r="K158" s="103" t="n">
        <v>0</v>
      </c>
      <c r="L158" s="103" t="n">
        <v>0</v>
      </c>
      <c r="M158" s="104" t="n">
        <v>78.6444</v>
      </c>
      <c r="N158" t="n">
        <v>1428</v>
      </c>
      <c r="O158" t="n">
        <v>4018650</v>
      </c>
    </row>
    <row r="159" ht="13.5" customHeight="1" s="186">
      <c r="B159" s="105" t="inlineStr">
        <is>
          <t>ES</t>
        </is>
      </c>
      <c r="C159" s="105" t="n">
        <v>2020</v>
      </c>
      <c r="D159" s="106" t="n">
        <v>22.98</v>
      </c>
      <c r="E159" s="107" t="n">
        <v>18.45</v>
      </c>
      <c r="F159" s="108" t="n">
        <v>6.8395</v>
      </c>
      <c r="G159" s="109" t="n">
        <v>6.6201</v>
      </c>
      <c r="H159" s="110" t="n">
        <v>34066</v>
      </c>
      <c r="I159" s="111" t="n">
        <v>10.4361</v>
      </c>
      <c r="J159" s="89" t="n">
        <v>12.9</v>
      </c>
      <c r="K159" s="112" t="n">
        <v>0</v>
      </c>
      <c r="L159" s="112" t="n">
        <v>1</v>
      </c>
      <c r="M159" s="113" t="n">
        <v>78.6444</v>
      </c>
      <c r="N159" t="n">
        <v>2178</v>
      </c>
      <c r="O159" t="n">
        <v>4064052</v>
      </c>
    </row>
    <row r="160" ht="13.5" customHeight="1" s="186">
      <c r="B160" s="97" t="inlineStr">
        <is>
          <t>ES</t>
        </is>
      </c>
      <c r="C160" s="97" t="n">
        <v>2021</v>
      </c>
      <c r="D160" s="98" t="n">
        <v>22.1</v>
      </c>
      <c r="E160" s="99" t="n">
        <v>56.47</v>
      </c>
      <c r="F160" s="100" t="n">
        <v>6.8112</v>
      </c>
      <c r="G160" s="101" t="n">
        <v>7.7493</v>
      </c>
      <c r="H160" s="77" t="n">
        <v>45354</v>
      </c>
      <c r="I160" s="102" t="n">
        <v>10.7223</v>
      </c>
      <c r="J160" s="86" t="n">
        <v>11.2</v>
      </c>
      <c r="K160" s="103" t="n">
        <v>0</v>
      </c>
      <c r="L160" s="114" t="n">
        <v>1</v>
      </c>
      <c r="M160" s="104" t="n">
        <v>78.6444</v>
      </c>
      <c r="N160" t="n">
        <v>4498</v>
      </c>
      <c r="O160" t="n">
        <v>4108508</v>
      </c>
    </row>
    <row r="161" ht="13.5" customHeight="1" s="186">
      <c r="B161" s="105" t="inlineStr">
        <is>
          <t>ES</t>
        </is>
      </c>
      <c r="C161" s="105" t="n">
        <v>2022</v>
      </c>
      <c r="D161" s="106" t="n">
        <v>22.43</v>
      </c>
      <c r="E161" s="107" t="n">
        <v>78.64</v>
      </c>
      <c r="F161" s="108" t="n">
        <v>6.7569</v>
      </c>
      <c r="G161" s="109" t="n">
        <v>8.0114</v>
      </c>
      <c r="H161" s="110" t="n">
        <v>47617</v>
      </c>
      <c r="I161" s="111" t="n">
        <v>10.7709</v>
      </c>
      <c r="J161" s="86" t="n">
        <v>8</v>
      </c>
      <c r="K161" s="112" t="n">
        <v>0</v>
      </c>
      <c r="L161" s="114" t="n">
        <v>0</v>
      </c>
      <c r="M161" s="113" t="n">
        <v>78.6444</v>
      </c>
      <c r="N161" t="n">
        <v>7513</v>
      </c>
      <c r="O161" t="n">
        <v>3833712</v>
      </c>
    </row>
    <row r="162" ht="13.5" customHeight="1" s="186">
      <c r="B162" s="97" t="inlineStr">
        <is>
          <t>ES</t>
        </is>
      </c>
      <c r="C162" s="97" t="n">
        <v>2023</v>
      </c>
      <c r="D162" s="98" t="n">
        <v>21.96</v>
      </c>
      <c r="E162" s="99" t="n">
        <v>1.02</v>
      </c>
      <c r="F162" s="100" t="n">
        <v>6.7358</v>
      </c>
      <c r="G162" s="101" t="n">
        <v>3.6636</v>
      </c>
      <c r="H162" s="77" t="n">
        <v>54733</v>
      </c>
      <c r="I162" s="102" t="n">
        <v>10.9102</v>
      </c>
      <c r="J162" s="85" t="n">
        <v>6.1</v>
      </c>
      <c r="K162" s="103" t="n">
        <v>1</v>
      </c>
      <c r="L162" s="103" t="n">
        <v>0</v>
      </c>
      <c r="M162" s="104" t="n">
        <v>78.6444</v>
      </c>
      <c r="N162" t="n">
        <v>7552</v>
      </c>
      <c r="O162" t="n">
        <v>3833712</v>
      </c>
    </row>
    <row r="163" ht="13.5" customHeight="1" s="186">
      <c r="B163" s="105" t="inlineStr">
        <is>
          <t>ES</t>
        </is>
      </c>
      <c r="C163" s="105" t="n">
        <v>2024</v>
      </c>
      <c r="D163" s="106" t="n">
        <v>18.14</v>
      </c>
      <c r="E163" s="107" t="n">
        <v>12.55</v>
      </c>
      <c r="F163" s="108" t="n">
        <v>6.612</v>
      </c>
      <c r="G163" s="109" t="n">
        <v>6.2442</v>
      </c>
      <c r="H163" s="110" t="n">
        <v>53393</v>
      </c>
      <c r="I163" s="111" t="n">
        <v>10.8854</v>
      </c>
      <c r="J163" s="89" t="n">
        <v>4.7</v>
      </c>
      <c r="K163" s="115" t="n">
        <v>1</v>
      </c>
      <c r="L163" s="112" t="n">
        <v>0</v>
      </c>
      <c r="M163" s="113" t="n">
        <v>78.6444</v>
      </c>
      <c r="N163" t="n">
        <v>8067</v>
      </c>
      <c r="O163" t="n">
        <v>4102129</v>
      </c>
    </row>
    <row r="164" ht="13.5" customHeight="1" s="186">
      <c r="B164" s="97" t="inlineStr">
        <is>
          <t>GO</t>
        </is>
      </c>
      <c r="C164" s="97" t="n">
        <v>2005</v>
      </c>
      <c r="D164" s="98" t="n">
        <v>15.85</v>
      </c>
      <c r="E164" s="99" t="n">
        <v>0.8</v>
      </c>
      <c r="F164" s="100" t="n">
        <v>6.7923</v>
      </c>
      <c r="G164" s="101" t="n">
        <v>3.8067</v>
      </c>
      <c r="H164" s="77" t="n">
        <v>8992</v>
      </c>
      <c r="I164" s="102" t="n">
        <v>9.104100000000001</v>
      </c>
      <c r="J164" s="85" t="n">
        <v>9.81</v>
      </c>
      <c r="K164" s="103" t="n">
        <v>0</v>
      </c>
      <c r="L164" s="103" t="n">
        <v>0</v>
      </c>
      <c r="M164" s="104" t="n">
        <v>412.6553</v>
      </c>
      <c r="N164" t="n">
        <v>45</v>
      </c>
      <c r="O164" t="n">
        <v>5619917</v>
      </c>
    </row>
    <row r="165" ht="13.5" customHeight="1" s="186">
      <c r="B165" s="105" t="inlineStr">
        <is>
          <t>GO</t>
        </is>
      </c>
      <c r="C165" s="105" t="n">
        <v>2006</v>
      </c>
      <c r="D165" s="106" t="n">
        <v>16.11</v>
      </c>
      <c r="E165" s="107" t="n">
        <v>0.54</v>
      </c>
      <c r="F165" s="108" t="n">
        <v>6.8276</v>
      </c>
      <c r="G165" s="109" t="n">
        <v>3.434</v>
      </c>
      <c r="H165" s="110" t="n">
        <v>9956</v>
      </c>
      <c r="I165" s="111" t="n">
        <v>9.2059</v>
      </c>
      <c r="J165" s="89" t="n">
        <v>7.65</v>
      </c>
      <c r="K165" s="112" t="n">
        <v>0</v>
      </c>
      <c r="L165" s="112" t="n">
        <v>0</v>
      </c>
      <c r="M165" s="113" t="n">
        <v>412.6553</v>
      </c>
      <c r="N165" t="n">
        <v>76</v>
      </c>
      <c r="O165" t="n">
        <v>5730753</v>
      </c>
    </row>
    <row r="166" ht="13.5" customHeight="1" s="186">
      <c r="B166" s="97" t="inlineStr">
        <is>
          <t>GO</t>
        </is>
      </c>
      <c r="C166" s="97" t="n">
        <v>2007</v>
      </c>
      <c r="D166" s="98" t="n">
        <v>16.73</v>
      </c>
      <c r="E166" s="99" t="n">
        <v>0.62</v>
      </c>
      <c r="F166" s="100" t="n">
        <v>6.8512</v>
      </c>
      <c r="G166" s="101" t="n">
        <v>3.5553</v>
      </c>
      <c r="H166" s="77" t="n">
        <v>11548</v>
      </c>
      <c r="I166" s="102" t="n">
        <v>9.3543</v>
      </c>
      <c r="J166" s="85" t="n">
        <v>8.220000000000001</v>
      </c>
      <c r="K166" s="103" t="n">
        <v>0</v>
      </c>
      <c r="L166" s="103" t="n">
        <v>0</v>
      </c>
      <c r="M166" s="104" t="n">
        <v>412.6553</v>
      </c>
      <c r="N166" t="n">
        <v>111</v>
      </c>
      <c r="O166" t="n">
        <v>5647035</v>
      </c>
    </row>
    <row r="167" ht="13.5" customHeight="1" s="186">
      <c r="B167" s="105" t="inlineStr">
        <is>
          <t>GO</t>
        </is>
      </c>
      <c r="C167" s="105" t="n">
        <v>2008</v>
      </c>
      <c r="D167" s="106" t="n">
        <v>20.15</v>
      </c>
      <c r="E167" s="107" t="n">
        <v>0.92</v>
      </c>
      <c r="F167" s="108" t="n">
        <v>7.0716</v>
      </c>
      <c r="G167" s="109" t="n">
        <v>3.989</v>
      </c>
      <c r="H167" s="110" t="n">
        <v>12878</v>
      </c>
      <c r="I167" s="111" t="n">
        <v>9.4633</v>
      </c>
      <c r="J167" s="89" t="n">
        <v>7.22</v>
      </c>
      <c r="K167" s="112" t="n">
        <v>0</v>
      </c>
      <c r="L167" s="112" t="n">
        <v>0</v>
      </c>
      <c r="M167" s="113" t="n">
        <v>412.6553</v>
      </c>
      <c r="N167" t="n">
        <v>165</v>
      </c>
      <c r="O167" t="n">
        <v>5844995</v>
      </c>
    </row>
    <row r="168" ht="13.5" customHeight="1" s="186">
      <c r="B168" s="97" t="inlineStr">
        <is>
          <t>GO</t>
        </is>
      </c>
      <c r="C168" s="97" t="n">
        <v>2009</v>
      </c>
      <c r="D168" s="98" t="n">
        <v>20.11</v>
      </c>
      <c r="E168" s="99" t="n">
        <v>0.84</v>
      </c>
      <c r="F168" s="100" t="n">
        <v>7.0834</v>
      </c>
      <c r="G168" s="101" t="n">
        <v>3.912</v>
      </c>
      <c r="H168" s="77" t="n">
        <v>14447</v>
      </c>
      <c r="I168" s="102" t="n">
        <v>9.578200000000001</v>
      </c>
      <c r="J168" s="86" t="n">
        <v>8.51</v>
      </c>
      <c r="K168" s="103" t="n">
        <v>0</v>
      </c>
      <c r="L168" s="114" t="n">
        <v>0</v>
      </c>
      <c r="M168" s="104" t="n">
        <v>412.6553</v>
      </c>
      <c r="N168" t="n">
        <v>215</v>
      </c>
      <c r="O168" t="n">
        <v>5926300</v>
      </c>
    </row>
    <row r="169" ht="13.5" customHeight="1" s="186">
      <c r="B169" s="105" t="inlineStr">
        <is>
          <t>GO</t>
        </is>
      </c>
      <c r="C169" s="105" t="n">
        <v>2010</v>
      </c>
      <c r="D169" s="106" t="n">
        <v>21.15</v>
      </c>
      <c r="E169" s="107" t="n">
        <v>1.03</v>
      </c>
      <c r="F169" s="108" t="n">
        <v>7.1468</v>
      </c>
      <c r="G169" s="109" t="n">
        <v>4.1271</v>
      </c>
      <c r="H169" s="110" t="n">
        <v>17784</v>
      </c>
      <c r="I169" s="111" t="n">
        <v>9.786099999999999</v>
      </c>
      <c r="J169" s="86" t="n">
        <v>6.72</v>
      </c>
      <c r="K169" s="112" t="n">
        <v>0</v>
      </c>
      <c r="L169" s="114" t="n">
        <v>0</v>
      </c>
      <c r="M169" s="113" t="n">
        <v>412.6553</v>
      </c>
      <c r="N169" t="n">
        <v>277</v>
      </c>
      <c r="O169" t="n">
        <v>6003788</v>
      </c>
    </row>
    <row r="170" ht="13.5" customHeight="1" s="186">
      <c r="B170" s="97" t="inlineStr">
        <is>
          <t>GO</t>
        </is>
      </c>
      <c r="C170" s="97" t="n">
        <v>2011</v>
      </c>
      <c r="D170" s="98" t="n">
        <v>25.26</v>
      </c>
      <c r="E170" s="99" t="n">
        <v>1.6</v>
      </c>
      <c r="F170" s="100" t="n">
        <v>7.3369</v>
      </c>
      <c r="G170" s="101" t="n">
        <v>4.5747</v>
      </c>
      <c r="H170" s="77" t="n">
        <v>19948</v>
      </c>
      <c r="I170" s="102" t="n">
        <v>9.9009</v>
      </c>
      <c r="J170" s="85" t="n">
        <v>4.94</v>
      </c>
      <c r="K170" s="103" t="n">
        <v>0</v>
      </c>
      <c r="L170" s="103" t="n">
        <v>0</v>
      </c>
      <c r="M170" s="104" t="n">
        <v>412.6553</v>
      </c>
      <c r="N170" t="n">
        <v>374</v>
      </c>
      <c r="O170" t="n">
        <v>6080716</v>
      </c>
    </row>
    <row r="171" ht="13.5" customHeight="1" s="186">
      <c r="B171" s="105" t="inlineStr">
        <is>
          <t>GO</t>
        </is>
      </c>
      <c r="C171" s="105" t="n">
        <v>2012</v>
      </c>
      <c r="D171" s="106" t="n">
        <v>30.9</v>
      </c>
      <c r="E171" s="107" t="n">
        <v>1.56</v>
      </c>
      <c r="F171" s="108" t="n">
        <v>7.5507</v>
      </c>
      <c r="G171" s="109" t="n">
        <v>4.5643</v>
      </c>
      <c r="H171" s="110" t="n">
        <v>22544</v>
      </c>
      <c r="I171" s="111" t="n">
        <v>10.0232</v>
      </c>
      <c r="J171" s="89" t="n">
        <v>4.92</v>
      </c>
      <c r="K171" s="115" t="n">
        <v>0</v>
      </c>
      <c r="L171" s="112" t="n">
        <v>0</v>
      </c>
      <c r="M171" s="113" t="n">
        <v>412.6553</v>
      </c>
      <c r="N171" t="n">
        <v>470</v>
      </c>
      <c r="O171" t="n">
        <v>6154996</v>
      </c>
    </row>
    <row r="172" ht="13.5" customHeight="1" s="186">
      <c r="B172" s="97" t="inlineStr">
        <is>
          <t>GO</t>
        </is>
      </c>
      <c r="C172" s="97" t="n">
        <v>2013</v>
      </c>
      <c r="D172" s="98" t="n">
        <v>32.58</v>
      </c>
      <c r="E172" s="99" t="n">
        <v>1.1</v>
      </c>
      <c r="F172" s="100" t="n">
        <v>7.6478</v>
      </c>
      <c r="G172" s="101" t="n">
        <v>4.2627</v>
      </c>
      <c r="H172" s="77" t="n">
        <v>23516</v>
      </c>
      <c r="I172" s="102" t="n">
        <v>10.0654</v>
      </c>
      <c r="J172" s="85" t="n">
        <v>5.74</v>
      </c>
      <c r="K172" s="103" t="n">
        <v>0</v>
      </c>
      <c r="L172" s="103" t="n">
        <v>0</v>
      </c>
      <c r="M172" s="104" t="n">
        <v>412.6553</v>
      </c>
      <c r="N172" t="n">
        <v>541</v>
      </c>
      <c r="O172" t="n">
        <v>6434048</v>
      </c>
    </row>
    <row r="173" ht="13.5" customHeight="1" s="186">
      <c r="B173" s="105" t="inlineStr">
        <is>
          <t>GO</t>
        </is>
      </c>
      <c r="C173" s="105" t="n">
        <v>2014</v>
      </c>
      <c r="D173" s="106" t="n">
        <v>30.55</v>
      </c>
      <c r="E173" s="107" t="n">
        <v>0.83</v>
      </c>
      <c r="F173" s="108" t="n">
        <v>7.5974</v>
      </c>
      <c r="G173" s="109" t="n">
        <v>3.989</v>
      </c>
      <c r="H173" s="110" t="n">
        <v>25297</v>
      </c>
      <c r="I173" s="111" t="n">
        <v>10.1384</v>
      </c>
      <c r="J173" s="89" t="n">
        <v>5.17</v>
      </c>
      <c r="K173" s="112" t="n">
        <v>0</v>
      </c>
      <c r="L173" s="112" t="n">
        <v>0</v>
      </c>
      <c r="M173" s="113" t="n">
        <v>412.6553</v>
      </c>
      <c r="N173" t="n">
        <v>595</v>
      </c>
      <c r="O173" t="n">
        <v>6523222</v>
      </c>
    </row>
    <row r="174" ht="13.5" customHeight="1" s="186">
      <c r="B174" s="97" t="inlineStr">
        <is>
          <t>GO</t>
        </is>
      </c>
      <c r="C174" s="97" t="n">
        <v>2015</v>
      </c>
      <c r="D174" s="98" t="n">
        <v>32.07</v>
      </c>
      <c r="E174" s="99" t="n">
        <v>0.26</v>
      </c>
      <c r="F174" s="100" t="n">
        <v>7.6592</v>
      </c>
      <c r="G174" s="101" t="n">
        <v>2.8332</v>
      </c>
      <c r="H174" s="77" t="n">
        <v>26265</v>
      </c>
      <c r="I174" s="102" t="n">
        <v>10.176</v>
      </c>
      <c r="J174" s="85" t="n">
        <v>7.4</v>
      </c>
      <c r="K174" s="103" t="n">
        <v>0</v>
      </c>
      <c r="L174" s="103" t="n">
        <v>0</v>
      </c>
      <c r="M174" s="104" t="n">
        <v>412.6553</v>
      </c>
      <c r="N174" t="n">
        <v>612</v>
      </c>
      <c r="O174" t="n">
        <v>6610681</v>
      </c>
    </row>
    <row r="175" ht="13.5" customHeight="1" s="186">
      <c r="B175" s="105" t="inlineStr">
        <is>
          <t>GO</t>
        </is>
      </c>
      <c r="C175" s="105" t="n">
        <v>2016</v>
      </c>
      <c r="D175" s="106" t="n">
        <v>31.86</v>
      </c>
      <c r="E175" s="107" t="n">
        <v>1.72</v>
      </c>
      <c r="F175" s="108" t="n">
        <v>7.6653</v>
      </c>
      <c r="G175" s="109" t="n">
        <v>4.7449</v>
      </c>
      <c r="H175" s="110" t="n">
        <v>27145</v>
      </c>
      <c r="I175" s="111" t="n">
        <v>10.2089</v>
      </c>
      <c r="J175" s="89" t="n">
        <v>10.7</v>
      </c>
      <c r="K175" s="112" t="n">
        <v>0</v>
      </c>
      <c r="L175" s="112" t="n">
        <v>0</v>
      </c>
      <c r="M175" s="113" t="n">
        <v>412.6553</v>
      </c>
      <c r="N175" t="n">
        <v>727</v>
      </c>
      <c r="O175" t="n">
        <v>6695855</v>
      </c>
    </row>
    <row r="176" ht="13.5" customHeight="1" s="186">
      <c r="B176" s="97" t="inlineStr">
        <is>
          <t>GO</t>
        </is>
      </c>
      <c r="C176" s="97" t="n">
        <v>2017</v>
      </c>
      <c r="D176" s="98" t="n">
        <v>30.39</v>
      </c>
      <c r="E176" s="99" t="n">
        <v>4.44</v>
      </c>
      <c r="F176" s="100" t="n">
        <v>7.6305</v>
      </c>
      <c r="G176" s="101" t="n">
        <v>5.7071</v>
      </c>
      <c r="H176" s="77" t="n">
        <v>28316</v>
      </c>
      <c r="I176" s="102" t="n">
        <v>10.2512</v>
      </c>
      <c r="J176" s="86" t="n">
        <v>10.7</v>
      </c>
      <c r="K176" s="103" t="n">
        <v>0</v>
      </c>
      <c r="L176" s="114" t="n">
        <v>0</v>
      </c>
      <c r="M176" s="104" t="n">
        <v>412.6553</v>
      </c>
      <c r="N176" t="n">
        <v>1028</v>
      </c>
      <c r="O176" t="n">
        <v>6778772</v>
      </c>
    </row>
    <row r="177" ht="13.5" customHeight="1" s="186">
      <c r="B177" s="105" t="inlineStr">
        <is>
          <t>GO</t>
        </is>
      </c>
      <c r="C177" s="105" t="n">
        <v>2018</v>
      </c>
      <c r="D177" s="106" t="n">
        <v>27.24</v>
      </c>
      <c r="E177" s="107" t="n">
        <v>8.58</v>
      </c>
      <c r="F177" s="108" t="n">
        <v>7.5417</v>
      </c>
      <c r="G177" s="109" t="n">
        <v>6.3869</v>
      </c>
      <c r="H177" s="110" t="n">
        <v>28273</v>
      </c>
      <c r="I177" s="111" t="n">
        <v>10.2497</v>
      </c>
      <c r="J177" s="86" t="n">
        <v>9.300000000000001</v>
      </c>
      <c r="K177" s="112" t="n">
        <v>0</v>
      </c>
      <c r="L177" s="114" t="n">
        <v>0</v>
      </c>
      <c r="M177" s="113" t="n">
        <v>412.6553</v>
      </c>
      <c r="N177" t="n">
        <v>1622</v>
      </c>
      <c r="O177" t="n">
        <v>6921161</v>
      </c>
    </row>
    <row r="178" ht="13.5" customHeight="1" s="186">
      <c r="B178" s="97" t="inlineStr">
        <is>
          <t>GO</t>
        </is>
      </c>
      <c r="C178" s="97" t="n">
        <v>2019</v>
      </c>
      <c r="D178" s="98" t="n">
        <v>21.03</v>
      </c>
      <c r="E178" s="99" t="n">
        <v>43.4</v>
      </c>
      <c r="F178" s="100" t="n">
        <v>7.2971</v>
      </c>
      <c r="G178" s="101" t="n">
        <v>8.021599999999999</v>
      </c>
      <c r="H178" s="77" t="n">
        <v>29732</v>
      </c>
      <c r="I178" s="102" t="n">
        <v>10.3</v>
      </c>
      <c r="J178" s="85" t="n">
        <v>10.8</v>
      </c>
      <c r="K178" s="103" t="n">
        <v>0</v>
      </c>
      <c r="L178" s="103" t="n">
        <v>0</v>
      </c>
      <c r="M178" s="104" t="n">
        <v>412.6553</v>
      </c>
      <c r="N178" t="n">
        <v>4668</v>
      </c>
      <c r="O178" t="n">
        <v>7018354</v>
      </c>
    </row>
    <row r="179" ht="13.5" customHeight="1" s="186">
      <c r="B179" s="105" t="inlineStr">
        <is>
          <t>GO</t>
        </is>
      </c>
      <c r="C179" s="105" t="n">
        <v>2020</v>
      </c>
      <c r="D179" s="106" t="n">
        <v>19.86</v>
      </c>
      <c r="E179" s="107" t="n">
        <v>119.46</v>
      </c>
      <c r="F179" s="108" t="n">
        <v>7.2535</v>
      </c>
      <c r="G179" s="109" t="n">
        <v>9.047599999999999</v>
      </c>
      <c r="H179" s="110" t="n">
        <v>31507</v>
      </c>
      <c r="I179" s="111" t="n">
        <v>10.358</v>
      </c>
      <c r="J179" s="89" t="n">
        <v>12.8</v>
      </c>
      <c r="K179" s="115" t="n">
        <v>0</v>
      </c>
      <c r="L179" s="112" t="n">
        <v>1</v>
      </c>
      <c r="M179" s="113" t="n">
        <v>412.6553</v>
      </c>
      <c r="N179" t="n">
        <v>13166</v>
      </c>
      <c r="O179" t="n">
        <v>7113540</v>
      </c>
    </row>
    <row r="180" ht="13.5" customHeight="1" s="186">
      <c r="B180" s="97" t="inlineStr">
        <is>
          <t>GO</t>
        </is>
      </c>
      <c r="C180" s="97" t="n">
        <v>2021</v>
      </c>
      <c r="D180" s="98" t="n">
        <v>14.11</v>
      </c>
      <c r="E180" s="99" t="n">
        <v>305.83</v>
      </c>
      <c r="F180" s="100" t="n">
        <v>6.9246</v>
      </c>
      <c r="G180" s="101" t="n">
        <v>10.0006</v>
      </c>
      <c r="H180" s="77" t="n">
        <v>37414</v>
      </c>
      <c r="I180" s="102" t="n">
        <v>10.5298</v>
      </c>
      <c r="J180" s="85" t="n">
        <v>11.3</v>
      </c>
      <c r="K180" s="103" t="n">
        <v>0</v>
      </c>
      <c r="L180" s="103" t="n">
        <v>1</v>
      </c>
      <c r="M180" s="104" t="n">
        <v>412.6553</v>
      </c>
      <c r="N180" t="n">
        <v>35206</v>
      </c>
      <c r="O180" t="n">
        <v>7206589</v>
      </c>
    </row>
    <row r="181" ht="13.5" customHeight="1" s="186">
      <c r="B181" s="105" t="inlineStr">
        <is>
          <t>GO</t>
        </is>
      </c>
      <c r="C181" s="105" t="n">
        <v>2022</v>
      </c>
      <c r="D181" s="106" t="n">
        <v>13.41</v>
      </c>
      <c r="E181" s="107" t="n">
        <v>412.66</v>
      </c>
      <c r="F181" s="108" t="n">
        <v>6.8522</v>
      </c>
      <c r="G181" s="109" t="n">
        <v>10.2791</v>
      </c>
      <c r="H181" s="110" t="n">
        <v>45148</v>
      </c>
      <c r="I181" s="111" t="n">
        <v>10.7177</v>
      </c>
      <c r="J181" s="89" t="n">
        <v>7.2</v>
      </c>
      <c r="K181" s="112" t="n">
        <v>0</v>
      </c>
      <c r="L181" s="112" t="n">
        <v>0</v>
      </c>
      <c r="M181" s="113" t="n">
        <v>412.6553</v>
      </c>
      <c r="N181" t="n">
        <v>64325</v>
      </c>
      <c r="O181" t="n">
        <v>7056495</v>
      </c>
    </row>
    <row r="182" ht="13.5" customHeight="1" s="186">
      <c r="B182" s="97" t="inlineStr">
        <is>
          <t>GO</t>
        </is>
      </c>
      <c r="C182" s="97" t="n">
        <v>2023</v>
      </c>
      <c r="D182" s="98" t="n">
        <v>11.9</v>
      </c>
      <c r="E182" s="99" t="n">
        <v>0.74</v>
      </c>
      <c r="F182" s="100" t="n">
        <v>6.7334</v>
      </c>
      <c r="G182" s="101" t="n">
        <v>3.9512</v>
      </c>
      <c r="H182" s="77" t="n">
        <v>47722</v>
      </c>
      <c r="I182" s="102" t="n">
        <v>10.7731</v>
      </c>
      <c r="J182" s="85" t="n">
        <v>6.2</v>
      </c>
      <c r="K182" s="103" t="n">
        <v>1</v>
      </c>
      <c r="L182" s="103" t="n">
        <v>0</v>
      </c>
      <c r="M182" s="104" t="n">
        <v>412.6553</v>
      </c>
      <c r="N182" t="n">
        <v>64377</v>
      </c>
      <c r="O182" t="n">
        <v>7056495</v>
      </c>
    </row>
    <row r="183" ht="13.5" customHeight="1" s="186">
      <c r="B183" s="105" t="inlineStr">
        <is>
          <t>GO</t>
        </is>
      </c>
      <c r="C183" s="105" t="n">
        <v>2024</v>
      </c>
      <c r="D183" s="106" t="n">
        <v>8.630000000000001</v>
      </c>
      <c r="E183" s="107" t="n">
        <v>68.7</v>
      </c>
      <c r="F183" s="108" t="n">
        <v>6.452</v>
      </c>
      <c r="G183" s="109" t="n">
        <v>8.527100000000001</v>
      </c>
      <c r="H183" s="110" t="n">
        <v>50470</v>
      </c>
      <c r="I183" s="111" t="n">
        <v>10.8291</v>
      </c>
      <c r="J183" s="89" t="n">
        <v>5.4</v>
      </c>
      <c r="K183" s="112" t="n">
        <v>1</v>
      </c>
      <c r="L183" s="112" t="n">
        <v>0</v>
      </c>
      <c r="M183" s="113" t="n">
        <v>412.6553</v>
      </c>
      <c r="N183" t="n">
        <v>69427</v>
      </c>
      <c r="O183" t="n">
        <v>7350483</v>
      </c>
    </row>
    <row r="184" ht="13.5" customHeight="1" s="186">
      <c r="B184" s="97" t="inlineStr">
        <is>
          <t>MA</t>
        </is>
      </c>
      <c r="C184" s="97" t="n">
        <v>2005</v>
      </c>
      <c r="D184" s="98" t="n">
        <v>7.73</v>
      </c>
      <c r="E184" s="99" t="n">
        <v>0.1</v>
      </c>
      <c r="F184" s="100" t="n">
        <v>6.157</v>
      </c>
      <c r="G184" s="101" t="n">
        <v>1.7918</v>
      </c>
      <c r="H184" s="77" t="n">
        <v>4151</v>
      </c>
      <c r="I184" s="102" t="n">
        <v>8.331099999999999</v>
      </c>
      <c r="J184" s="86" t="n">
        <v>7.53</v>
      </c>
      <c r="K184" s="103" t="n">
        <v>0</v>
      </c>
      <c r="L184" s="114" t="n">
        <v>0</v>
      </c>
      <c r="M184" s="104" t="n">
        <v>73.5314</v>
      </c>
      <c r="N184" t="n">
        <v>6</v>
      </c>
      <c r="O184" t="n">
        <v>6103327</v>
      </c>
    </row>
    <row r="185" ht="13.5" customHeight="1" s="186">
      <c r="B185" s="105" t="inlineStr">
        <is>
          <t>MA</t>
        </is>
      </c>
      <c r="C185" s="105" t="n">
        <v>2006</v>
      </c>
      <c r="D185" s="106" t="n">
        <v>7.45</v>
      </c>
      <c r="E185" s="107" t="n">
        <v>0.1</v>
      </c>
      <c r="F185" s="108" t="n">
        <v>6.1334</v>
      </c>
      <c r="G185" s="109" t="n">
        <v>1.7918</v>
      </c>
      <c r="H185" s="110" t="n">
        <v>4628</v>
      </c>
      <c r="I185" s="111" t="n">
        <v>8.4399</v>
      </c>
      <c r="J185" s="86" t="n">
        <v>8.449999999999999</v>
      </c>
      <c r="K185" s="112" t="n">
        <v>0</v>
      </c>
      <c r="L185" s="114" t="n">
        <v>0</v>
      </c>
      <c r="M185" s="113" t="n">
        <v>73.5314</v>
      </c>
      <c r="N185" t="n">
        <v>12</v>
      </c>
      <c r="O185" t="n">
        <v>6184538</v>
      </c>
    </row>
    <row r="186" ht="13.5" customHeight="1" s="186">
      <c r="B186" s="97" t="inlineStr">
        <is>
          <t>MA</t>
        </is>
      </c>
      <c r="C186" s="97" t="n">
        <v>2007</v>
      </c>
      <c r="D186" s="98" t="n">
        <v>9.56</v>
      </c>
      <c r="E186" s="99" t="n">
        <v>0.07000000000000001</v>
      </c>
      <c r="F186" s="100" t="n">
        <v>6.3716</v>
      </c>
      <c r="G186" s="101" t="n">
        <v>1.3863</v>
      </c>
      <c r="H186" s="77" t="n">
        <v>5165</v>
      </c>
      <c r="I186" s="102" t="n">
        <v>8.5497</v>
      </c>
      <c r="J186" s="85" t="n">
        <v>8.289999999999999</v>
      </c>
      <c r="K186" s="103" t="n">
        <v>0</v>
      </c>
      <c r="L186" s="103" t="n">
        <v>0</v>
      </c>
      <c r="M186" s="104" t="n">
        <v>73.5314</v>
      </c>
      <c r="N186" t="n">
        <v>16</v>
      </c>
      <c r="O186" t="n">
        <v>6118995</v>
      </c>
    </row>
    <row r="187" ht="13.5" customHeight="1" s="186">
      <c r="B187" s="105" t="inlineStr">
        <is>
          <t>MA</t>
        </is>
      </c>
      <c r="C187" s="105" t="n">
        <v>2008</v>
      </c>
      <c r="D187" s="106" t="n">
        <v>10.93</v>
      </c>
      <c r="E187" s="107" t="n">
        <v>0.13</v>
      </c>
      <c r="F187" s="108" t="n">
        <v>6.5352</v>
      </c>
      <c r="G187" s="109" t="n">
        <v>2.0794</v>
      </c>
      <c r="H187" s="110" t="n">
        <v>6104</v>
      </c>
      <c r="I187" s="111" t="n">
        <v>8.716699999999999</v>
      </c>
      <c r="J187" s="89" t="n">
        <v>6.69</v>
      </c>
      <c r="K187" s="115" t="n">
        <v>0</v>
      </c>
      <c r="L187" s="112" t="n">
        <v>0</v>
      </c>
      <c r="M187" s="113" t="n">
        <v>73.5314</v>
      </c>
      <c r="N187" t="n">
        <v>24</v>
      </c>
      <c r="O187" t="n">
        <v>6305537</v>
      </c>
    </row>
    <row r="188" ht="13.5" customHeight="1" s="186">
      <c r="B188" s="97" t="inlineStr">
        <is>
          <t>MA</t>
        </is>
      </c>
      <c r="C188" s="97" t="n">
        <v>2009</v>
      </c>
      <c r="D188" s="98" t="n">
        <v>12.31</v>
      </c>
      <c r="E188" s="99" t="n">
        <v>0.11</v>
      </c>
      <c r="F188" s="100" t="n">
        <v>6.6644</v>
      </c>
      <c r="G188" s="101" t="n">
        <v>1.9459</v>
      </c>
      <c r="H188" s="77" t="n">
        <v>6259</v>
      </c>
      <c r="I188" s="102" t="n">
        <v>8.7418</v>
      </c>
      <c r="J188" s="85" t="n">
        <v>8.359999999999999</v>
      </c>
      <c r="K188" s="103" t="n">
        <v>0</v>
      </c>
      <c r="L188" s="103" t="n">
        <v>0</v>
      </c>
      <c r="M188" s="104" t="n">
        <v>73.5314</v>
      </c>
      <c r="N188" t="n">
        <v>31</v>
      </c>
      <c r="O188" t="n">
        <v>6367138</v>
      </c>
    </row>
    <row r="189" ht="13.5" customHeight="1" s="186">
      <c r="B189" s="105" t="inlineStr">
        <is>
          <t>MA</t>
        </is>
      </c>
      <c r="C189" s="105" t="n">
        <v>2010</v>
      </c>
      <c r="D189" s="106" t="n">
        <v>12.35</v>
      </c>
      <c r="E189" s="107" t="n">
        <v>0.18</v>
      </c>
      <c r="F189" s="108" t="n">
        <v>6.6995</v>
      </c>
      <c r="G189" s="109" t="n">
        <v>2.4849</v>
      </c>
      <c r="H189" s="110" t="n">
        <v>7044</v>
      </c>
      <c r="I189" s="111" t="n">
        <v>8.8599</v>
      </c>
      <c r="J189" s="89" t="n">
        <v>8.24</v>
      </c>
      <c r="K189" s="112" t="n">
        <v>0</v>
      </c>
      <c r="L189" s="112" t="n">
        <v>0</v>
      </c>
      <c r="M189" s="113" t="n">
        <v>73.5314</v>
      </c>
      <c r="N189" t="n">
        <v>43</v>
      </c>
      <c r="O189" t="n">
        <v>6574789</v>
      </c>
    </row>
    <row r="190" ht="13.5" customHeight="1" s="186">
      <c r="B190" s="97" t="inlineStr">
        <is>
          <t>MA</t>
        </is>
      </c>
      <c r="C190" s="97" t="n">
        <v>2011</v>
      </c>
      <c r="D190" s="98" t="n">
        <v>14.13</v>
      </c>
      <c r="E190" s="99" t="n">
        <v>0.35</v>
      </c>
      <c r="F190" s="100" t="n">
        <v>6.8448</v>
      </c>
      <c r="G190" s="101" t="n">
        <v>3.1355</v>
      </c>
      <c r="H190" s="77" t="n">
        <v>7846</v>
      </c>
      <c r="I190" s="102" t="n">
        <v>8.9678</v>
      </c>
      <c r="J190" s="85" t="n">
        <v>8.119999999999999</v>
      </c>
      <c r="K190" s="103" t="n">
        <v>0</v>
      </c>
      <c r="L190" s="103" t="n">
        <v>0</v>
      </c>
      <c r="M190" s="104" t="n">
        <v>73.5314</v>
      </c>
      <c r="N190" t="n">
        <v>66</v>
      </c>
      <c r="O190" t="n">
        <v>6645761</v>
      </c>
    </row>
    <row r="191" ht="13.5" customHeight="1" s="186">
      <c r="B191" s="105" t="inlineStr">
        <is>
          <t>MA</t>
        </is>
      </c>
      <c r="C191" s="105" t="n">
        <v>2012</v>
      </c>
      <c r="D191" s="106" t="n">
        <v>17.01</v>
      </c>
      <c r="E191" s="107" t="n">
        <v>0.51</v>
      </c>
      <c r="F191" s="108" t="n">
        <v>7.0405</v>
      </c>
      <c r="G191" s="109" t="n">
        <v>3.5264</v>
      </c>
      <c r="H191" s="110" t="n">
        <v>9009</v>
      </c>
      <c r="I191" s="111" t="n">
        <v>9.106</v>
      </c>
      <c r="J191" s="89" t="n">
        <v>6.83</v>
      </c>
      <c r="K191" s="112" t="n">
        <v>0</v>
      </c>
      <c r="L191" s="112" t="n">
        <v>0</v>
      </c>
      <c r="M191" s="113" t="n">
        <v>73.5314</v>
      </c>
      <c r="N191" t="n">
        <v>100</v>
      </c>
      <c r="O191" t="n">
        <v>6714314</v>
      </c>
    </row>
    <row r="192" ht="13.5" customHeight="1" s="186">
      <c r="B192" s="97" t="inlineStr">
        <is>
          <t>MA</t>
        </is>
      </c>
      <c r="C192" s="97" t="n">
        <v>2013</v>
      </c>
      <c r="D192" s="98" t="n">
        <v>20.34</v>
      </c>
      <c r="E192" s="99" t="n">
        <v>0.74</v>
      </c>
      <c r="F192" s="100" t="n">
        <v>7.2313</v>
      </c>
      <c r="G192" s="101" t="n">
        <v>3.912</v>
      </c>
      <c r="H192" s="77" t="n">
        <v>9963</v>
      </c>
      <c r="I192" s="102" t="n">
        <v>9.2066</v>
      </c>
      <c r="J192" s="86" t="n">
        <v>9.02</v>
      </c>
      <c r="K192" s="103" t="n">
        <v>0</v>
      </c>
      <c r="L192" s="114" t="n">
        <v>0</v>
      </c>
      <c r="M192" s="104" t="n">
        <v>73.5314</v>
      </c>
      <c r="N192" t="n">
        <v>150</v>
      </c>
      <c r="O192" t="n">
        <v>6794301</v>
      </c>
    </row>
    <row r="193" ht="13.5" customHeight="1" s="186">
      <c r="B193" s="105" t="inlineStr">
        <is>
          <t>MA</t>
        </is>
      </c>
      <c r="C193" s="105" t="n">
        <v>2014</v>
      </c>
      <c r="D193" s="106" t="n">
        <v>24.45</v>
      </c>
      <c r="E193" s="107" t="n">
        <v>0.57</v>
      </c>
      <c r="F193" s="108" t="n">
        <v>7.4236</v>
      </c>
      <c r="G193" s="109" t="n">
        <v>3.6636</v>
      </c>
      <c r="H193" s="110" t="n">
        <v>11216</v>
      </c>
      <c r="I193" s="111" t="n">
        <v>9.325100000000001</v>
      </c>
      <c r="J193" s="86" t="n">
        <v>8.1</v>
      </c>
      <c r="K193" s="112" t="n">
        <v>0</v>
      </c>
      <c r="L193" s="114" t="n">
        <v>0</v>
      </c>
      <c r="M193" s="113" t="n">
        <v>73.5314</v>
      </c>
      <c r="N193" t="n">
        <v>189</v>
      </c>
      <c r="O193" t="n">
        <v>6850884</v>
      </c>
    </row>
    <row r="194" ht="13.5" customHeight="1" s="186">
      <c r="B194" s="97" t="inlineStr">
        <is>
          <t>MA</t>
        </is>
      </c>
      <c r="C194" s="97" t="n">
        <v>2015</v>
      </c>
      <c r="D194" s="98" t="n">
        <v>24.94</v>
      </c>
      <c r="E194" s="99" t="n">
        <v>0.13</v>
      </c>
      <c r="F194" s="100" t="n">
        <v>7.4512</v>
      </c>
      <c r="G194" s="101" t="n">
        <v>2.1972</v>
      </c>
      <c r="H194" s="77" t="n">
        <v>11366</v>
      </c>
      <c r="I194" s="102" t="n">
        <v>9.3384</v>
      </c>
      <c r="J194" s="85" t="n">
        <v>8.800000000000001</v>
      </c>
      <c r="K194" s="103" t="n">
        <v>0</v>
      </c>
      <c r="L194" s="103" t="n">
        <v>0</v>
      </c>
      <c r="M194" s="104" t="n">
        <v>73.5314</v>
      </c>
      <c r="N194" t="n">
        <v>198</v>
      </c>
      <c r="O194" t="n">
        <v>6904241</v>
      </c>
    </row>
    <row r="195" ht="13.5" customHeight="1" s="186">
      <c r="B195" s="105" t="inlineStr">
        <is>
          <t>MA</t>
        </is>
      </c>
      <c r="C195" s="105" t="n">
        <v>2016</v>
      </c>
      <c r="D195" s="106" t="n">
        <v>23.37</v>
      </c>
      <c r="E195" s="107" t="n">
        <v>0.46</v>
      </c>
      <c r="F195" s="108" t="n">
        <v>7.3933</v>
      </c>
      <c r="G195" s="109" t="n">
        <v>3.4657</v>
      </c>
      <c r="H195" s="110" t="n">
        <v>12268</v>
      </c>
      <c r="I195" s="111" t="n">
        <v>9.4147</v>
      </c>
      <c r="J195" s="89" t="n">
        <v>12.1</v>
      </c>
      <c r="K195" s="115" t="n">
        <v>0</v>
      </c>
      <c r="L195" s="112" t="n">
        <v>0</v>
      </c>
      <c r="M195" s="113" t="n">
        <v>73.5314</v>
      </c>
      <c r="N195" t="n">
        <v>230</v>
      </c>
      <c r="O195" t="n">
        <v>6954036</v>
      </c>
    </row>
    <row r="196" ht="13.5" customHeight="1" s="186">
      <c r="B196" s="97" t="inlineStr">
        <is>
          <t>MA</t>
        </is>
      </c>
      <c r="C196" s="97" t="n">
        <v>2017</v>
      </c>
      <c r="D196" s="98" t="n">
        <v>21.06</v>
      </c>
      <c r="E196" s="99" t="n">
        <v>1.29</v>
      </c>
      <c r="F196" s="100" t="n">
        <v>7.2957</v>
      </c>
      <c r="G196" s="101" t="n">
        <v>4.4998</v>
      </c>
      <c r="H196" s="77" t="n">
        <v>12791</v>
      </c>
      <c r="I196" s="102" t="n">
        <v>9.4565</v>
      </c>
      <c r="J196" s="85" t="n">
        <v>14.5</v>
      </c>
      <c r="K196" s="103" t="n">
        <v>0</v>
      </c>
      <c r="L196" s="103" t="n">
        <v>0</v>
      </c>
      <c r="M196" s="104" t="n">
        <v>73.5314</v>
      </c>
      <c r="N196" t="n">
        <v>320</v>
      </c>
      <c r="O196" t="n">
        <v>7000229</v>
      </c>
    </row>
    <row r="197" ht="13.5" customHeight="1" s="186">
      <c r="B197" s="105" t="inlineStr">
        <is>
          <t>MA</t>
        </is>
      </c>
      <c r="C197" s="105" t="n">
        <v>2018</v>
      </c>
      <c r="D197" s="106" t="n">
        <v>17.87</v>
      </c>
      <c r="E197" s="107" t="n">
        <v>1.68</v>
      </c>
      <c r="F197" s="108" t="n">
        <v>7.1365</v>
      </c>
      <c r="G197" s="109" t="n">
        <v>4.7707</v>
      </c>
      <c r="H197" s="110" t="n">
        <v>13956</v>
      </c>
      <c r="I197" s="111" t="n">
        <v>9.543699999999999</v>
      </c>
      <c r="J197" s="89" t="n">
        <v>14.7</v>
      </c>
      <c r="K197" s="112" t="n">
        <v>0</v>
      </c>
      <c r="L197" s="112" t="n">
        <v>0</v>
      </c>
      <c r="M197" s="113" t="n">
        <v>73.5314</v>
      </c>
      <c r="N197" t="n">
        <v>438</v>
      </c>
      <c r="O197" t="n">
        <v>7035055</v>
      </c>
    </row>
    <row r="198" ht="13.5" customHeight="1" s="186">
      <c r="B198" s="97" t="inlineStr">
        <is>
          <t>MA</t>
        </is>
      </c>
      <c r="C198" s="97" t="n">
        <v>2019</v>
      </c>
      <c r="D198" s="98" t="n">
        <v>15</v>
      </c>
      <c r="E198" s="99" t="n">
        <v>8.99</v>
      </c>
      <c r="F198" s="100" t="n">
        <v>6.967</v>
      </c>
      <c r="G198" s="101" t="n">
        <v>6.4552</v>
      </c>
      <c r="H198" s="77" t="n">
        <v>13758</v>
      </c>
      <c r="I198" s="102" t="n">
        <v>9.529400000000001</v>
      </c>
      <c r="J198" s="85" t="n">
        <v>14.7</v>
      </c>
      <c r="K198" s="103" t="n">
        <v>0</v>
      </c>
      <c r="L198" s="103" t="n">
        <v>0</v>
      </c>
      <c r="M198" s="104" t="n">
        <v>73.5314</v>
      </c>
      <c r="N198" t="n">
        <v>1074</v>
      </c>
      <c r="O198" t="n">
        <v>7075181</v>
      </c>
    </row>
    <row r="199" ht="13.5" customHeight="1" s="186">
      <c r="B199" s="105" t="inlineStr">
        <is>
          <t>MA</t>
        </is>
      </c>
      <c r="C199" s="105" t="n">
        <v>2020</v>
      </c>
      <c r="D199" s="106" t="n">
        <v>20.04</v>
      </c>
      <c r="E199" s="107" t="n">
        <v>21.08</v>
      </c>
      <c r="F199" s="108" t="n">
        <v>7.2626</v>
      </c>
      <c r="G199" s="109" t="n">
        <v>7.3132</v>
      </c>
      <c r="H199" s="110" t="n">
        <v>15028</v>
      </c>
      <c r="I199" s="111" t="n">
        <v>9.617699999999999</v>
      </c>
      <c r="J199" s="89" t="n">
        <v>16.4</v>
      </c>
      <c r="K199" s="112" t="n">
        <v>0</v>
      </c>
      <c r="L199" s="112" t="n">
        <v>1</v>
      </c>
      <c r="M199" s="113" t="n">
        <v>73.5314</v>
      </c>
      <c r="N199" t="n">
        <v>2574</v>
      </c>
      <c r="O199" t="n">
        <v>7114598</v>
      </c>
    </row>
    <row r="200" ht="13.5" customHeight="1" s="186">
      <c r="B200" s="97" t="inlineStr">
        <is>
          <t>MA</t>
        </is>
      </c>
      <c r="C200" s="97" t="n">
        <v>2021</v>
      </c>
      <c r="D200" s="98" t="n">
        <v>20.12</v>
      </c>
      <c r="E200" s="99" t="n">
        <v>39.87</v>
      </c>
      <c r="F200" s="100" t="n">
        <v>7.2717</v>
      </c>
      <c r="G200" s="101" t="n">
        <v>7.9558</v>
      </c>
      <c r="H200" s="77" t="n">
        <v>17472</v>
      </c>
      <c r="I200" s="102" t="n">
        <v>9.7684</v>
      </c>
      <c r="J200" s="86" t="n">
        <v>16.1</v>
      </c>
      <c r="K200" s="103" t="n">
        <v>0</v>
      </c>
      <c r="L200" s="114" t="n">
        <v>1</v>
      </c>
      <c r="M200" s="104" t="n">
        <v>73.5314</v>
      </c>
      <c r="N200" t="n">
        <v>5426</v>
      </c>
      <c r="O200" t="n">
        <v>7153262</v>
      </c>
    </row>
    <row r="201" ht="13.5" customHeight="1" s="186">
      <c r="B201" s="105" t="inlineStr">
        <is>
          <t>MA</t>
        </is>
      </c>
      <c r="C201" s="105" t="n">
        <v>2022</v>
      </c>
      <c r="D201" s="106" t="n">
        <v>19.51</v>
      </c>
      <c r="E201" s="107" t="n">
        <v>73.53</v>
      </c>
      <c r="F201" s="108" t="n">
        <v>7.1869</v>
      </c>
      <c r="G201" s="109" t="n">
        <v>8.5138</v>
      </c>
      <c r="H201" s="110" t="n">
        <v>20628</v>
      </c>
      <c r="I201" s="111" t="n">
        <v>9.9344</v>
      </c>
      <c r="J201" s="86" t="n">
        <v>10.5</v>
      </c>
      <c r="K201" s="112" t="n">
        <v>0</v>
      </c>
      <c r="L201" s="114" t="n">
        <v>0</v>
      </c>
      <c r="M201" s="113" t="n">
        <v>73.5314</v>
      </c>
      <c r="N201" t="n">
        <v>10409</v>
      </c>
      <c r="O201" t="n">
        <v>6776699</v>
      </c>
    </row>
    <row r="202" ht="13.5" customHeight="1" s="186">
      <c r="B202" s="97" t="inlineStr">
        <is>
          <t>MA</t>
        </is>
      </c>
      <c r="C202" s="97" t="n">
        <v>2023</v>
      </c>
      <c r="D202" s="98" t="n">
        <v>21.21</v>
      </c>
      <c r="E202" s="99" t="n">
        <v>0.03</v>
      </c>
      <c r="F202" s="100" t="n">
        <v>7.2703</v>
      </c>
      <c r="G202" s="101" t="n">
        <v>0.6931</v>
      </c>
      <c r="H202" s="77" t="n">
        <v>22021</v>
      </c>
      <c r="I202" s="102" t="n">
        <v>9.9998</v>
      </c>
      <c r="J202" s="85" t="n">
        <v>8.199999999999999</v>
      </c>
      <c r="K202" s="103" t="n">
        <v>1</v>
      </c>
      <c r="L202" s="103" t="n">
        <v>0</v>
      </c>
      <c r="M202" s="104" t="n">
        <v>73.5314</v>
      </c>
      <c r="N202" t="n">
        <v>10411</v>
      </c>
      <c r="O202" t="n">
        <v>6776699</v>
      </c>
    </row>
    <row r="203" ht="13.5" customHeight="1" s="186">
      <c r="B203" s="105" t="inlineStr">
        <is>
          <t>MA</t>
        </is>
      </c>
      <c r="C203" s="105" t="n">
        <v>2024</v>
      </c>
      <c r="D203" s="106" t="n">
        <v>22.42</v>
      </c>
      <c r="E203" s="107" t="n">
        <v>7.32</v>
      </c>
      <c r="F203" s="108" t="n">
        <v>7.3601</v>
      </c>
      <c r="G203" s="109" t="n">
        <v>6.2403</v>
      </c>
      <c r="H203" s="110" t="n">
        <v>22544</v>
      </c>
      <c r="I203" s="111" t="n">
        <v>10.0232</v>
      </c>
      <c r="J203" s="89" t="n">
        <v>7.7</v>
      </c>
      <c r="K203" s="115" t="n">
        <v>1</v>
      </c>
      <c r="L203" s="112" t="n">
        <v>0</v>
      </c>
      <c r="M203" s="113" t="n">
        <v>73.5314</v>
      </c>
      <c r="N203" t="n">
        <v>10924</v>
      </c>
      <c r="O203" t="n">
        <v>7010960</v>
      </c>
    </row>
    <row r="204" ht="13.5" customHeight="1" s="186">
      <c r="B204" s="97" t="inlineStr">
        <is>
          <t>MG</t>
        </is>
      </c>
      <c r="C204" s="97" t="n">
        <v>2005</v>
      </c>
      <c r="D204" s="98" t="n">
        <v>16.05</v>
      </c>
      <c r="E204" s="99" t="n">
        <v>0.59</v>
      </c>
      <c r="F204" s="100" t="n">
        <v>8.035299999999999</v>
      </c>
      <c r="G204" s="101" t="n">
        <v>4.7362</v>
      </c>
      <c r="H204" s="77" t="n">
        <v>10014</v>
      </c>
      <c r="I204" s="102" t="n">
        <v>9.2117</v>
      </c>
      <c r="J204" s="85" t="n">
        <v>9.390000000000001</v>
      </c>
      <c r="K204" s="103" t="n">
        <v>0</v>
      </c>
      <c r="L204" s="103" t="n">
        <v>0</v>
      </c>
      <c r="M204" s="104" t="n">
        <v>178.189</v>
      </c>
      <c r="N204" t="n">
        <v>114</v>
      </c>
      <c r="O204" t="n">
        <v>19237450</v>
      </c>
    </row>
    <row r="205" ht="13.5" customHeight="1" s="186">
      <c r="B205" s="105" t="inlineStr">
        <is>
          <t>MG</t>
        </is>
      </c>
      <c r="C205" s="105" t="n">
        <v>2006</v>
      </c>
      <c r="D205" s="106" t="n">
        <v>15.76</v>
      </c>
      <c r="E205" s="107" t="n">
        <v>0.7</v>
      </c>
      <c r="F205" s="108" t="n">
        <v>8.0291</v>
      </c>
      <c r="G205" s="109" t="n">
        <v>4.9127</v>
      </c>
      <c r="H205" s="110" t="n">
        <v>11025</v>
      </c>
      <c r="I205" s="111" t="n">
        <v>9.3079</v>
      </c>
      <c r="J205" s="89" t="n">
        <v>8.74</v>
      </c>
      <c r="K205" s="112" t="n">
        <v>0</v>
      </c>
      <c r="L205" s="112" t="n">
        <v>0</v>
      </c>
      <c r="M205" s="113" t="n">
        <v>178.189</v>
      </c>
      <c r="N205" t="n">
        <v>250</v>
      </c>
      <c r="O205" t="n">
        <v>19479356</v>
      </c>
    </row>
    <row r="206" ht="13.5" customHeight="1" s="186">
      <c r="B206" s="97" t="inlineStr">
        <is>
          <t>MG</t>
        </is>
      </c>
      <c r="C206" s="97" t="n">
        <v>2007</v>
      </c>
      <c r="D206" s="98" t="n">
        <v>15.41</v>
      </c>
      <c r="E206" s="99" t="n">
        <v>0.46</v>
      </c>
      <c r="F206" s="100" t="n">
        <v>7.9967</v>
      </c>
      <c r="G206" s="101" t="n">
        <v>4.4886</v>
      </c>
      <c r="H206" s="77" t="n">
        <v>12519</v>
      </c>
      <c r="I206" s="102" t="n">
        <v>9.435</v>
      </c>
      <c r="J206" s="85" t="n">
        <v>8.220000000000001</v>
      </c>
      <c r="K206" s="103" t="n">
        <v>0</v>
      </c>
      <c r="L206" s="103" t="n">
        <v>0</v>
      </c>
      <c r="M206" s="104" t="n">
        <v>178.189</v>
      </c>
      <c r="N206" t="n">
        <v>339</v>
      </c>
      <c r="O206" t="n">
        <v>19273533</v>
      </c>
    </row>
    <row r="207" ht="13.5" customHeight="1" s="186">
      <c r="B207" s="105" t="inlineStr">
        <is>
          <t>MG</t>
        </is>
      </c>
      <c r="C207" s="105" t="n">
        <v>2008</v>
      </c>
      <c r="D207" s="106" t="n">
        <v>13.81</v>
      </c>
      <c r="E207" s="107" t="n">
        <v>0.46</v>
      </c>
      <c r="F207" s="108" t="n">
        <v>7.9164</v>
      </c>
      <c r="G207" s="109" t="n">
        <v>4.5109</v>
      </c>
      <c r="H207" s="110" t="n">
        <v>14233</v>
      </c>
      <c r="I207" s="111" t="n">
        <v>9.5633</v>
      </c>
      <c r="J207" s="89" t="n">
        <v>6.72</v>
      </c>
      <c r="K207" s="112" t="n">
        <v>0</v>
      </c>
      <c r="L207" s="112" t="n">
        <v>0</v>
      </c>
      <c r="M207" s="113" t="n">
        <v>178.189</v>
      </c>
      <c r="N207" t="n">
        <v>430</v>
      </c>
      <c r="O207" t="n">
        <v>19850060</v>
      </c>
    </row>
    <row r="208" ht="13.5" customHeight="1" s="186">
      <c r="B208" s="97" t="inlineStr">
        <is>
          <t>MG</t>
        </is>
      </c>
      <c r="C208" s="97" t="n">
        <v>2009</v>
      </c>
      <c r="D208" s="98" t="n">
        <v>12.92</v>
      </c>
      <c r="E208" s="99" t="n">
        <v>0.64</v>
      </c>
      <c r="F208" s="100" t="n">
        <v>7.8586</v>
      </c>
      <c r="G208" s="101" t="n">
        <v>4.852</v>
      </c>
      <c r="H208" s="77" t="n">
        <v>14329</v>
      </c>
      <c r="I208" s="102" t="n">
        <v>9.57</v>
      </c>
      <c r="J208" s="86" t="n">
        <v>8.1</v>
      </c>
      <c r="K208" s="103" t="n">
        <v>0</v>
      </c>
      <c r="L208" s="114" t="n">
        <v>0</v>
      </c>
      <c r="M208" s="104" t="n">
        <v>178.189</v>
      </c>
      <c r="N208" t="n">
        <v>558</v>
      </c>
      <c r="O208" t="n">
        <v>20033665</v>
      </c>
    </row>
    <row r="209" ht="13.5" customHeight="1" s="186">
      <c r="B209" s="105" t="inlineStr">
        <is>
          <t>MG</t>
        </is>
      </c>
      <c r="C209" s="105" t="n">
        <v>2010</v>
      </c>
      <c r="D209" s="106" t="n">
        <v>12.53</v>
      </c>
      <c r="E209" s="107" t="n">
        <v>0.35</v>
      </c>
      <c r="F209" s="108" t="n">
        <v>7.8059</v>
      </c>
      <c r="G209" s="109" t="n">
        <v>4.2195</v>
      </c>
      <c r="H209" s="110" t="n">
        <v>17917</v>
      </c>
      <c r="I209" s="111" t="n">
        <v>9.7935</v>
      </c>
      <c r="J209" s="86" t="n">
        <v>7.26</v>
      </c>
      <c r="K209" s="112" t="n">
        <v>0</v>
      </c>
      <c r="L209" s="114" t="n">
        <v>0</v>
      </c>
      <c r="M209" s="113" t="n">
        <v>178.189</v>
      </c>
      <c r="N209" t="n">
        <v>626</v>
      </c>
      <c r="O209" t="n">
        <v>19597330</v>
      </c>
    </row>
    <row r="210" ht="13.5" customHeight="1" s="186">
      <c r="B210" s="97" t="inlineStr">
        <is>
          <t>MG</t>
        </is>
      </c>
      <c r="C210" s="97" t="n">
        <v>2011</v>
      </c>
      <c r="D210" s="98" t="n">
        <v>15.13</v>
      </c>
      <c r="E210" s="99" t="n">
        <v>0.83</v>
      </c>
      <c r="F210" s="100" t="n">
        <v>8.0014</v>
      </c>
      <c r="G210" s="101" t="n">
        <v>5.0938</v>
      </c>
      <c r="H210" s="77" t="n">
        <v>20281</v>
      </c>
      <c r="I210" s="102" t="n">
        <v>9.917400000000001</v>
      </c>
      <c r="J210" s="85" t="n">
        <v>6.43</v>
      </c>
      <c r="K210" s="103" t="n">
        <v>0</v>
      </c>
      <c r="L210" s="103" t="n">
        <v>0</v>
      </c>
      <c r="M210" s="104" t="n">
        <v>178.189</v>
      </c>
      <c r="N210" t="n">
        <v>789</v>
      </c>
      <c r="O210" t="n">
        <v>19728701</v>
      </c>
    </row>
    <row r="211" ht="13.5" customHeight="1" s="186">
      <c r="B211" s="105" t="inlineStr">
        <is>
          <t>MG</t>
        </is>
      </c>
      <c r="C211" s="105" t="n">
        <v>2012</v>
      </c>
      <c r="D211" s="106" t="n">
        <v>16.17</v>
      </c>
      <c r="E211" s="107" t="n">
        <v>0.9</v>
      </c>
      <c r="F211" s="108" t="n">
        <v>8.074</v>
      </c>
      <c r="G211" s="109" t="n">
        <v>5.1818</v>
      </c>
      <c r="H211" s="110" t="n">
        <v>22275</v>
      </c>
      <c r="I211" s="111" t="n">
        <v>10.0112</v>
      </c>
      <c r="J211" s="89" t="n">
        <v>6.21</v>
      </c>
      <c r="K211" s="115" t="n">
        <v>0</v>
      </c>
      <c r="L211" s="112" t="n">
        <v>0</v>
      </c>
      <c r="M211" s="113" t="n">
        <v>178.189</v>
      </c>
      <c r="N211" t="n">
        <v>967</v>
      </c>
      <c r="O211" t="n">
        <v>19855332</v>
      </c>
    </row>
    <row r="212" ht="13.5" customHeight="1" s="186">
      <c r="B212" s="97" t="inlineStr">
        <is>
          <t>MG</t>
        </is>
      </c>
      <c r="C212" s="97" t="n">
        <v>2013</v>
      </c>
      <c r="D212" s="98" t="n">
        <v>16.78</v>
      </c>
      <c r="E212" s="99" t="n">
        <v>0.61</v>
      </c>
      <c r="F212" s="100" t="n">
        <v>8.147600000000001</v>
      </c>
      <c r="G212" s="101" t="n">
        <v>4.8363</v>
      </c>
      <c r="H212" s="77" t="n">
        <v>23697</v>
      </c>
      <c r="I212" s="102" t="n">
        <v>10.0731</v>
      </c>
      <c r="J212" s="85" t="n">
        <v>6.63</v>
      </c>
      <c r="K212" s="103" t="n">
        <v>0</v>
      </c>
      <c r="L212" s="103" t="n">
        <v>0</v>
      </c>
      <c r="M212" s="104" t="n">
        <v>178.189</v>
      </c>
      <c r="N212" t="n">
        <v>1093</v>
      </c>
      <c r="O212" t="n">
        <v>20593356</v>
      </c>
    </row>
    <row r="213" ht="13.5" customHeight="1" s="186">
      <c r="B213" s="105" t="inlineStr">
        <is>
          <t>MG</t>
        </is>
      </c>
      <c r="C213" s="105" t="n">
        <v>2014</v>
      </c>
      <c r="D213" s="106" t="n">
        <v>16.22</v>
      </c>
      <c r="E213" s="107" t="n">
        <v>0.54</v>
      </c>
      <c r="F213" s="108" t="n">
        <v>8.1206</v>
      </c>
      <c r="G213" s="109" t="n">
        <v>4.7095</v>
      </c>
      <c r="H213" s="110" t="n">
        <v>24917</v>
      </c>
      <c r="I213" s="111" t="n">
        <v>10.1233</v>
      </c>
      <c r="J213" s="89" t="n">
        <v>7.06</v>
      </c>
      <c r="K213" s="112" t="n">
        <v>0</v>
      </c>
      <c r="L213" s="112" t="n">
        <v>0</v>
      </c>
      <c r="M213" s="113" t="n">
        <v>178.189</v>
      </c>
      <c r="N213" t="n">
        <v>1204</v>
      </c>
      <c r="O213" t="n">
        <v>20734097</v>
      </c>
    </row>
    <row r="214" ht="13.5" customHeight="1" s="186">
      <c r="B214" s="97" t="inlineStr">
        <is>
          <t>MG</t>
        </is>
      </c>
      <c r="C214" s="97" t="n">
        <v>2015</v>
      </c>
      <c r="D214" s="98" t="n">
        <v>15.37</v>
      </c>
      <c r="E214" s="99" t="n">
        <v>0.31</v>
      </c>
      <c r="F214" s="100" t="n">
        <v>8.073399999999999</v>
      </c>
      <c r="G214" s="101" t="n">
        <v>4.1744</v>
      </c>
      <c r="H214" s="77" t="n">
        <v>24885</v>
      </c>
      <c r="I214" s="102" t="n">
        <v>10.122</v>
      </c>
      <c r="J214" s="85" t="n">
        <v>8.6</v>
      </c>
      <c r="K214" s="103" t="n">
        <v>0</v>
      </c>
      <c r="L214" s="103" t="n">
        <v>0</v>
      </c>
      <c r="M214" s="104" t="n">
        <v>178.189</v>
      </c>
      <c r="N214" t="n">
        <v>1269</v>
      </c>
      <c r="O214" t="n">
        <v>20869101</v>
      </c>
    </row>
    <row r="215" ht="13.5" customHeight="1" s="186">
      <c r="B215" s="105" t="inlineStr">
        <is>
          <t>MG</t>
        </is>
      </c>
      <c r="C215" s="105" t="n">
        <v>2016</v>
      </c>
      <c r="D215" s="106" t="n">
        <v>15.76</v>
      </c>
      <c r="E215" s="107" t="n">
        <v>1.3</v>
      </c>
      <c r="F215" s="108" t="n">
        <v>8.104699999999999</v>
      </c>
      <c r="G215" s="109" t="n">
        <v>5.6058</v>
      </c>
      <c r="H215" s="110" t="n">
        <v>25946</v>
      </c>
      <c r="I215" s="111" t="n">
        <v>10.1638</v>
      </c>
      <c r="J215" s="89" t="n">
        <v>11.2</v>
      </c>
      <c r="K215" s="112" t="n">
        <v>0</v>
      </c>
      <c r="L215" s="112" t="n">
        <v>0</v>
      </c>
      <c r="M215" s="113" t="n">
        <v>178.189</v>
      </c>
      <c r="N215" t="n">
        <v>1541</v>
      </c>
      <c r="O215" t="n">
        <v>20997560</v>
      </c>
    </row>
    <row r="216" ht="13.5" customHeight="1" s="186">
      <c r="B216" s="97" t="inlineStr">
        <is>
          <t>MG</t>
        </is>
      </c>
      <c r="C216" s="97" t="n">
        <v>2017</v>
      </c>
      <c r="D216" s="98" t="n">
        <v>14.49</v>
      </c>
      <c r="E216" s="99" t="n">
        <v>2.32</v>
      </c>
      <c r="F216" s="100" t="n">
        <v>8.026199999999999</v>
      </c>
      <c r="G216" s="101" t="n">
        <v>6.1924</v>
      </c>
      <c r="H216" s="77" t="n">
        <v>27291</v>
      </c>
      <c r="I216" s="102" t="n">
        <v>10.2143</v>
      </c>
      <c r="J216" s="86" t="n">
        <v>12.2</v>
      </c>
      <c r="K216" s="103" t="n">
        <v>0</v>
      </c>
      <c r="L216" s="114" t="n">
        <v>0</v>
      </c>
      <c r="M216" s="104" t="n">
        <v>178.189</v>
      </c>
      <c r="N216" t="n">
        <v>2030</v>
      </c>
      <c r="O216" t="n">
        <v>21119536</v>
      </c>
    </row>
    <row r="217" ht="13.5" customHeight="1" s="186">
      <c r="B217" s="105" t="inlineStr">
        <is>
          <t>MG</t>
        </is>
      </c>
      <c r="C217" s="105" t="n">
        <v>2018</v>
      </c>
      <c r="D217" s="106" t="n">
        <v>10.62</v>
      </c>
      <c r="E217" s="107" t="n">
        <v>5.18</v>
      </c>
      <c r="F217" s="108" t="n">
        <v>7.7115</v>
      </c>
      <c r="G217" s="109" t="n">
        <v>6.993</v>
      </c>
      <c r="H217" s="110" t="n">
        <v>29223</v>
      </c>
      <c r="I217" s="111" t="n">
        <v>10.2827</v>
      </c>
      <c r="J217" s="86" t="n">
        <v>10.8</v>
      </c>
      <c r="K217" s="112" t="n">
        <v>0</v>
      </c>
      <c r="L217" s="114" t="n">
        <v>0</v>
      </c>
      <c r="M217" s="113" t="n">
        <v>178.189</v>
      </c>
      <c r="N217" t="n">
        <v>3119</v>
      </c>
      <c r="O217" t="n">
        <v>21040662</v>
      </c>
    </row>
    <row r="218" ht="13.5" customHeight="1" s="186">
      <c r="B218" s="97" t="inlineStr">
        <is>
          <t>MG</t>
        </is>
      </c>
      <c r="C218" s="97" t="n">
        <v>2019</v>
      </c>
      <c r="D218" s="98" t="n">
        <v>8.83</v>
      </c>
      <c r="E218" s="99" t="n">
        <v>31.14</v>
      </c>
      <c r="F218" s="100" t="n">
        <v>7.5332</v>
      </c>
      <c r="G218" s="101" t="n">
        <v>8.7935</v>
      </c>
      <c r="H218" s="77" t="n">
        <v>30794</v>
      </c>
      <c r="I218" s="102" t="n">
        <v>10.3351</v>
      </c>
      <c r="J218" s="85" t="n">
        <v>10.1</v>
      </c>
      <c r="K218" s="103" t="n">
        <v>0</v>
      </c>
      <c r="L218" s="103" t="n">
        <v>0</v>
      </c>
      <c r="M218" s="104" t="n">
        <v>178.189</v>
      </c>
      <c r="N218" t="n">
        <v>9710</v>
      </c>
      <c r="O218" t="n">
        <v>21168791</v>
      </c>
    </row>
    <row r="219" ht="13.5" customHeight="1" s="186">
      <c r="B219" s="105" t="inlineStr">
        <is>
          <t>MG</t>
        </is>
      </c>
      <c r="C219" s="105" t="n">
        <v>2020</v>
      </c>
      <c r="D219" s="106" t="n">
        <v>7.95</v>
      </c>
      <c r="E219" s="107" t="n">
        <v>47.49</v>
      </c>
      <c r="F219" s="108" t="n">
        <v>7.4337</v>
      </c>
      <c r="G219" s="109" t="n">
        <v>9.221399999999999</v>
      </c>
      <c r="H219" s="110" t="n">
        <v>32067</v>
      </c>
      <c r="I219" s="111" t="n">
        <v>10.3756</v>
      </c>
      <c r="J219" s="89" t="n">
        <v>12.8</v>
      </c>
      <c r="K219" s="115" t="n">
        <v>0</v>
      </c>
      <c r="L219" s="112" t="n">
        <v>1</v>
      </c>
      <c r="M219" s="113" t="n">
        <v>178.189</v>
      </c>
      <c r="N219" t="n">
        <v>19821</v>
      </c>
      <c r="O219" t="n">
        <v>21292666</v>
      </c>
    </row>
    <row r="220" ht="36" customHeight="1" s="186">
      <c r="B220" s="190" t="inlineStr">
        <is>
          <t>MG</t>
        </is>
      </c>
      <c r="C220" t="n">
        <v>2021</v>
      </c>
      <c r="D220" t="n">
        <v>7.42</v>
      </c>
      <c r="E220" t="n">
        <v>111.51</v>
      </c>
      <c r="F220" t="n">
        <v>7.3702</v>
      </c>
      <c r="G220" t="n">
        <v>10.0806</v>
      </c>
      <c r="H220" t="n">
        <v>40052</v>
      </c>
      <c r="I220" t="n">
        <v>10.5979</v>
      </c>
      <c r="J220" t="n">
        <v>11.7</v>
      </c>
      <c r="K220" t="n">
        <v>0</v>
      </c>
      <c r="L220" t="n">
        <v>1</v>
      </c>
      <c r="M220" t="n">
        <v>178.189</v>
      </c>
      <c r="N220" t="n">
        <v>43697</v>
      </c>
      <c r="O220" t="n">
        <v>21411923</v>
      </c>
    </row>
    <row r="221">
      <c r="B221" t="inlineStr">
        <is>
          <t>MG</t>
        </is>
      </c>
      <c r="C221" t="n">
        <v>2022</v>
      </c>
      <c r="D221" t="n">
        <v>8.460000000000001</v>
      </c>
      <c r="E221" t="n">
        <v>178.19</v>
      </c>
      <c r="F221" t="n">
        <v>7.4599</v>
      </c>
      <c r="G221" t="n">
        <v>10.5078</v>
      </c>
      <c r="H221" t="n">
        <v>44145</v>
      </c>
      <c r="I221" t="n">
        <v>10.6952</v>
      </c>
      <c r="J221" t="n">
        <v>7.2</v>
      </c>
      <c r="K221" t="n">
        <v>0</v>
      </c>
      <c r="L221" t="n">
        <v>0</v>
      </c>
      <c r="M221" t="n">
        <v>178.189</v>
      </c>
      <c r="N221" t="n">
        <v>80297</v>
      </c>
      <c r="O221" t="n">
        <v>20539989</v>
      </c>
    </row>
    <row r="222">
      <c r="B222" t="inlineStr">
        <is>
          <t>MG</t>
        </is>
      </c>
      <c r="C222" t="n">
        <v>2023</v>
      </c>
      <c r="D222" t="n">
        <v>8.52</v>
      </c>
      <c r="E222" t="n">
        <v>0.49</v>
      </c>
      <c r="F222" t="n">
        <v>7.4668</v>
      </c>
      <c r="G222" t="n">
        <v>4.6151</v>
      </c>
      <c r="H222" t="n">
        <v>47321</v>
      </c>
      <c r="I222" t="n">
        <v>10.7647</v>
      </c>
      <c r="J222" t="n">
        <v>6.1</v>
      </c>
      <c r="K222" t="n">
        <v>1</v>
      </c>
      <c r="L222" t="n">
        <v>0</v>
      </c>
      <c r="M222" t="n">
        <v>178.189</v>
      </c>
      <c r="N222" t="n">
        <v>80398</v>
      </c>
      <c r="O222" t="n">
        <v>20539989</v>
      </c>
    </row>
    <row r="223">
      <c r="B223" t="inlineStr">
        <is>
          <t>MG</t>
        </is>
      </c>
      <c r="C223" t="n">
        <v>2024</v>
      </c>
      <c r="D223" t="n">
        <v>7.89</v>
      </c>
      <c r="E223" t="n">
        <v>36.42</v>
      </c>
      <c r="F223" t="n">
        <v>7.4277</v>
      </c>
      <c r="G223" t="n">
        <v>8.9575</v>
      </c>
      <c r="H223" t="n">
        <v>48462</v>
      </c>
      <c r="I223" t="n">
        <v>10.7885</v>
      </c>
      <c r="J223" t="n">
        <v>5.2</v>
      </c>
      <c r="K223" t="n">
        <v>1</v>
      </c>
      <c r="L223" t="n">
        <v>0</v>
      </c>
      <c r="M223" t="n">
        <v>178.189</v>
      </c>
      <c r="N223" t="n">
        <v>88164</v>
      </c>
      <c r="O223" t="n">
        <v>21322691</v>
      </c>
    </row>
    <row r="224">
      <c r="B224" t="inlineStr">
        <is>
          <t>MS</t>
        </is>
      </c>
      <c r="C224" t="n">
        <v>2005</v>
      </c>
      <c r="D224" t="n">
        <v>15.28</v>
      </c>
      <c r="E224" t="n">
        <v>0.35</v>
      </c>
      <c r="F224" t="n">
        <v>5.8464</v>
      </c>
      <c r="G224" t="n">
        <v>2.0794</v>
      </c>
      <c r="H224" t="n">
        <v>9561</v>
      </c>
      <c r="I224" t="n">
        <v>9.1654</v>
      </c>
      <c r="J224" t="n">
        <v>9.199999999999999</v>
      </c>
      <c r="K224" t="n">
        <v>0</v>
      </c>
      <c r="L224" t="n">
        <v>0</v>
      </c>
      <c r="M224" t="n">
        <v>325.6786</v>
      </c>
      <c r="N224" t="n">
        <v>8</v>
      </c>
      <c r="O224" t="n">
        <v>2264468</v>
      </c>
    </row>
    <row r="225">
      <c r="B225" t="inlineStr">
        <is>
          <t>MS</t>
        </is>
      </c>
      <c r="C225" t="n">
        <v>2006</v>
      </c>
      <c r="D225" t="n">
        <v>16.19</v>
      </c>
      <c r="E225" t="n">
        <v>0.65</v>
      </c>
      <c r="F225" t="n">
        <v>5.9189</v>
      </c>
      <c r="G225" t="n">
        <v>2.7081</v>
      </c>
      <c r="H225" t="n">
        <v>10592</v>
      </c>
      <c r="I225" t="n">
        <v>9.267899999999999</v>
      </c>
      <c r="J225" t="n">
        <v>8.470000000000001</v>
      </c>
      <c r="K225" t="n">
        <v>0</v>
      </c>
      <c r="L225" t="n">
        <v>0</v>
      </c>
      <c r="M225" t="n">
        <v>325.6786</v>
      </c>
      <c r="N225" t="n">
        <v>23</v>
      </c>
      <c r="O225" t="n">
        <v>2297981</v>
      </c>
    </row>
    <row r="226">
      <c r="B226" t="inlineStr">
        <is>
          <t>MS</t>
        </is>
      </c>
      <c r="C226" t="n">
        <v>2007</v>
      </c>
      <c r="D226" t="n">
        <v>17.7</v>
      </c>
      <c r="E226" t="n">
        <v>0.35</v>
      </c>
      <c r="F226" t="n">
        <v>5.994</v>
      </c>
      <c r="G226" t="n">
        <v>2.0794</v>
      </c>
      <c r="H226" t="n">
        <v>12411</v>
      </c>
      <c r="I226" t="n">
        <v>9.426299999999999</v>
      </c>
      <c r="J226" t="n">
        <v>6.48</v>
      </c>
      <c r="K226" t="n">
        <v>0</v>
      </c>
      <c r="L226" t="n">
        <v>0</v>
      </c>
      <c r="M226" t="n">
        <v>325.6786</v>
      </c>
      <c r="N226" t="n">
        <v>31</v>
      </c>
      <c r="O226" t="n">
        <v>2265813</v>
      </c>
    </row>
    <row r="227">
      <c r="B227" t="inlineStr">
        <is>
          <t>MS</t>
        </is>
      </c>
      <c r="C227" t="n">
        <v>2008</v>
      </c>
      <c r="D227" t="n">
        <v>16.65</v>
      </c>
      <c r="E227" t="n">
        <v>0.43</v>
      </c>
      <c r="F227" t="n">
        <v>5.9636</v>
      </c>
      <c r="G227" t="n">
        <v>2.3026</v>
      </c>
      <c r="H227" t="n">
        <v>14188</v>
      </c>
      <c r="I227" t="n">
        <v>9.5602</v>
      </c>
      <c r="J227" t="n">
        <v>7.87</v>
      </c>
      <c r="K227" t="n">
        <v>0</v>
      </c>
      <c r="L227" t="n">
        <v>0</v>
      </c>
      <c r="M227" t="n">
        <v>325.6786</v>
      </c>
      <c r="N227" t="n">
        <v>41</v>
      </c>
      <c r="O227" t="n">
        <v>2336060</v>
      </c>
    </row>
    <row r="228">
      <c r="B228" t="inlineStr">
        <is>
          <t>MS</t>
        </is>
      </c>
      <c r="C228" t="n">
        <v>2009</v>
      </c>
      <c r="D228" t="n">
        <v>18.34</v>
      </c>
      <c r="E228" t="n">
        <v>1.14</v>
      </c>
      <c r="F228" t="n">
        <v>6.0707</v>
      </c>
      <c r="G228" t="n">
        <v>3.2958</v>
      </c>
      <c r="H228" t="n">
        <v>15407</v>
      </c>
      <c r="I228" t="n">
        <v>9.6426</v>
      </c>
      <c r="J228" t="n">
        <v>7.21</v>
      </c>
      <c r="K228" t="n">
        <v>0</v>
      </c>
      <c r="L228" t="n">
        <v>0</v>
      </c>
      <c r="M228" t="n">
        <v>325.6786</v>
      </c>
      <c r="N228" t="n">
        <v>68</v>
      </c>
      <c r="O228" t="n">
        <v>2360498</v>
      </c>
    </row>
    <row r="229">
      <c r="B229" t="inlineStr">
        <is>
          <t>MS</t>
        </is>
      </c>
      <c r="C229" t="n">
        <v>2010</v>
      </c>
      <c r="D229" t="n">
        <v>13.84</v>
      </c>
      <c r="E229" t="n">
        <v>0.78</v>
      </c>
      <c r="F229" t="n">
        <v>5.826</v>
      </c>
      <c r="G229" t="n">
        <v>2.9444</v>
      </c>
      <c r="H229" t="n">
        <v>19302</v>
      </c>
      <c r="I229" t="n">
        <v>9.868</v>
      </c>
      <c r="J229" t="n">
        <v>6.04</v>
      </c>
      <c r="K229" t="n">
        <v>0</v>
      </c>
      <c r="L229" t="n">
        <v>0</v>
      </c>
      <c r="M229" t="n">
        <v>325.6786</v>
      </c>
      <c r="N229" t="n">
        <v>87</v>
      </c>
      <c r="O229" t="n">
        <v>2449024</v>
      </c>
    </row>
    <row r="230">
      <c r="B230" t="inlineStr">
        <is>
          <t>MS</t>
        </is>
      </c>
      <c r="C230" t="n">
        <v>2011</v>
      </c>
      <c r="D230" t="n">
        <v>14.69</v>
      </c>
      <c r="E230" t="n">
        <v>2.18</v>
      </c>
      <c r="F230" t="n">
        <v>5.8972</v>
      </c>
      <c r="G230" t="n">
        <v>3.989</v>
      </c>
      <c r="H230" t="n">
        <v>22253</v>
      </c>
      <c r="I230" t="n">
        <v>10.0102</v>
      </c>
      <c r="J230" t="n">
        <v>4.86</v>
      </c>
      <c r="K230" t="n">
        <v>0</v>
      </c>
      <c r="L230" t="n">
        <v>0</v>
      </c>
      <c r="M230" t="n">
        <v>325.6786</v>
      </c>
      <c r="N230" t="n">
        <v>141</v>
      </c>
      <c r="O230" t="n">
        <v>2477542</v>
      </c>
    </row>
    <row r="231">
      <c r="B231" t="inlineStr">
        <is>
          <t>MS</t>
        </is>
      </c>
      <c r="C231" t="n">
        <v>2012</v>
      </c>
      <c r="D231" t="n">
        <v>13.4</v>
      </c>
      <c r="E231" t="n">
        <v>1.48</v>
      </c>
      <c r="F231" t="n">
        <v>5.8141</v>
      </c>
      <c r="G231" t="n">
        <v>3.6109</v>
      </c>
      <c r="H231" t="n">
        <v>24802</v>
      </c>
      <c r="I231" t="n">
        <v>10.1187</v>
      </c>
      <c r="J231" t="n">
        <v>3.73</v>
      </c>
      <c r="K231" t="n">
        <v>0</v>
      </c>
      <c r="L231" t="n">
        <v>0</v>
      </c>
      <c r="M231" t="n">
        <v>325.6786</v>
      </c>
      <c r="N231" t="n">
        <v>178</v>
      </c>
      <c r="O231" t="n">
        <v>2500365</v>
      </c>
    </row>
    <row r="232">
      <c r="B232" t="inlineStr">
        <is>
          <t>MS</t>
        </is>
      </c>
      <c r="C232" t="n">
        <v>2013</v>
      </c>
      <c r="D232" t="n">
        <v>12.14</v>
      </c>
      <c r="E232" t="n">
        <v>0.5</v>
      </c>
      <c r="F232" t="n">
        <v>5.7494</v>
      </c>
      <c r="G232" t="n">
        <v>2.5649</v>
      </c>
      <c r="H232" t="n">
        <v>26748</v>
      </c>
      <c r="I232" t="n">
        <v>10.1942</v>
      </c>
      <c r="J232" t="n">
        <v>3.87</v>
      </c>
      <c r="K232" t="n">
        <v>0</v>
      </c>
      <c r="L232" t="n">
        <v>0</v>
      </c>
      <c r="M232" t="n">
        <v>325.6786</v>
      </c>
      <c r="N232" t="n">
        <v>191</v>
      </c>
      <c r="O232" t="n">
        <v>2587269</v>
      </c>
    </row>
    <row r="233">
      <c r="B233" t="inlineStr">
        <is>
          <t>MS</t>
        </is>
      </c>
      <c r="C233" t="n">
        <v>2014</v>
      </c>
      <c r="D233" t="n">
        <v>13.55</v>
      </c>
      <c r="E233" t="n">
        <v>0.92</v>
      </c>
      <c r="F233" t="n">
        <v>5.8721</v>
      </c>
      <c r="G233" t="n">
        <v>3.1781</v>
      </c>
      <c r="H233" t="n">
        <v>30138</v>
      </c>
      <c r="I233" t="n">
        <v>10.3135</v>
      </c>
      <c r="J233" t="n">
        <v>4.49</v>
      </c>
      <c r="K233" t="n">
        <v>0</v>
      </c>
      <c r="L233" t="n">
        <v>0</v>
      </c>
      <c r="M233" t="n">
        <v>325.6786</v>
      </c>
      <c r="N233" t="n">
        <v>215</v>
      </c>
      <c r="O233" t="n">
        <v>2619657</v>
      </c>
    </row>
    <row r="234">
      <c r="B234" t="inlineStr">
        <is>
          <t>MS</t>
        </is>
      </c>
      <c r="C234" t="n">
        <v>2015</v>
      </c>
      <c r="D234" t="n">
        <v>11.96</v>
      </c>
      <c r="E234" t="n">
        <v>0.57</v>
      </c>
      <c r="F234" t="n">
        <v>5.7589</v>
      </c>
      <c r="G234" t="n">
        <v>2.7081</v>
      </c>
      <c r="H234" t="n">
        <v>31337</v>
      </c>
      <c r="I234" t="n">
        <v>10.3526</v>
      </c>
      <c r="J234" t="n">
        <v>6.2</v>
      </c>
      <c r="K234" t="n">
        <v>0</v>
      </c>
      <c r="L234" t="n">
        <v>0</v>
      </c>
      <c r="M234" t="n">
        <v>325.6786</v>
      </c>
      <c r="N234" t="n">
        <v>230</v>
      </c>
      <c r="O234" t="n">
        <v>2651235</v>
      </c>
    </row>
    <row r="235">
      <c r="B235" t="inlineStr">
        <is>
          <t>MS</t>
        </is>
      </c>
      <c r="C235" t="n">
        <v>2016</v>
      </c>
      <c r="D235" t="n">
        <v>12.23</v>
      </c>
      <c r="E235" t="n">
        <v>4.36</v>
      </c>
      <c r="F235" t="n">
        <v>5.793</v>
      </c>
      <c r="G235" t="n">
        <v>4.7622</v>
      </c>
      <c r="H235" t="n">
        <v>34258</v>
      </c>
      <c r="I235" t="n">
        <v>10.4417</v>
      </c>
      <c r="J235" t="n">
        <v>7.7</v>
      </c>
      <c r="K235" t="n">
        <v>0</v>
      </c>
      <c r="L235" t="n">
        <v>0</v>
      </c>
      <c r="M235" t="n">
        <v>325.6786</v>
      </c>
      <c r="N235" t="n">
        <v>347</v>
      </c>
      <c r="O235" t="n">
        <v>2682386</v>
      </c>
    </row>
    <row r="236">
      <c r="B236" t="inlineStr">
        <is>
          <t>MS</t>
        </is>
      </c>
      <c r="C236" t="n">
        <v>2017</v>
      </c>
      <c r="D236" t="n">
        <v>11.72</v>
      </c>
      <c r="E236" t="n">
        <v>7</v>
      </c>
      <c r="F236" t="n">
        <v>5.7621</v>
      </c>
      <c r="G236" t="n">
        <v>5.247</v>
      </c>
      <c r="H236" t="n">
        <v>35529</v>
      </c>
      <c r="I236" t="n">
        <v>10.4781</v>
      </c>
      <c r="J236" t="n">
        <v>8.6</v>
      </c>
      <c r="K236" t="n">
        <v>0</v>
      </c>
      <c r="L236" t="n">
        <v>0</v>
      </c>
      <c r="M236" t="n">
        <v>325.6786</v>
      </c>
      <c r="N236" t="n">
        <v>537</v>
      </c>
      <c r="O236" t="n">
        <v>2713147</v>
      </c>
    </row>
    <row r="237">
      <c r="B237" t="inlineStr">
        <is>
          <t>MS</t>
        </is>
      </c>
      <c r="C237" t="n">
        <v>2018</v>
      </c>
      <c r="D237" t="n">
        <v>8.949999999999999</v>
      </c>
      <c r="E237" t="n">
        <v>6.8</v>
      </c>
      <c r="F237" t="n">
        <v>5.5053</v>
      </c>
      <c r="G237" t="n">
        <v>5.2311</v>
      </c>
      <c r="H237" t="n">
        <v>38926</v>
      </c>
      <c r="I237" t="n">
        <v>10.5694</v>
      </c>
      <c r="J237" t="n">
        <v>7.6</v>
      </c>
      <c r="K237" t="n">
        <v>0</v>
      </c>
      <c r="L237" t="n">
        <v>0</v>
      </c>
      <c r="M237" t="n">
        <v>325.6786</v>
      </c>
      <c r="N237" t="n">
        <v>724</v>
      </c>
      <c r="O237" t="n">
        <v>2748023</v>
      </c>
    </row>
    <row r="238">
      <c r="B238" t="inlineStr">
        <is>
          <t>MS</t>
        </is>
      </c>
      <c r="C238" t="n">
        <v>2019</v>
      </c>
      <c r="D238" t="n">
        <v>8.31</v>
      </c>
      <c r="E238" t="n">
        <v>37.89</v>
      </c>
      <c r="F238" t="n">
        <v>5.4424</v>
      </c>
      <c r="G238" t="n">
        <v>6.9594</v>
      </c>
      <c r="H238" t="n">
        <v>38483</v>
      </c>
      <c r="I238" t="n">
        <v>10.558</v>
      </c>
      <c r="J238" t="n">
        <v>8.1</v>
      </c>
      <c r="K238" t="n">
        <v>0</v>
      </c>
      <c r="L238" t="n">
        <v>0</v>
      </c>
      <c r="M238" t="n">
        <v>325.6786</v>
      </c>
      <c r="N238" t="n">
        <v>1777</v>
      </c>
      <c r="O238" t="n">
        <v>2778986</v>
      </c>
    </row>
    <row r="239">
      <c r="B239" t="inlineStr">
        <is>
          <t>MS</t>
        </is>
      </c>
      <c r="C239" t="n">
        <v>2020</v>
      </c>
      <c r="D239" t="n">
        <v>7.65</v>
      </c>
      <c r="E239" t="n">
        <v>84.15000000000001</v>
      </c>
      <c r="F239" t="n">
        <v>5.3706</v>
      </c>
      <c r="G239" t="n">
        <v>7.7681</v>
      </c>
      <c r="H239" t="n">
        <v>43649</v>
      </c>
      <c r="I239" t="n">
        <v>10.6839</v>
      </c>
      <c r="J239" t="n">
        <v>10.2</v>
      </c>
      <c r="K239" t="n">
        <v>0</v>
      </c>
      <c r="L239" t="n">
        <v>1</v>
      </c>
      <c r="M239" t="n">
        <v>325.6786</v>
      </c>
      <c r="N239" t="n">
        <v>4141</v>
      </c>
      <c r="O239" t="n">
        <v>2809394</v>
      </c>
    </row>
    <row r="240">
      <c r="B240" t="inlineStr">
        <is>
          <t>MS</t>
        </is>
      </c>
      <c r="C240" t="n">
        <v>2021</v>
      </c>
      <c r="D240" t="n">
        <v>9.470000000000001</v>
      </c>
      <c r="E240" t="n">
        <v>167.3</v>
      </c>
      <c r="F240" t="n">
        <v>5.5947</v>
      </c>
      <c r="G240" t="n">
        <v>8.4659</v>
      </c>
      <c r="H240" t="n">
        <v>50086</v>
      </c>
      <c r="I240" t="n">
        <v>10.8215</v>
      </c>
      <c r="J240" t="n">
        <v>8.699999999999999</v>
      </c>
      <c r="K240" t="n">
        <v>0</v>
      </c>
      <c r="L240" t="n">
        <v>1</v>
      </c>
      <c r="M240" t="n">
        <v>325.6786</v>
      </c>
      <c r="N240" t="n">
        <v>8891</v>
      </c>
      <c r="O240" t="n">
        <v>2839188</v>
      </c>
    </row>
    <row r="241">
      <c r="B241" t="inlineStr">
        <is>
          <t>MS</t>
        </is>
      </c>
      <c r="C241" t="n">
        <v>2022</v>
      </c>
      <c r="D241" t="n">
        <v>9.029999999999999</v>
      </c>
      <c r="E241" t="n">
        <v>325.68</v>
      </c>
      <c r="F241" t="n">
        <v>5.5175</v>
      </c>
      <c r="G241" t="n">
        <v>9.102600000000001</v>
      </c>
      <c r="H241" t="n">
        <v>60358</v>
      </c>
      <c r="I241" t="n">
        <v>11.008</v>
      </c>
      <c r="J241" t="n">
        <v>5</v>
      </c>
      <c r="K241" t="n">
        <v>0</v>
      </c>
      <c r="L241" t="n">
        <v>0</v>
      </c>
      <c r="M241" t="n">
        <v>325.6786</v>
      </c>
      <c r="N241" t="n">
        <v>17870</v>
      </c>
      <c r="O241" t="n">
        <v>2757013</v>
      </c>
    </row>
    <row r="242">
      <c r="B242" t="inlineStr">
        <is>
          <t>MS</t>
        </is>
      </c>
      <c r="C242" t="n">
        <v>2023</v>
      </c>
      <c r="D242" t="n">
        <v>8.23</v>
      </c>
      <c r="E242" t="n">
        <v>0.65</v>
      </c>
      <c r="F242" t="n">
        <v>5.425</v>
      </c>
      <c r="G242" t="n">
        <v>2.8904</v>
      </c>
      <c r="H242" t="n">
        <v>66885</v>
      </c>
      <c r="I242" t="n">
        <v>11.1107</v>
      </c>
      <c r="J242" t="n">
        <v>4.2</v>
      </c>
      <c r="K242" t="n">
        <v>1</v>
      </c>
      <c r="L242" t="n">
        <v>0</v>
      </c>
      <c r="M242" t="n">
        <v>325.6786</v>
      </c>
      <c r="N242" t="n">
        <v>17888</v>
      </c>
      <c r="O242" t="n">
        <v>2757013</v>
      </c>
    </row>
    <row r="243">
      <c r="B243" t="inlineStr">
        <is>
          <t>MS</t>
        </is>
      </c>
      <c r="C243" t="n">
        <v>2024</v>
      </c>
      <c r="D243" t="n">
        <v>7.48</v>
      </c>
      <c r="E243" t="n">
        <v>40.66</v>
      </c>
      <c r="F243" t="n">
        <v>5.3799</v>
      </c>
      <c r="G243" t="n">
        <v>7.0733</v>
      </c>
      <c r="H243" t="n">
        <v>69436</v>
      </c>
      <c r="I243" t="n">
        <v>11.1482</v>
      </c>
      <c r="J243" t="n">
        <v>4</v>
      </c>
      <c r="K243" t="n">
        <v>1</v>
      </c>
      <c r="L243" t="n">
        <v>0</v>
      </c>
      <c r="M243" t="n">
        <v>325.6786</v>
      </c>
      <c r="N243" t="n">
        <v>19068</v>
      </c>
      <c r="O243" t="n">
        <v>2901895</v>
      </c>
    </row>
    <row r="244">
      <c r="B244" t="inlineStr">
        <is>
          <t>MT</t>
        </is>
      </c>
      <c r="C244" t="n">
        <v>2005</v>
      </c>
      <c r="D244" t="n">
        <v>17.27</v>
      </c>
      <c r="E244" t="n">
        <v>0.18</v>
      </c>
      <c r="F244" t="n">
        <v>6.1821</v>
      </c>
      <c r="G244" t="n">
        <v>1.6094</v>
      </c>
      <c r="H244" t="n">
        <v>13365</v>
      </c>
      <c r="I244" t="n">
        <v>9.500400000000001</v>
      </c>
      <c r="J244" t="n">
        <v>8.69</v>
      </c>
      <c r="K244" t="n">
        <v>0</v>
      </c>
      <c r="L244" t="n">
        <v>0</v>
      </c>
      <c r="M244" t="n">
        <v>362.7569</v>
      </c>
      <c r="N244" t="n">
        <v>5</v>
      </c>
      <c r="O244" t="n">
        <v>2803274</v>
      </c>
    </row>
    <row r="245">
      <c r="B245" t="inlineStr">
        <is>
          <t>MT</t>
        </is>
      </c>
      <c r="C245" t="n">
        <v>2006</v>
      </c>
      <c r="D245" t="n">
        <v>17.47</v>
      </c>
      <c r="E245" t="n">
        <v>0</v>
      </c>
      <c r="F245" t="n">
        <v>6.2126</v>
      </c>
      <c r="H245" t="n">
        <v>12341</v>
      </c>
      <c r="I245" t="n">
        <v>9.4207</v>
      </c>
      <c r="J245" t="n">
        <v>9.1</v>
      </c>
      <c r="K245" t="n">
        <v>0</v>
      </c>
      <c r="L245" t="n">
        <v>0</v>
      </c>
      <c r="M245" t="n">
        <v>362.7569</v>
      </c>
      <c r="N245" t="n">
        <v>5</v>
      </c>
      <c r="O245" t="n">
        <v>2856999</v>
      </c>
    </row>
    <row r="246">
      <c r="B246" t="inlineStr">
        <is>
          <t>MT</t>
        </is>
      </c>
      <c r="C246" t="n">
        <v>2007</v>
      </c>
      <c r="D246" t="n">
        <v>18.99</v>
      </c>
      <c r="E246" t="n">
        <v>0.21</v>
      </c>
      <c r="F246" t="n">
        <v>6.2953</v>
      </c>
      <c r="G246" t="n">
        <v>1.7918</v>
      </c>
      <c r="H246" t="n">
        <v>14954</v>
      </c>
      <c r="I246" t="n">
        <v>9.6127</v>
      </c>
      <c r="J246" t="n">
        <v>8.42</v>
      </c>
      <c r="K246" t="n">
        <v>0</v>
      </c>
      <c r="L246" t="n">
        <v>0</v>
      </c>
      <c r="M246" t="n">
        <v>362.7569</v>
      </c>
      <c r="N246" t="n">
        <v>11</v>
      </c>
      <c r="O246" t="n">
        <v>2854642</v>
      </c>
    </row>
    <row r="247">
      <c r="B247" t="inlineStr">
        <is>
          <t>MT</t>
        </is>
      </c>
      <c r="C247" t="n">
        <v>2008</v>
      </c>
      <c r="D247" t="n">
        <v>19.58</v>
      </c>
      <c r="E247" t="n">
        <v>0.51</v>
      </c>
      <c r="F247" t="n">
        <v>6.3613</v>
      </c>
      <c r="G247" t="n">
        <v>2.7081</v>
      </c>
      <c r="H247" t="n">
        <v>18050</v>
      </c>
      <c r="I247" t="n">
        <v>9.8009</v>
      </c>
      <c r="J247" t="n">
        <v>6.22</v>
      </c>
      <c r="K247" t="n">
        <v>0</v>
      </c>
      <c r="L247" t="n">
        <v>0</v>
      </c>
      <c r="M247" t="n">
        <v>362.7569</v>
      </c>
      <c r="N247" t="n">
        <v>26</v>
      </c>
      <c r="O247" t="n">
        <v>2957735</v>
      </c>
    </row>
    <row r="248">
      <c r="B248" t="inlineStr">
        <is>
          <t>MT</t>
        </is>
      </c>
      <c r="C248" t="n">
        <v>2009</v>
      </c>
      <c r="D248" t="n">
        <v>19.16</v>
      </c>
      <c r="E248" t="n">
        <v>1.07</v>
      </c>
      <c r="F248" t="n">
        <v>6.3544</v>
      </c>
      <c r="G248" t="n">
        <v>3.4657</v>
      </c>
      <c r="H248" t="n">
        <v>19087</v>
      </c>
      <c r="I248" t="n">
        <v>9.8568</v>
      </c>
      <c r="J248" t="n">
        <v>6.87</v>
      </c>
      <c r="K248" t="n">
        <v>0</v>
      </c>
      <c r="L248" t="n">
        <v>0</v>
      </c>
      <c r="M248" t="n">
        <v>362.7569</v>
      </c>
      <c r="N248" t="n">
        <v>58</v>
      </c>
      <c r="O248" t="n">
        <v>3001692</v>
      </c>
    </row>
    <row r="249">
      <c r="B249" t="inlineStr">
        <is>
          <t>MT</t>
        </is>
      </c>
      <c r="C249" t="n">
        <v>2010</v>
      </c>
      <c r="D249" t="n">
        <v>18.71</v>
      </c>
      <c r="E249" t="n">
        <v>1.61</v>
      </c>
      <c r="F249" t="n">
        <v>6.3421</v>
      </c>
      <c r="G249" t="n">
        <v>3.8918</v>
      </c>
      <c r="H249" t="n">
        <v>18649</v>
      </c>
      <c r="I249" t="n">
        <v>9.833500000000001</v>
      </c>
      <c r="J249" t="n">
        <v>7.25</v>
      </c>
      <c r="K249" t="n">
        <v>0</v>
      </c>
      <c r="L249" t="n">
        <v>0</v>
      </c>
      <c r="M249" t="n">
        <v>362.7569</v>
      </c>
      <c r="N249" t="n">
        <v>107</v>
      </c>
      <c r="O249" t="n">
        <v>3035122</v>
      </c>
    </row>
    <row r="250">
      <c r="B250" t="inlineStr">
        <is>
          <t>MT</t>
        </is>
      </c>
      <c r="C250" t="n">
        <v>2011</v>
      </c>
      <c r="D250" t="n">
        <v>19.67</v>
      </c>
      <c r="E250" t="n">
        <v>1.89</v>
      </c>
      <c r="F250" t="n">
        <v>6.4052</v>
      </c>
      <c r="G250" t="n">
        <v>4.0604</v>
      </c>
      <c r="H250" t="n">
        <v>22482</v>
      </c>
      <c r="I250" t="n">
        <v>10.0205</v>
      </c>
      <c r="J250" t="n">
        <v>7.63</v>
      </c>
      <c r="K250" t="n">
        <v>0</v>
      </c>
      <c r="L250" t="n">
        <v>0</v>
      </c>
      <c r="M250" t="n">
        <v>362.7569</v>
      </c>
      <c r="N250" t="n">
        <v>165</v>
      </c>
      <c r="O250" t="n">
        <v>3075936</v>
      </c>
    </row>
    <row r="251">
      <c r="B251" t="inlineStr">
        <is>
          <t>MT</t>
        </is>
      </c>
      <c r="C251" t="n">
        <v>2012</v>
      </c>
      <c r="D251" t="n">
        <v>20.83</v>
      </c>
      <c r="E251" t="n">
        <v>3.31</v>
      </c>
      <c r="F251" t="n">
        <v>6.4754</v>
      </c>
      <c r="G251" t="n">
        <v>4.6347</v>
      </c>
      <c r="H251" t="n">
        <v>25572</v>
      </c>
      <c r="I251" t="n">
        <v>10.1493</v>
      </c>
      <c r="J251" t="n">
        <v>5.26</v>
      </c>
      <c r="K251" t="n">
        <v>0</v>
      </c>
      <c r="L251" t="n">
        <v>0</v>
      </c>
      <c r="M251" t="n">
        <v>362.7569</v>
      </c>
      <c r="N251" t="n">
        <v>268</v>
      </c>
      <c r="O251" t="n">
        <v>3115336</v>
      </c>
    </row>
    <row r="252">
      <c r="B252" t="inlineStr">
        <is>
          <t>MT</t>
        </is>
      </c>
      <c r="C252" t="n">
        <v>2013</v>
      </c>
      <c r="D252" t="n">
        <v>23.57</v>
      </c>
      <c r="E252" t="n">
        <v>0.91</v>
      </c>
      <c r="F252" t="n">
        <v>6.6201</v>
      </c>
      <c r="G252" t="n">
        <v>3.3673</v>
      </c>
      <c r="H252" t="n">
        <v>28036</v>
      </c>
      <c r="I252" t="n">
        <v>10.2412</v>
      </c>
      <c r="J252" t="n">
        <v>4.9</v>
      </c>
      <c r="K252" t="n">
        <v>0</v>
      </c>
      <c r="L252" t="n">
        <v>0</v>
      </c>
      <c r="M252" t="n">
        <v>362.7569</v>
      </c>
      <c r="N252" t="n">
        <v>297</v>
      </c>
      <c r="O252" t="n">
        <v>3182113</v>
      </c>
    </row>
    <row r="253">
      <c r="B253" t="inlineStr">
        <is>
          <t>MT</t>
        </is>
      </c>
      <c r="C253" t="n">
        <v>2014</v>
      </c>
      <c r="D253" t="n">
        <v>26.55</v>
      </c>
      <c r="E253" t="n">
        <v>2.02</v>
      </c>
      <c r="F253" t="n">
        <v>6.7523</v>
      </c>
      <c r="G253" t="n">
        <v>4.1744</v>
      </c>
      <c r="H253" t="n">
        <v>31397</v>
      </c>
      <c r="I253" t="n">
        <v>10.3545</v>
      </c>
      <c r="J253" t="n">
        <v>4.81</v>
      </c>
      <c r="K253" t="n">
        <v>0</v>
      </c>
      <c r="L253" t="n">
        <v>0</v>
      </c>
      <c r="M253" t="n">
        <v>362.7569</v>
      </c>
      <c r="N253" t="n">
        <v>362</v>
      </c>
      <c r="O253" t="n">
        <v>3224357</v>
      </c>
    </row>
    <row r="254">
      <c r="B254" t="inlineStr">
        <is>
          <t>MT</t>
        </is>
      </c>
      <c r="C254" t="n">
        <v>2015</v>
      </c>
      <c r="D254" t="n">
        <v>23.89</v>
      </c>
      <c r="E254" t="n">
        <v>0.73</v>
      </c>
      <c r="F254" t="n">
        <v>6.6593</v>
      </c>
      <c r="G254" t="n">
        <v>3.1781</v>
      </c>
      <c r="H254" t="n">
        <v>32895</v>
      </c>
      <c r="I254" t="n">
        <v>10.4011</v>
      </c>
      <c r="J254" t="n">
        <v>6.2</v>
      </c>
      <c r="K254" t="n">
        <v>0</v>
      </c>
      <c r="L254" t="n">
        <v>0</v>
      </c>
      <c r="M254" t="n">
        <v>362.7569</v>
      </c>
      <c r="N254" t="n">
        <v>386</v>
      </c>
      <c r="O254" t="n">
        <v>3265486</v>
      </c>
    </row>
    <row r="255">
      <c r="B255" t="inlineStr">
        <is>
          <t>MT</t>
        </is>
      </c>
      <c r="C255" t="n">
        <v>2016</v>
      </c>
      <c r="D255" t="n">
        <v>22.9</v>
      </c>
      <c r="E255" t="n">
        <v>4.33</v>
      </c>
      <c r="F255" t="n">
        <v>6.6294</v>
      </c>
      <c r="G255" t="n">
        <v>4.9628</v>
      </c>
      <c r="H255" t="n">
        <v>37477</v>
      </c>
      <c r="I255" t="n">
        <v>10.5315</v>
      </c>
      <c r="J255" t="n">
        <v>9.5</v>
      </c>
      <c r="K255" t="n">
        <v>0</v>
      </c>
      <c r="L255" t="n">
        <v>0</v>
      </c>
      <c r="M255" t="n">
        <v>362.7569</v>
      </c>
      <c r="N255" t="n">
        <v>529</v>
      </c>
      <c r="O255" t="n">
        <v>3305531</v>
      </c>
    </row>
    <row r="256">
      <c r="B256" t="inlineStr">
        <is>
          <t>MT</t>
        </is>
      </c>
      <c r="C256" t="n">
        <v>2017</v>
      </c>
      <c r="D256" t="n">
        <v>20.18</v>
      </c>
      <c r="E256" t="n">
        <v>6.76</v>
      </c>
      <c r="F256" t="n">
        <v>6.5147</v>
      </c>
      <c r="G256" t="n">
        <v>5.4205</v>
      </c>
      <c r="H256" t="n">
        <v>37926</v>
      </c>
      <c r="I256" t="n">
        <v>10.5434</v>
      </c>
      <c r="J256" t="n">
        <v>9.1</v>
      </c>
      <c r="K256" t="n">
        <v>0</v>
      </c>
      <c r="L256" t="n">
        <v>0</v>
      </c>
      <c r="M256" t="n">
        <v>362.7569</v>
      </c>
      <c r="N256" t="n">
        <v>755</v>
      </c>
      <c r="O256" t="n">
        <v>3344544</v>
      </c>
    </row>
    <row r="257">
      <c r="B257" t="inlineStr">
        <is>
          <t>MT</t>
        </is>
      </c>
      <c r="C257" t="n">
        <v>2018</v>
      </c>
      <c r="D257" t="n">
        <v>16.33</v>
      </c>
      <c r="E257" t="n">
        <v>9.44</v>
      </c>
      <c r="F257" t="n">
        <v>6.3315</v>
      </c>
      <c r="G257" t="n">
        <v>5.7838</v>
      </c>
      <c r="H257" t="n">
        <v>39931</v>
      </c>
      <c r="I257" t="n">
        <v>10.5949</v>
      </c>
      <c r="J257" t="n">
        <v>8</v>
      </c>
      <c r="K257" t="n">
        <v>0</v>
      </c>
      <c r="L257" t="n">
        <v>0</v>
      </c>
      <c r="M257" t="n">
        <v>362.7569</v>
      </c>
      <c r="N257" t="n">
        <v>1080</v>
      </c>
      <c r="O257" t="n">
        <v>3441998</v>
      </c>
    </row>
    <row r="258">
      <c r="B258" t="inlineStr">
        <is>
          <t>MT</t>
        </is>
      </c>
      <c r="C258" t="n">
        <v>2019</v>
      </c>
      <c r="D258" t="n">
        <v>14.52</v>
      </c>
      <c r="E258" t="n">
        <v>47.47</v>
      </c>
      <c r="F258" t="n">
        <v>6.2265</v>
      </c>
      <c r="G258" t="n">
        <v>7.411</v>
      </c>
      <c r="H258" t="n">
        <v>40787</v>
      </c>
      <c r="I258" t="n">
        <v>10.6161</v>
      </c>
      <c r="J258" t="n">
        <v>8</v>
      </c>
      <c r="K258" t="n">
        <v>0</v>
      </c>
      <c r="L258" t="n">
        <v>0</v>
      </c>
      <c r="M258" t="n">
        <v>362.7569</v>
      </c>
      <c r="N258" t="n">
        <v>2734</v>
      </c>
      <c r="O258" t="n">
        <v>3484466</v>
      </c>
    </row>
    <row r="259">
      <c r="B259" t="inlineStr">
        <is>
          <t>MT</t>
        </is>
      </c>
      <c r="C259" t="n">
        <v>2020</v>
      </c>
      <c r="D259" t="n">
        <v>16.85</v>
      </c>
      <c r="E259" t="n">
        <v>64.34999999999999</v>
      </c>
      <c r="F259" t="n">
        <v>6.3869</v>
      </c>
      <c r="G259" t="n">
        <v>7.7271</v>
      </c>
      <c r="H259" t="n">
        <v>50663</v>
      </c>
      <c r="I259" t="n">
        <v>10.833</v>
      </c>
      <c r="J259" t="n">
        <v>9.9</v>
      </c>
      <c r="K259" t="n">
        <v>0</v>
      </c>
      <c r="L259" t="n">
        <v>1</v>
      </c>
      <c r="M259" t="n">
        <v>362.7569</v>
      </c>
      <c r="N259" t="n">
        <v>5003</v>
      </c>
      <c r="O259" t="n">
        <v>3526220</v>
      </c>
    </row>
    <row r="260">
      <c r="B260" t="inlineStr">
        <is>
          <t>MT</t>
        </is>
      </c>
      <c r="C260" t="n">
        <v>2021</v>
      </c>
      <c r="D260" t="n">
        <v>15.59</v>
      </c>
      <c r="E260" t="n">
        <v>169.43</v>
      </c>
      <c r="F260" t="n">
        <v>6.3208</v>
      </c>
      <c r="G260" t="n">
        <v>8.706799999999999</v>
      </c>
      <c r="H260" t="n">
        <v>65426</v>
      </c>
      <c r="I260" t="n">
        <v>11.0887</v>
      </c>
      <c r="J260" t="n">
        <v>8</v>
      </c>
      <c r="K260" t="n">
        <v>0</v>
      </c>
      <c r="L260" t="n">
        <v>1</v>
      </c>
      <c r="M260" t="n">
        <v>362.7569</v>
      </c>
      <c r="N260" t="n">
        <v>11047</v>
      </c>
      <c r="O260" t="n">
        <v>3567234</v>
      </c>
    </row>
    <row r="261">
      <c r="B261" t="inlineStr">
        <is>
          <t>MT</t>
        </is>
      </c>
      <c r="C261" t="n">
        <v>2022</v>
      </c>
      <c r="D261" t="n">
        <v>18.48</v>
      </c>
      <c r="E261" t="n">
        <v>362.76</v>
      </c>
      <c r="F261" t="n">
        <v>6.5162</v>
      </c>
      <c r="G261" t="n">
        <v>9.493399999999999</v>
      </c>
      <c r="H261" t="n">
        <v>69842</v>
      </c>
      <c r="I261" t="n">
        <v>11.154</v>
      </c>
      <c r="J261" t="n">
        <v>4.3</v>
      </c>
      <c r="K261" t="n">
        <v>0</v>
      </c>
      <c r="L261" t="n">
        <v>0</v>
      </c>
      <c r="M261" t="n">
        <v>362.7569</v>
      </c>
      <c r="N261" t="n">
        <v>24319</v>
      </c>
      <c r="O261" t="n">
        <v>3658649</v>
      </c>
    </row>
    <row r="262">
      <c r="B262" t="inlineStr">
        <is>
          <t>MT</t>
        </is>
      </c>
      <c r="C262" t="n">
        <v>2023</v>
      </c>
      <c r="D262" t="n">
        <v>20.91</v>
      </c>
      <c r="E262" t="n">
        <v>1.01</v>
      </c>
      <c r="F262" t="n">
        <v>6.6399</v>
      </c>
      <c r="G262" t="n">
        <v>3.6109</v>
      </c>
      <c r="H262" t="n">
        <v>74620</v>
      </c>
      <c r="I262" t="n">
        <v>11.2202</v>
      </c>
      <c r="J262" t="n">
        <v>3.5</v>
      </c>
      <c r="K262" t="n">
        <v>1</v>
      </c>
      <c r="L262" t="n">
        <v>0</v>
      </c>
      <c r="M262" t="n">
        <v>362.7569</v>
      </c>
      <c r="N262" t="n">
        <v>24356</v>
      </c>
      <c r="O262" t="n">
        <v>3658649</v>
      </c>
    </row>
    <row r="263">
      <c r="B263" t="inlineStr">
        <is>
          <t>MT</t>
        </is>
      </c>
      <c r="C263" t="n">
        <v>2024</v>
      </c>
      <c r="D263" t="n">
        <v>18.06</v>
      </c>
      <c r="E263" t="n">
        <v>58.75</v>
      </c>
      <c r="F263" t="n">
        <v>6.541</v>
      </c>
      <c r="G263" t="n">
        <v>7.7205</v>
      </c>
      <c r="H263" t="n">
        <v>75843</v>
      </c>
      <c r="I263" t="n">
        <v>11.2364</v>
      </c>
      <c r="J263" t="n">
        <v>2.9</v>
      </c>
      <c r="K263" t="n">
        <v>1</v>
      </c>
      <c r="L263" t="n">
        <v>0</v>
      </c>
      <c r="M263" t="n">
        <v>362.7569</v>
      </c>
      <c r="N263" t="n">
        <v>26610</v>
      </c>
      <c r="O263" t="n">
        <v>3836399</v>
      </c>
    </row>
    <row r="264">
      <c r="B264" t="inlineStr">
        <is>
          <t>PA</t>
        </is>
      </c>
      <c r="C264" t="n">
        <v>2005</v>
      </c>
      <c r="D264" t="n">
        <v>17.2</v>
      </c>
      <c r="E264" t="n">
        <v>0.09</v>
      </c>
      <c r="F264" t="n">
        <v>7.0892</v>
      </c>
      <c r="G264" t="n">
        <v>1.7918</v>
      </c>
      <c r="H264" t="n">
        <v>5612</v>
      </c>
      <c r="I264" t="n">
        <v>8.6327</v>
      </c>
      <c r="J264" t="n">
        <v>9.699999999999999</v>
      </c>
      <c r="K264" t="n">
        <v>0</v>
      </c>
      <c r="L264" t="n">
        <v>0</v>
      </c>
      <c r="M264" t="n">
        <v>75.46680000000001</v>
      </c>
      <c r="N264" t="n">
        <v>6</v>
      </c>
      <c r="O264" t="n">
        <v>6970586</v>
      </c>
    </row>
    <row r="265">
      <c r="B265" t="inlineStr">
        <is>
          <t>PA</t>
        </is>
      </c>
      <c r="C265" t="n">
        <v>2006</v>
      </c>
      <c r="D265" t="n">
        <v>18.23</v>
      </c>
      <c r="E265" t="n">
        <v>0.04</v>
      </c>
      <c r="F265" t="n">
        <v>7.167</v>
      </c>
      <c r="G265" t="n">
        <v>1.0986</v>
      </c>
      <c r="H265" t="n">
        <v>6240</v>
      </c>
      <c r="I265" t="n">
        <v>8.7387</v>
      </c>
      <c r="J265" t="n">
        <v>9.26</v>
      </c>
      <c r="K265" t="n">
        <v>0</v>
      </c>
      <c r="L265" t="n">
        <v>0</v>
      </c>
      <c r="M265" t="n">
        <v>75.46680000000001</v>
      </c>
      <c r="N265" t="n">
        <v>9</v>
      </c>
      <c r="O265" t="n">
        <v>7110465</v>
      </c>
    </row>
    <row r="266">
      <c r="B266" t="inlineStr">
        <is>
          <t>PA</t>
        </is>
      </c>
      <c r="C266" t="n">
        <v>2007</v>
      </c>
      <c r="D266" t="n">
        <v>19.67</v>
      </c>
      <c r="E266" t="n">
        <v>0.11</v>
      </c>
      <c r="F266" t="n">
        <v>7.2371</v>
      </c>
      <c r="G266" t="n">
        <v>2.0794</v>
      </c>
      <c r="H266" t="n">
        <v>7007</v>
      </c>
      <c r="I266" t="n">
        <v>8.854699999999999</v>
      </c>
      <c r="J266" t="n">
        <v>8.720000000000001</v>
      </c>
      <c r="K266" t="n">
        <v>0</v>
      </c>
      <c r="L266" t="n">
        <v>0</v>
      </c>
      <c r="M266" t="n">
        <v>75.46680000000001</v>
      </c>
      <c r="N266" t="n">
        <v>17</v>
      </c>
      <c r="O266" t="n">
        <v>7065573</v>
      </c>
    </row>
    <row r="267">
      <c r="B267" t="inlineStr">
        <is>
          <t>PA</t>
        </is>
      </c>
      <c r="C267" t="n">
        <v>2008</v>
      </c>
      <c r="D267" t="n">
        <v>26.43</v>
      </c>
      <c r="E267" t="n">
        <v>0.29</v>
      </c>
      <c r="F267" t="n">
        <v>7.5679</v>
      </c>
      <c r="G267" t="n">
        <v>3.0445</v>
      </c>
      <c r="H267" t="n">
        <v>7993</v>
      </c>
      <c r="I267" t="n">
        <v>8.9863</v>
      </c>
      <c r="J267" t="n">
        <v>6.78</v>
      </c>
      <c r="K267" t="n">
        <v>0</v>
      </c>
      <c r="L267" t="n">
        <v>0</v>
      </c>
      <c r="M267" t="n">
        <v>75.46680000000001</v>
      </c>
      <c r="N267" t="n">
        <v>38</v>
      </c>
      <c r="O267" t="n">
        <v>7321490</v>
      </c>
    </row>
    <row r="268">
      <c r="B268" t="inlineStr">
        <is>
          <t>PA</t>
        </is>
      </c>
      <c r="C268" t="n">
        <v>2009</v>
      </c>
      <c r="D268" t="n">
        <v>27.48</v>
      </c>
      <c r="E268" t="n">
        <v>0.35</v>
      </c>
      <c r="F268" t="n">
        <v>7.6217</v>
      </c>
      <c r="G268" t="n">
        <v>3.2581</v>
      </c>
      <c r="H268" t="n">
        <v>7859</v>
      </c>
      <c r="I268" t="n">
        <v>8.9694</v>
      </c>
      <c r="J268" t="n">
        <v>10.24</v>
      </c>
      <c r="K268" t="n">
        <v>0</v>
      </c>
      <c r="L268" t="n">
        <v>0</v>
      </c>
      <c r="M268" t="n">
        <v>75.46680000000001</v>
      </c>
      <c r="N268" t="n">
        <v>64</v>
      </c>
      <c r="O268" t="n">
        <v>7431020</v>
      </c>
    </row>
    <row r="269">
      <c r="B269" t="inlineStr">
        <is>
          <t>PA</t>
        </is>
      </c>
      <c r="C269" t="n">
        <v>2010</v>
      </c>
      <c r="D269" t="n">
        <v>33.24</v>
      </c>
      <c r="E269" t="n">
        <v>0.16</v>
      </c>
      <c r="F269" t="n">
        <v>7.832</v>
      </c>
      <c r="G269" t="n">
        <v>2.4849</v>
      </c>
      <c r="H269" t="n">
        <v>10907</v>
      </c>
      <c r="I269" t="n">
        <v>9.2972</v>
      </c>
      <c r="J269" t="n">
        <v>9.93</v>
      </c>
      <c r="K269" t="n">
        <v>0</v>
      </c>
      <c r="L269" t="n">
        <v>0</v>
      </c>
      <c r="M269" t="n">
        <v>75.46680000000001</v>
      </c>
      <c r="N269" t="n">
        <v>76</v>
      </c>
      <c r="O269" t="n">
        <v>7581051</v>
      </c>
    </row>
    <row r="270">
      <c r="B270" t="inlineStr">
        <is>
          <t>PA</t>
        </is>
      </c>
      <c r="C270" t="n">
        <v>2011</v>
      </c>
      <c r="D270" t="n">
        <v>27.08</v>
      </c>
      <c r="E270" t="n">
        <v>0.26</v>
      </c>
      <c r="F270" t="n">
        <v>7.6411</v>
      </c>
      <c r="G270" t="n">
        <v>2.9957</v>
      </c>
      <c r="H270" t="n">
        <v>12839</v>
      </c>
      <c r="I270" t="n">
        <v>9.4602</v>
      </c>
      <c r="J270" t="n">
        <v>9.619999999999999</v>
      </c>
      <c r="K270" t="n">
        <v>0</v>
      </c>
      <c r="L270" t="n">
        <v>0</v>
      </c>
      <c r="M270" t="n">
        <v>75.46680000000001</v>
      </c>
      <c r="N270" t="n">
        <v>96</v>
      </c>
      <c r="O270" t="n">
        <v>7688593</v>
      </c>
    </row>
    <row r="271">
      <c r="B271" t="inlineStr">
        <is>
          <t>PA</t>
        </is>
      </c>
      <c r="C271" t="n">
        <v>2012</v>
      </c>
      <c r="D271" t="n">
        <v>27.64</v>
      </c>
      <c r="E271" t="n">
        <v>0.32</v>
      </c>
      <c r="F271" t="n">
        <v>7.6732</v>
      </c>
      <c r="G271" t="n">
        <v>3.2189</v>
      </c>
      <c r="H271" t="n">
        <v>13768</v>
      </c>
      <c r="I271" t="n">
        <v>9.530099999999999</v>
      </c>
      <c r="J271" t="n">
        <v>7.8</v>
      </c>
      <c r="K271" t="n">
        <v>0</v>
      </c>
      <c r="L271" t="n">
        <v>0</v>
      </c>
      <c r="M271" t="n">
        <v>75.46680000000001</v>
      </c>
      <c r="N271" t="n">
        <v>121</v>
      </c>
      <c r="O271" t="n">
        <v>7777543</v>
      </c>
    </row>
    <row r="272">
      <c r="B272" t="inlineStr">
        <is>
          <t>PA</t>
        </is>
      </c>
      <c r="C272" t="n">
        <v>2013</v>
      </c>
      <c r="D272" t="n">
        <v>28.28</v>
      </c>
      <c r="E272" t="n">
        <v>0.28</v>
      </c>
      <c r="F272" t="n">
        <v>7.7205</v>
      </c>
      <c r="G272" t="n">
        <v>3.091</v>
      </c>
      <c r="H272" t="n">
        <v>15211</v>
      </c>
      <c r="I272" t="n">
        <v>9.629799999999999</v>
      </c>
      <c r="J272" t="n">
        <v>9.59</v>
      </c>
      <c r="K272" t="n">
        <v>0</v>
      </c>
      <c r="L272" t="n">
        <v>0</v>
      </c>
      <c r="M272" t="n">
        <v>75.46680000000001</v>
      </c>
      <c r="N272" t="n">
        <v>143</v>
      </c>
      <c r="O272" t="n">
        <v>7969654</v>
      </c>
    </row>
    <row r="273">
      <c r="B273" t="inlineStr">
        <is>
          <t>PA</t>
        </is>
      </c>
      <c r="C273" t="n">
        <v>2014</v>
      </c>
      <c r="D273" t="n">
        <v>28.82</v>
      </c>
      <c r="E273" t="n">
        <v>0.25</v>
      </c>
      <c r="F273" t="n">
        <v>7.7523</v>
      </c>
      <c r="G273" t="n">
        <v>2.9957</v>
      </c>
      <c r="H273" t="n">
        <v>15431</v>
      </c>
      <c r="I273" t="n">
        <v>9.6441</v>
      </c>
      <c r="J273" t="n">
        <v>9.710000000000001</v>
      </c>
      <c r="K273" t="n">
        <v>0</v>
      </c>
      <c r="L273" t="n">
        <v>0</v>
      </c>
      <c r="M273" t="n">
        <v>75.46680000000001</v>
      </c>
      <c r="N273" t="n">
        <v>163</v>
      </c>
      <c r="O273" t="n">
        <v>8073924</v>
      </c>
    </row>
    <row r="274">
      <c r="B274" t="inlineStr">
        <is>
          <t>PA</t>
        </is>
      </c>
      <c r="C274" t="n">
        <v>2015</v>
      </c>
      <c r="D274" t="n">
        <v>31.14</v>
      </c>
      <c r="E274" t="n">
        <v>0.21</v>
      </c>
      <c r="F274" t="n">
        <v>7.8423</v>
      </c>
      <c r="G274" t="n">
        <v>2.8332</v>
      </c>
      <c r="H274" t="n">
        <v>16012</v>
      </c>
      <c r="I274" t="n">
        <v>9.681100000000001</v>
      </c>
      <c r="J274" t="n">
        <v>8.9</v>
      </c>
      <c r="K274" t="n">
        <v>0</v>
      </c>
      <c r="L274" t="n">
        <v>0</v>
      </c>
      <c r="M274" t="n">
        <v>75.46680000000001</v>
      </c>
      <c r="N274" t="n">
        <v>180</v>
      </c>
      <c r="O274" t="n">
        <v>8175113</v>
      </c>
    </row>
    <row r="275">
      <c r="B275" t="inlineStr">
        <is>
          <t>PA</t>
        </is>
      </c>
      <c r="C275" t="n">
        <v>2016</v>
      </c>
      <c r="D275" t="n">
        <v>37</v>
      </c>
      <c r="E275" t="n">
        <v>0.62</v>
      </c>
      <c r="F275" t="n">
        <v>8.0265</v>
      </c>
      <c r="G275" t="n">
        <v>3.9318</v>
      </c>
      <c r="H275" t="n">
        <v>16694</v>
      </c>
      <c r="I275" t="n">
        <v>9.722799999999999</v>
      </c>
      <c r="J275" t="n">
        <v>11.2</v>
      </c>
      <c r="K275" t="n">
        <v>0</v>
      </c>
      <c r="L275" t="n">
        <v>0</v>
      </c>
      <c r="M275" t="n">
        <v>75.46680000000001</v>
      </c>
      <c r="N275" t="n">
        <v>231</v>
      </c>
      <c r="O275" t="n">
        <v>8272724</v>
      </c>
    </row>
    <row r="276">
      <c r="B276" t="inlineStr">
        <is>
          <t>PA</t>
        </is>
      </c>
      <c r="C276" t="n">
        <v>2017</v>
      </c>
      <c r="D276" t="n">
        <v>40.37</v>
      </c>
      <c r="E276" t="n">
        <v>0.8100000000000001</v>
      </c>
      <c r="F276" t="n">
        <v>8.125</v>
      </c>
      <c r="G276" t="n">
        <v>4.2195</v>
      </c>
      <c r="H276" t="n">
        <v>18554</v>
      </c>
      <c r="I276" t="n">
        <v>9.8284</v>
      </c>
      <c r="J276" t="n">
        <v>11.8</v>
      </c>
      <c r="K276" t="n">
        <v>0</v>
      </c>
      <c r="L276" t="n">
        <v>0</v>
      </c>
      <c r="M276" t="n">
        <v>75.46680000000001</v>
      </c>
      <c r="N276" t="n">
        <v>299</v>
      </c>
      <c r="O276" t="n">
        <v>8366628</v>
      </c>
    </row>
    <row r="277">
      <c r="B277" t="inlineStr">
        <is>
          <t>PA</t>
        </is>
      </c>
      <c r="C277" t="n">
        <v>2018</v>
      </c>
      <c r="D277" t="n">
        <v>40.65</v>
      </c>
      <c r="E277" t="n">
        <v>0.99</v>
      </c>
      <c r="F277" t="n">
        <v>8.1493</v>
      </c>
      <c r="G277" t="n">
        <v>4.4308</v>
      </c>
      <c r="H277" t="n">
        <v>18952</v>
      </c>
      <c r="I277" t="n">
        <v>9.8497</v>
      </c>
      <c r="J277" t="n">
        <v>11.2</v>
      </c>
      <c r="K277" t="n">
        <v>0</v>
      </c>
      <c r="L277" t="n">
        <v>0</v>
      </c>
      <c r="M277" t="n">
        <v>75.46680000000001</v>
      </c>
      <c r="N277" t="n">
        <v>383</v>
      </c>
      <c r="O277" t="n">
        <v>8513497</v>
      </c>
    </row>
    <row r="278">
      <c r="B278" t="inlineStr">
        <is>
          <t>PA</t>
        </is>
      </c>
      <c r="C278" t="n">
        <v>2019</v>
      </c>
      <c r="D278" t="n">
        <v>27.39</v>
      </c>
      <c r="E278" t="n">
        <v>5.7</v>
      </c>
      <c r="F278" t="n">
        <v>7.7647</v>
      </c>
      <c r="G278" t="n">
        <v>6.1944</v>
      </c>
      <c r="H278" t="n">
        <v>20735</v>
      </c>
      <c r="I278" t="n">
        <v>9.9396</v>
      </c>
      <c r="J278" t="n">
        <v>10.8</v>
      </c>
      <c r="K278" t="n">
        <v>0</v>
      </c>
      <c r="L278" t="n">
        <v>0</v>
      </c>
      <c r="M278" t="n">
        <v>75.46680000000001</v>
      </c>
      <c r="N278" t="n">
        <v>873</v>
      </c>
      <c r="O278" t="n">
        <v>8602865</v>
      </c>
    </row>
    <row r="279">
      <c r="B279" t="inlineStr">
        <is>
          <t>PA</t>
        </is>
      </c>
      <c r="C279" t="n">
        <v>2020</v>
      </c>
      <c r="D279" t="n">
        <v>21.85</v>
      </c>
      <c r="E279" t="n">
        <v>22.29</v>
      </c>
      <c r="F279" t="n">
        <v>7.5491</v>
      </c>
      <c r="G279" t="n">
        <v>7.5689</v>
      </c>
      <c r="H279" t="n">
        <v>24847</v>
      </c>
      <c r="I279" t="n">
        <v>10.1205</v>
      </c>
      <c r="J279" t="n">
        <v>10.5</v>
      </c>
      <c r="K279" t="n">
        <v>0</v>
      </c>
      <c r="L279" t="n">
        <v>1</v>
      </c>
      <c r="M279" t="n">
        <v>75.46680000000001</v>
      </c>
      <c r="N279" t="n">
        <v>2810</v>
      </c>
      <c r="O279" t="n">
        <v>8690745</v>
      </c>
    </row>
    <row r="280">
      <c r="B280" t="inlineStr">
        <is>
          <t>PA</t>
        </is>
      </c>
      <c r="C280" t="n">
        <v>2021</v>
      </c>
      <c r="D280" t="n">
        <v>22.32</v>
      </c>
      <c r="E280" t="n">
        <v>46.17</v>
      </c>
      <c r="F280" t="n">
        <v>7.5802</v>
      </c>
      <c r="G280" t="n">
        <v>8.307</v>
      </c>
      <c r="H280" t="n">
        <v>29953</v>
      </c>
      <c r="I280" t="n">
        <v>10.3074</v>
      </c>
      <c r="J280" t="n">
        <v>12.5</v>
      </c>
      <c r="K280" t="n">
        <v>0</v>
      </c>
      <c r="L280" t="n">
        <v>1</v>
      </c>
      <c r="M280" t="n">
        <v>75.46680000000001</v>
      </c>
      <c r="N280" t="n">
        <v>6862</v>
      </c>
      <c r="O280" t="n">
        <v>8777124</v>
      </c>
    </row>
    <row r="281">
      <c r="B281" t="inlineStr">
        <is>
          <t>PA</t>
        </is>
      </c>
      <c r="C281" t="n">
        <v>2022</v>
      </c>
      <c r="D281" t="n">
        <v>25.11</v>
      </c>
      <c r="E281" t="n">
        <v>75.47</v>
      </c>
      <c r="F281" t="n">
        <v>7.6202</v>
      </c>
      <c r="G281" t="n">
        <v>8.720599999999999</v>
      </c>
      <c r="H281" t="n">
        <v>29081</v>
      </c>
      <c r="I281" t="n">
        <v>10.2778</v>
      </c>
      <c r="J281" t="n">
        <v>9.6</v>
      </c>
      <c r="K281" t="n">
        <v>0</v>
      </c>
      <c r="L281" t="n">
        <v>0</v>
      </c>
      <c r="M281" t="n">
        <v>75.46680000000001</v>
      </c>
      <c r="N281" t="n">
        <v>12990</v>
      </c>
      <c r="O281" t="n">
        <v>8120131</v>
      </c>
    </row>
    <row r="282">
      <c r="B282" t="inlineStr">
        <is>
          <t>PA</t>
        </is>
      </c>
      <c r="C282" t="n">
        <v>2023</v>
      </c>
      <c r="D282" t="n">
        <v>21.74</v>
      </c>
      <c r="E282" t="n">
        <v>0.22</v>
      </c>
      <c r="F282" t="n">
        <v>7.4759</v>
      </c>
      <c r="G282" t="n">
        <v>2.8904</v>
      </c>
      <c r="H282" t="n">
        <v>31348</v>
      </c>
      <c r="I282" t="n">
        <v>10.3529</v>
      </c>
      <c r="J282" t="n">
        <v>8.5</v>
      </c>
      <c r="K282" t="n">
        <v>1</v>
      </c>
      <c r="L282" t="n">
        <v>0</v>
      </c>
      <c r="M282" t="n">
        <v>75.46680000000001</v>
      </c>
      <c r="N282" t="n">
        <v>13008</v>
      </c>
      <c r="O282" t="n">
        <v>8120131</v>
      </c>
    </row>
    <row r="283">
      <c r="B283" t="inlineStr">
        <is>
          <t>PA</t>
        </is>
      </c>
      <c r="C283" t="n">
        <v>2024</v>
      </c>
      <c r="D283" t="n">
        <v>18</v>
      </c>
      <c r="E283" t="n">
        <v>11.15</v>
      </c>
      <c r="F283" t="n">
        <v>7.3524</v>
      </c>
      <c r="G283" t="n">
        <v>6.8732</v>
      </c>
      <c r="H283" t="n">
        <v>30179</v>
      </c>
      <c r="I283" t="n">
        <v>10.3149</v>
      </c>
      <c r="J283" t="n">
        <v>7.5</v>
      </c>
      <c r="K283" t="n">
        <v>1</v>
      </c>
      <c r="L283" t="n">
        <v>0</v>
      </c>
      <c r="M283" t="n">
        <v>75.46680000000001</v>
      </c>
      <c r="N283" t="n">
        <v>13974</v>
      </c>
      <c r="O283" t="n">
        <v>8664306</v>
      </c>
    </row>
    <row r="284">
      <c r="B284" t="inlineStr">
        <is>
          <t>PB</t>
        </is>
      </c>
      <c r="C284" t="n">
        <v>2005</v>
      </c>
      <c r="D284" t="n">
        <v>15.04</v>
      </c>
      <c r="E284" t="n">
        <v>0.22</v>
      </c>
      <c r="F284" t="n">
        <v>6.2934</v>
      </c>
      <c r="G284" t="n">
        <v>2.0794</v>
      </c>
      <c r="H284" t="n">
        <v>4691</v>
      </c>
      <c r="I284" t="n">
        <v>8.4534</v>
      </c>
      <c r="J284" t="n">
        <v>8.69</v>
      </c>
      <c r="K284" t="n">
        <v>0</v>
      </c>
      <c r="L284" t="n">
        <v>0</v>
      </c>
      <c r="M284" t="n">
        <v>93.39100000000001</v>
      </c>
      <c r="N284" t="n">
        <v>8</v>
      </c>
      <c r="O284" t="n">
        <v>3595886</v>
      </c>
    </row>
    <row r="285">
      <c r="B285" t="inlineStr">
        <is>
          <t>PB</t>
        </is>
      </c>
      <c r="C285" t="n">
        <v>2006</v>
      </c>
      <c r="D285" t="n">
        <v>17.31</v>
      </c>
      <c r="E285" t="n">
        <v>0.06</v>
      </c>
      <c r="F285" t="n">
        <v>6.4409</v>
      </c>
      <c r="G285" t="n">
        <v>0.6931</v>
      </c>
      <c r="H285" t="n">
        <v>5506</v>
      </c>
      <c r="I285" t="n">
        <v>8.6136</v>
      </c>
      <c r="J285" t="n">
        <v>8.69</v>
      </c>
      <c r="K285" t="n">
        <v>0</v>
      </c>
      <c r="L285" t="n">
        <v>0</v>
      </c>
      <c r="M285" t="n">
        <v>93.39100000000001</v>
      </c>
      <c r="N285" t="n">
        <v>10</v>
      </c>
      <c r="O285" t="n">
        <v>3623215</v>
      </c>
    </row>
    <row r="286">
      <c r="B286" t="inlineStr">
        <is>
          <t>PB</t>
        </is>
      </c>
      <c r="C286" t="n">
        <v>2007</v>
      </c>
      <c r="D286" t="n">
        <v>18.1</v>
      </c>
      <c r="E286" t="n">
        <v>0.03</v>
      </c>
      <c r="F286" t="n">
        <v>6.4907</v>
      </c>
      <c r="G286" t="n">
        <v>0</v>
      </c>
      <c r="H286" t="n">
        <v>6097</v>
      </c>
      <c r="I286" t="n">
        <v>8.7156</v>
      </c>
      <c r="J286" t="n">
        <v>8.5</v>
      </c>
      <c r="K286" t="n">
        <v>0</v>
      </c>
      <c r="L286" t="n">
        <v>0</v>
      </c>
      <c r="M286" t="n">
        <v>93.39100000000001</v>
      </c>
      <c r="N286" t="n">
        <v>11</v>
      </c>
      <c r="O286" t="n">
        <v>3641397</v>
      </c>
    </row>
    <row r="287">
      <c r="B287" t="inlineStr">
        <is>
          <t>PB</t>
        </is>
      </c>
      <c r="C287" t="n">
        <v>2008</v>
      </c>
      <c r="D287" t="n">
        <v>19.91</v>
      </c>
      <c r="E287" t="n">
        <v>0.32</v>
      </c>
      <c r="F287" t="n">
        <v>6.6134</v>
      </c>
      <c r="G287" t="n">
        <v>2.4849</v>
      </c>
      <c r="H287" t="n">
        <v>6866</v>
      </c>
      <c r="I287" t="n">
        <v>8.834300000000001</v>
      </c>
      <c r="J287" t="n">
        <v>7.86</v>
      </c>
      <c r="K287" t="n">
        <v>0</v>
      </c>
      <c r="L287" t="n">
        <v>0</v>
      </c>
      <c r="M287" t="n">
        <v>93.39100000000001</v>
      </c>
      <c r="N287" t="n">
        <v>23</v>
      </c>
      <c r="O287" t="n">
        <v>3742604</v>
      </c>
    </row>
    <row r="288">
      <c r="B288" t="inlineStr">
        <is>
          <t>PB</t>
        </is>
      </c>
      <c r="C288" t="n">
        <v>2009</v>
      </c>
      <c r="D288" t="n">
        <v>27.11</v>
      </c>
      <c r="E288" t="n">
        <v>0.45</v>
      </c>
      <c r="F288" t="n">
        <v>6.9295</v>
      </c>
      <c r="G288" t="n">
        <v>2.8332</v>
      </c>
      <c r="H288" t="n">
        <v>7618</v>
      </c>
      <c r="I288" t="n">
        <v>8.9383</v>
      </c>
      <c r="J288" t="n">
        <v>9.84</v>
      </c>
      <c r="K288" t="n">
        <v>0</v>
      </c>
      <c r="L288" t="n">
        <v>0</v>
      </c>
      <c r="M288" t="n">
        <v>93.39100000000001</v>
      </c>
      <c r="N288" t="n">
        <v>40</v>
      </c>
      <c r="O288" t="n">
        <v>3769977</v>
      </c>
    </row>
    <row r="289">
      <c r="B289" t="inlineStr">
        <is>
          <t>PB</t>
        </is>
      </c>
      <c r="C289" t="n">
        <v>2010</v>
      </c>
      <c r="D289" t="n">
        <v>32.26</v>
      </c>
      <c r="E289" t="n">
        <v>0.77</v>
      </c>
      <c r="F289" t="n">
        <v>7.1025</v>
      </c>
      <c r="G289" t="n">
        <v>3.3673</v>
      </c>
      <c r="H289" t="n">
        <v>8900</v>
      </c>
      <c r="I289" t="n">
        <v>9.0938</v>
      </c>
      <c r="J289" t="n">
        <v>10.11</v>
      </c>
      <c r="K289" t="n">
        <v>0</v>
      </c>
      <c r="L289" t="n">
        <v>0</v>
      </c>
      <c r="M289" t="n">
        <v>93.39100000000001</v>
      </c>
      <c r="N289" t="n">
        <v>69</v>
      </c>
      <c r="O289" t="n">
        <v>3766528</v>
      </c>
    </row>
    <row r="290">
      <c r="B290" t="inlineStr">
        <is>
          <t>PB</t>
        </is>
      </c>
      <c r="C290" t="n">
        <v>2011</v>
      </c>
      <c r="D290" t="n">
        <v>36.45</v>
      </c>
      <c r="E290" t="n">
        <v>0.42</v>
      </c>
      <c r="F290" t="n">
        <v>7.2313</v>
      </c>
      <c r="G290" t="n">
        <v>2.7726</v>
      </c>
      <c r="H290" t="n">
        <v>9788</v>
      </c>
      <c r="I290" t="n">
        <v>9.1889</v>
      </c>
      <c r="J290" t="n">
        <v>10.37</v>
      </c>
      <c r="K290" t="n">
        <v>0</v>
      </c>
      <c r="L290" t="n">
        <v>0</v>
      </c>
      <c r="M290" t="n">
        <v>93.39100000000001</v>
      </c>
      <c r="N290" t="n">
        <v>85</v>
      </c>
      <c r="O290" t="n">
        <v>3791315</v>
      </c>
    </row>
    <row r="291">
      <c r="B291" t="inlineStr">
        <is>
          <t>PB</t>
        </is>
      </c>
      <c r="C291" t="n">
        <v>2012</v>
      </c>
      <c r="D291" t="n">
        <v>32.24</v>
      </c>
      <c r="E291" t="n">
        <v>0.45</v>
      </c>
      <c r="F291" t="n">
        <v>7.1148</v>
      </c>
      <c r="G291" t="n">
        <v>2.8332</v>
      </c>
      <c r="H291" t="n">
        <v>11137</v>
      </c>
      <c r="I291" t="n">
        <v>9.318</v>
      </c>
      <c r="J291" t="n">
        <v>8.98</v>
      </c>
      <c r="K291" t="n">
        <v>0</v>
      </c>
      <c r="L291" t="n">
        <v>0</v>
      </c>
      <c r="M291" t="n">
        <v>93.39100000000001</v>
      </c>
      <c r="N291" t="n">
        <v>102</v>
      </c>
      <c r="O291" t="n">
        <v>3815171</v>
      </c>
    </row>
    <row r="292">
      <c r="B292" t="inlineStr">
        <is>
          <t>PB</t>
        </is>
      </c>
      <c r="C292" t="n">
        <v>2013</v>
      </c>
      <c r="D292" t="n">
        <v>31.96</v>
      </c>
      <c r="E292" t="n">
        <v>0.31</v>
      </c>
      <c r="F292" t="n">
        <v>7.1317</v>
      </c>
      <c r="G292" t="n">
        <v>2.4849</v>
      </c>
      <c r="H292" t="n">
        <v>11848</v>
      </c>
      <c r="I292" t="n">
        <v>9.379899999999999</v>
      </c>
      <c r="J292" t="n">
        <v>9.83</v>
      </c>
      <c r="K292" t="n">
        <v>0</v>
      </c>
      <c r="L292" t="n">
        <v>0</v>
      </c>
      <c r="M292" t="n">
        <v>93.39100000000001</v>
      </c>
      <c r="N292" t="n">
        <v>114</v>
      </c>
      <c r="O292" t="n">
        <v>3914421</v>
      </c>
    </row>
    <row r="293">
      <c r="B293" t="inlineStr">
        <is>
          <t>PB</t>
        </is>
      </c>
      <c r="C293" t="n">
        <v>2014</v>
      </c>
      <c r="D293" t="n">
        <v>31.69</v>
      </c>
      <c r="E293" t="n">
        <v>0.15</v>
      </c>
      <c r="F293" t="n">
        <v>7.1309</v>
      </c>
      <c r="G293" t="n">
        <v>1.7918</v>
      </c>
      <c r="H293" t="n">
        <v>13422</v>
      </c>
      <c r="I293" t="n">
        <v>9.5047</v>
      </c>
      <c r="J293" t="n">
        <v>8.5</v>
      </c>
      <c r="K293" t="n">
        <v>0</v>
      </c>
      <c r="L293" t="n">
        <v>0</v>
      </c>
      <c r="M293" t="n">
        <v>93.39100000000001</v>
      </c>
      <c r="N293" t="n">
        <v>120</v>
      </c>
      <c r="O293" t="n">
        <v>3943885</v>
      </c>
    </row>
    <row r="294">
      <c r="B294" t="inlineStr">
        <is>
          <t>PB</t>
        </is>
      </c>
      <c r="C294" t="n">
        <v>2015</v>
      </c>
      <c r="D294" t="n">
        <v>31.85</v>
      </c>
      <c r="E294" t="n">
        <v>0.08</v>
      </c>
      <c r="F294" t="n">
        <v>7.1428</v>
      </c>
      <c r="G294" t="n">
        <v>1.0986</v>
      </c>
      <c r="H294" t="n">
        <v>14134</v>
      </c>
      <c r="I294" t="n">
        <v>9.5563</v>
      </c>
      <c r="J294" t="n">
        <v>9.699999999999999</v>
      </c>
      <c r="K294" t="n">
        <v>0</v>
      </c>
      <c r="L294" t="n">
        <v>0</v>
      </c>
      <c r="M294" t="n">
        <v>93.39100000000001</v>
      </c>
      <c r="N294" t="n">
        <v>123</v>
      </c>
      <c r="O294" t="n">
        <v>3972202</v>
      </c>
    </row>
    <row r="295">
      <c r="B295" t="inlineStr">
        <is>
          <t>PB</t>
        </is>
      </c>
      <c r="C295" t="n">
        <v>2016</v>
      </c>
      <c r="D295" t="n">
        <v>26.6</v>
      </c>
      <c r="E295" t="n">
        <v>1.5</v>
      </c>
      <c r="F295" t="n">
        <v>6.9698</v>
      </c>
      <c r="G295" t="n">
        <v>4.0943</v>
      </c>
      <c r="H295" t="n">
        <v>14778</v>
      </c>
      <c r="I295" t="n">
        <v>9.600899999999999</v>
      </c>
      <c r="J295" t="n">
        <v>11.6</v>
      </c>
      <c r="K295" t="n">
        <v>0</v>
      </c>
      <c r="L295" t="n">
        <v>0</v>
      </c>
      <c r="M295" t="n">
        <v>93.39100000000001</v>
      </c>
      <c r="N295" t="n">
        <v>183</v>
      </c>
      <c r="O295" t="n">
        <v>3999415</v>
      </c>
    </row>
    <row r="296">
      <c r="B296" t="inlineStr">
        <is>
          <t>PB</t>
        </is>
      </c>
      <c r="C296" t="n">
        <v>2017</v>
      </c>
      <c r="D296" t="n">
        <v>25.79</v>
      </c>
      <c r="E296" t="n">
        <v>2.58</v>
      </c>
      <c r="F296" t="n">
        <v>6.9451</v>
      </c>
      <c r="G296" t="n">
        <v>4.6444</v>
      </c>
      <c r="H296" t="n">
        <v>15500</v>
      </c>
      <c r="I296" t="n">
        <v>9.6486</v>
      </c>
      <c r="J296" t="n">
        <v>11.5</v>
      </c>
      <c r="K296" t="n">
        <v>0</v>
      </c>
      <c r="L296" t="n">
        <v>0</v>
      </c>
      <c r="M296" t="n">
        <v>93.39100000000001</v>
      </c>
      <c r="N296" t="n">
        <v>287</v>
      </c>
      <c r="O296" t="n">
        <v>4025558</v>
      </c>
    </row>
    <row r="297">
      <c r="B297" t="inlineStr">
        <is>
          <t>PB</t>
        </is>
      </c>
      <c r="C297" t="n">
        <v>2018</v>
      </c>
      <c r="D297" t="n">
        <v>24.9</v>
      </c>
      <c r="E297" t="n">
        <v>15.99</v>
      </c>
      <c r="F297" t="n">
        <v>6.9027</v>
      </c>
      <c r="G297" t="n">
        <v>6.4599</v>
      </c>
      <c r="H297" t="n">
        <v>16108</v>
      </c>
      <c r="I297" t="n">
        <v>9.687099999999999</v>
      </c>
      <c r="J297" t="n">
        <v>11.3</v>
      </c>
      <c r="K297" t="n">
        <v>0</v>
      </c>
      <c r="L297" t="n">
        <v>0</v>
      </c>
      <c r="M297" t="n">
        <v>93.39100000000001</v>
      </c>
      <c r="N297" t="n">
        <v>926</v>
      </c>
      <c r="O297" t="n">
        <v>3996496</v>
      </c>
    </row>
    <row r="298">
      <c r="B298" t="inlineStr">
        <is>
          <t>PB</t>
        </is>
      </c>
      <c r="C298" t="n">
        <v>2019</v>
      </c>
      <c r="D298" t="n">
        <v>17.87</v>
      </c>
      <c r="E298" t="n">
        <v>29.34</v>
      </c>
      <c r="F298" t="n">
        <v>6.5765</v>
      </c>
      <c r="G298" t="n">
        <v>7.0724</v>
      </c>
      <c r="H298" t="n">
        <v>16920</v>
      </c>
      <c r="I298" t="n">
        <v>9.7363</v>
      </c>
      <c r="J298" t="n">
        <v>11.8</v>
      </c>
      <c r="K298" t="n">
        <v>0</v>
      </c>
      <c r="L298" t="n">
        <v>0</v>
      </c>
      <c r="M298" t="n">
        <v>93.39100000000001</v>
      </c>
      <c r="N298" t="n">
        <v>2105</v>
      </c>
      <c r="O298" t="n">
        <v>4018127</v>
      </c>
    </row>
    <row r="299">
      <c r="B299" t="inlineStr">
        <is>
          <t>PB</t>
        </is>
      </c>
      <c r="C299" t="n">
        <v>2020</v>
      </c>
      <c r="D299" t="n">
        <v>22.85</v>
      </c>
      <c r="E299" t="n">
        <v>40.5</v>
      </c>
      <c r="F299" t="n">
        <v>6.8276</v>
      </c>
      <c r="G299" t="n">
        <v>7.4</v>
      </c>
      <c r="H299" t="n">
        <v>17402</v>
      </c>
      <c r="I299" t="n">
        <v>9.7643</v>
      </c>
      <c r="J299" t="n">
        <v>15</v>
      </c>
      <c r="K299" t="n">
        <v>0</v>
      </c>
      <c r="L299" t="n">
        <v>1</v>
      </c>
      <c r="M299" t="n">
        <v>93.39100000000001</v>
      </c>
      <c r="N299" t="n">
        <v>3741</v>
      </c>
      <c r="O299" t="n">
        <v>4039277</v>
      </c>
    </row>
    <row r="300">
      <c r="B300" t="inlineStr">
        <is>
          <t>PB</t>
        </is>
      </c>
      <c r="C300" t="n">
        <v>2021</v>
      </c>
      <c r="D300" t="n">
        <v>23.15</v>
      </c>
      <c r="E300" t="n">
        <v>71.75</v>
      </c>
      <c r="F300" t="n">
        <v>6.8459</v>
      </c>
      <c r="G300" t="n">
        <v>7.9769</v>
      </c>
      <c r="H300" t="n">
        <v>19082</v>
      </c>
      <c r="I300" t="n">
        <v>9.8565</v>
      </c>
      <c r="J300" t="n">
        <v>14.8</v>
      </c>
      <c r="K300" t="n">
        <v>0</v>
      </c>
      <c r="L300" t="n">
        <v>1</v>
      </c>
      <c r="M300" t="n">
        <v>93.39100000000001</v>
      </c>
      <c r="N300" t="n">
        <v>6654</v>
      </c>
      <c r="O300" t="n">
        <v>4059905</v>
      </c>
    </row>
    <row r="301">
      <c r="B301" t="inlineStr">
        <is>
          <t>PB</t>
        </is>
      </c>
      <c r="C301" t="n">
        <v>2022</v>
      </c>
      <c r="D301" t="n">
        <v>22.69</v>
      </c>
      <c r="E301" t="n">
        <v>93.39</v>
      </c>
      <c r="F301" t="n">
        <v>6.8046</v>
      </c>
      <c r="G301" t="n">
        <v>8.2193</v>
      </c>
      <c r="H301" t="n">
        <v>21661</v>
      </c>
      <c r="I301" t="n">
        <v>9.9833</v>
      </c>
      <c r="J301" t="n">
        <v>12</v>
      </c>
      <c r="K301" t="n">
        <v>0</v>
      </c>
      <c r="L301" t="n">
        <v>0</v>
      </c>
      <c r="M301" t="n">
        <v>93.39100000000001</v>
      </c>
      <c r="N301" t="n">
        <v>10366</v>
      </c>
      <c r="O301" t="n">
        <v>3974687</v>
      </c>
    </row>
    <row r="302">
      <c r="B302" t="inlineStr">
        <is>
          <t>PB</t>
        </is>
      </c>
      <c r="C302" t="n">
        <v>2023</v>
      </c>
      <c r="D302" t="n">
        <v>22.54</v>
      </c>
      <c r="E302" t="n">
        <v>0.1</v>
      </c>
      <c r="F302" t="n">
        <v>6.7979</v>
      </c>
      <c r="G302" t="n">
        <v>1.3863</v>
      </c>
      <c r="H302" t="n">
        <v>24395</v>
      </c>
      <c r="I302" t="n">
        <v>10.1021</v>
      </c>
      <c r="J302" t="n">
        <v>10.1</v>
      </c>
      <c r="K302" t="n">
        <v>1</v>
      </c>
      <c r="L302" t="n">
        <v>0</v>
      </c>
      <c r="M302" t="n">
        <v>93.39100000000001</v>
      </c>
      <c r="N302" t="n">
        <v>10370</v>
      </c>
      <c r="O302" t="n">
        <v>3974687</v>
      </c>
    </row>
    <row r="303">
      <c r="B303" t="inlineStr">
        <is>
          <t>PB</t>
        </is>
      </c>
      <c r="C303" t="n">
        <v>2024</v>
      </c>
      <c r="D303" t="n">
        <v>21.52</v>
      </c>
      <c r="E303" t="n">
        <v>13.05</v>
      </c>
      <c r="F303" t="n">
        <v>6.7935</v>
      </c>
      <c r="G303" t="n">
        <v>6.2934</v>
      </c>
      <c r="H303" t="n">
        <v>25683</v>
      </c>
      <c r="I303" t="n">
        <v>10.1536</v>
      </c>
      <c r="J303" t="n">
        <v>8.699999999999999</v>
      </c>
      <c r="K303" t="n">
        <v>1</v>
      </c>
      <c r="L303" t="n">
        <v>0</v>
      </c>
      <c r="M303" t="n">
        <v>93.39100000000001</v>
      </c>
      <c r="N303" t="n">
        <v>10911</v>
      </c>
      <c r="O303" t="n">
        <v>4145040</v>
      </c>
    </row>
    <row r="304">
      <c r="B304" t="inlineStr">
        <is>
          <t>PE</t>
        </is>
      </c>
      <c r="C304" t="n">
        <v>2005</v>
      </c>
      <c r="D304" t="n">
        <v>41.5</v>
      </c>
      <c r="E304" t="n">
        <v>0.4</v>
      </c>
      <c r="F304" t="n">
        <v>8.158200000000001</v>
      </c>
      <c r="G304" t="n">
        <v>3.5264</v>
      </c>
      <c r="H304" t="n">
        <v>5933</v>
      </c>
      <c r="I304" t="n">
        <v>8.6883</v>
      </c>
      <c r="J304" t="n">
        <v>12.69</v>
      </c>
      <c r="K304" t="n">
        <v>0</v>
      </c>
      <c r="L304" t="n">
        <v>0</v>
      </c>
      <c r="M304" t="n">
        <v>91.6996</v>
      </c>
      <c r="N304" t="n">
        <v>34</v>
      </c>
      <c r="O304" t="n">
        <v>8413593</v>
      </c>
    </row>
    <row r="305">
      <c r="B305" t="inlineStr">
        <is>
          <t>PE</t>
        </is>
      </c>
      <c r="C305" t="n">
        <v>2006</v>
      </c>
      <c r="D305" t="n">
        <v>42.27</v>
      </c>
      <c r="E305" t="n">
        <v>0.07000000000000001</v>
      </c>
      <c r="F305" t="n">
        <v>8.186999999999999</v>
      </c>
      <c r="G305" t="n">
        <v>1.7918</v>
      </c>
      <c r="H305" t="n">
        <v>6527</v>
      </c>
      <c r="I305" t="n">
        <v>8.7837</v>
      </c>
      <c r="J305" t="n">
        <v>11.3</v>
      </c>
      <c r="K305" t="n">
        <v>0</v>
      </c>
      <c r="L305" t="n">
        <v>0</v>
      </c>
      <c r="M305" t="n">
        <v>91.6996</v>
      </c>
      <c r="N305" t="n">
        <v>40</v>
      </c>
      <c r="O305" t="n">
        <v>8502603</v>
      </c>
    </row>
    <row r="306">
      <c r="B306" t="inlineStr">
        <is>
          <t>PE</t>
        </is>
      </c>
      <c r="C306" t="n">
        <v>2007</v>
      </c>
      <c r="D306" t="n">
        <v>43.68</v>
      </c>
      <c r="E306" t="n">
        <v>0.06</v>
      </c>
      <c r="F306" t="n">
        <v>8.218</v>
      </c>
      <c r="G306" t="n">
        <v>1.6094</v>
      </c>
      <c r="H306" t="n">
        <v>7336</v>
      </c>
      <c r="I306" t="n">
        <v>8.900499999999999</v>
      </c>
      <c r="J306" t="n">
        <v>12.98</v>
      </c>
      <c r="K306" t="n">
        <v>0</v>
      </c>
      <c r="L306" t="n">
        <v>0</v>
      </c>
      <c r="M306" t="n">
        <v>91.6996</v>
      </c>
      <c r="N306" t="n">
        <v>45</v>
      </c>
      <c r="O306" t="n">
        <v>8486638</v>
      </c>
    </row>
    <row r="307">
      <c r="B307" t="inlineStr">
        <is>
          <t>PE</t>
        </is>
      </c>
      <c r="C307" t="n">
        <v>2008</v>
      </c>
      <c r="D307" t="n">
        <v>39.35</v>
      </c>
      <c r="E307" t="n">
        <v>0.11</v>
      </c>
      <c r="F307" t="n">
        <v>8.1424</v>
      </c>
      <c r="G307" t="n">
        <v>2.3026</v>
      </c>
      <c r="H307" t="n">
        <v>8065</v>
      </c>
      <c r="I307" t="n">
        <v>8.9953</v>
      </c>
      <c r="J307" t="n">
        <v>10.74</v>
      </c>
      <c r="K307" t="n">
        <v>0</v>
      </c>
      <c r="L307" t="n">
        <v>0</v>
      </c>
      <c r="M307" t="n">
        <v>91.6996</v>
      </c>
      <c r="N307" t="n">
        <v>55</v>
      </c>
      <c r="O307" t="n">
        <v>8734196</v>
      </c>
    </row>
    <row r="308">
      <c r="B308" t="inlineStr">
        <is>
          <t>PE</t>
        </is>
      </c>
      <c r="C308" t="n">
        <v>2009</v>
      </c>
      <c r="D308" t="n">
        <v>35.25</v>
      </c>
      <c r="E308" t="n">
        <v>0.25</v>
      </c>
      <c r="F308" t="n">
        <v>8.0411</v>
      </c>
      <c r="G308" t="n">
        <v>3.091</v>
      </c>
      <c r="H308" t="n">
        <v>8902</v>
      </c>
      <c r="I308" t="n">
        <v>9.093999999999999</v>
      </c>
      <c r="J308" t="n">
        <v>13.09</v>
      </c>
      <c r="K308" t="n">
        <v>0</v>
      </c>
      <c r="L308" t="n">
        <v>0</v>
      </c>
      <c r="M308" t="n">
        <v>91.6996</v>
      </c>
      <c r="N308" t="n">
        <v>77</v>
      </c>
      <c r="O308" t="n">
        <v>8810256</v>
      </c>
    </row>
    <row r="309">
      <c r="B309" t="inlineStr">
        <is>
          <t>PE</t>
        </is>
      </c>
      <c r="C309" t="n">
        <v>2010</v>
      </c>
      <c r="D309" t="n">
        <v>29.9</v>
      </c>
      <c r="E309" t="n">
        <v>0.45</v>
      </c>
      <c r="F309" t="n">
        <v>7.8747</v>
      </c>
      <c r="G309" t="n">
        <v>3.6889</v>
      </c>
      <c r="H309" t="n">
        <v>11049</v>
      </c>
      <c r="I309" t="n">
        <v>9.3101</v>
      </c>
      <c r="J309" t="n">
        <v>11.31</v>
      </c>
      <c r="K309" t="n">
        <v>0</v>
      </c>
      <c r="L309" t="n">
        <v>0</v>
      </c>
      <c r="M309" t="n">
        <v>91.6996</v>
      </c>
      <c r="N309" t="n">
        <v>117</v>
      </c>
      <c r="O309" t="n">
        <v>8796448</v>
      </c>
    </row>
    <row r="310">
      <c r="B310" t="inlineStr">
        <is>
          <t>PE</t>
        </is>
      </c>
      <c r="C310" t="n">
        <v>2011</v>
      </c>
      <c r="D310" t="n">
        <v>28.57</v>
      </c>
      <c r="E310" t="n">
        <v>1.16</v>
      </c>
      <c r="F310" t="n">
        <v>7.8372</v>
      </c>
      <c r="G310" t="n">
        <v>4.6347</v>
      </c>
      <c r="H310" t="n">
        <v>12427</v>
      </c>
      <c r="I310" t="n">
        <v>9.4276</v>
      </c>
      <c r="J310" t="n">
        <v>9.539999999999999</v>
      </c>
      <c r="K310" t="n">
        <v>0</v>
      </c>
      <c r="L310" t="n">
        <v>0</v>
      </c>
      <c r="M310" t="n">
        <v>91.6996</v>
      </c>
      <c r="N310" t="n">
        <v>220</v>
      </c>
      <c r="O310" t="n">
        <v>8864906</v>
      </c>
    </row>
    <row r="311">
      <c r="B311" t="inlineStr">
        <is>
          <t>PE</t>
        </is>
      </c>
      <c r="C311" t="n">
        <v>2012</v>
      </c>
      <c r="D311" t="n">
        <v>27.62</v>
      </c>
      <c r="E311" t="n">
        <v>0.99</v>
      </c>
      <c r="F311" t="n">
        <v>7.8108</v>
      </c>
      <c r="G311" t="n">
        <v>4.4773</v>
      </c>
      <c r="H311" t="n">
        <v>14331</v>
      </c>
      <c r="I311" t="n">
        <v>9.5702</v>
      </c>
      <c r="J311" t="n">
        <v>10.29</v>
      </c>
      <c r="K311" t="n">
        <v>0</v>
      </c>
      <c r="L311" t="n">
        <v>0</v>
      </c>
      <c r="M311" t="n">
        <v>91.6996</v>
      </c>
      <c r="N311" t="n">
        <v>308</v>
      </c>
      <c r="O311" t="n">
        <v>8931028</v>
      </c>
    </row>
    <row r="312">
      <c r="B312" t="inlineStr">
        <is>
          <t>PE</t>
        </is>
      </c>
      <c r="C312" t="n">
        <v>2013</v>
      </c>
      <c r="D312" t="n">
        <v>24.99</v>
      </c>
      <c r="E312" t="n">
        <v>0.5</v>
      </c>
      <c r="F312" t="n">
        <v>7.7411</v>
      </c>
      <c r="G312" t="n">
        <v>3.8286</v>
      </c>
      <c r="H312" t="n">
        <v>15328</v>
      </c>
      <c r="I312" t="n">
        <v>9.6374</v>
      </c>
      <c r="J312" t="n">
        <v>9.09</v>
      </c>
      <c r="K312" t="n">
        <v>0</v>
      </c>
      <c r="L312" t="n">
        <v>0</v>
      </c>
      <c r="M312" t="n">
        <v>91.6996</v>
      </c>
      <c r="N312" t="n">
        <v>354</v>
      </c>
      <c r="O312" t="n">
        <v>9208550</v>
      </c>
    </row>
    <row r="313">
      <c r="B313" t="inlineStr">
        <is>
          <t>PE</t>
        </is>
      </c>
      <c r="C313" t="n">
        <v>2014</v>
      </c>
      <c r="D313" t="n">
        <v>27.41</v>
      </c>
      <c r="E313" t="n">
        <v>0.43</v>
      </c>
      <c r="F313" t="n">
        <v>7.8411</v>
      </c>
      <c r="G313" t="n">
        <v>3.6889</v>
      </c>
      <c r="H313" t="n">
        <v>16722</v>
      </c>
      <c r="I313" t="n">
        <v>9.724500000000001</v>
      </c>
      <c r="J313" t="n">
        <v>9.470000000000001</v>
      </c>
      <c r="K313" t="n">
        <v>0</v>
      </c>
      <c r="L313" t="n">
        <v>0</v>
      </c>
      <c r="M313" t="n">
        <v>91.6996</v>
      </c>
      <c r="N313" t="n">
        <v>394</v>
      </c>
      <c r="O313" t="n">
        <v>9277727</v>
      </c>
    </row>
    <row r="314">
      <c r="B314" t="inlineStr">
        <is>
          <t>PE</t>
        </is>
      </c>
      <c r="C314" t="n">
        <v>2015</v>
      </c>
      <c r="D314" t="n">
        <v>32.88</v>
      </c>
      <c r="E314" t="n">
        <v>0.11</v>
      </c>
      <c r="F314" t="n">
        <v>8.0304</v>
      </c>
      <c r="G314" t="n">
        <v>2.3026</v>
      </c>
      <c r="H314" t="n">
        <v>16796</v>
      </c>
      <c r="I314" t="n">
        <v>9.728899999999999</v>
      </c>
      <c r="J314" t="n">
        <v>9.9</v>
      </c>
      <c r="K314" t="n">
        <v>0</v>
      </c>
      <c r="L314" t="n">
        <v>0</v>
      </c>
      <c r="M314" t="n">
        <v>91.6996</v>
      </c>
      <c r="N314" t="n">
        <v>404</v>
      </c>
      <c r="O314" t="n">
        <v>9345173</v>
      </c>
    </row>
    <row r="315">
      <c r="B315" t="inlineStr">
        <is>
          <t>PE</t>
        </is>
      </c>
      <c r="C315" t="n">
        <v>2016</v>
      </c>
      <c r="D315" t="n">
        <v>37.09</v>
      </c>
      <c r="E315" t="n">
        <v>1.33</v>
      </c>
      <c r="F315" t="n">
        <v>8.1577</v>
      </c>
      <c r="G315" t="n">
        <v>4.8283</v>
      </c>
      <c r="H315" t="n">
        <v>17783</v>
      </c>
      <c r="I315" t="n">
        <v>9.786</v>
      </c>
      <c r="J315" t="n">
        <v>14.8</v>
      </c>
      <c r="K315" t="n">
        <v>0</v>
      </c>
      <c r="L315" t="n">
        <v>0</v>
      </c>
      <c r="M315" t="n">
        <v>91.6996</v>
      </c>
      <c r="N315" t="n">
        <v>529</v>
      </c>
      <c r="O315" t="n">
        <v>9410336</v>
      </c>
    </row>
    <row r="316">
      <c r="B316" t="inlineStr">
        <is>
          <t>PE</t>
        </is>
      </c>
      <c r="C316" t="n">
        <v>2017</v>
      </c>
      <c r="D316" t="n">
        <v>47.45</v>
      </c>
      <c r="E316" t="n">
        <v>3.02</v>
      </c>
      <c r="F316" t="n">
        <v>8.4107</v>
      </c>
      <c r="G316" t="n">
        <v>5.656</v>
      </c>
      <c r="H316" t="n">
        <v>19171</v>
      </c>
      <c r="I316" t="n">
        <v>9.8612</v>
      </c>
      <c r="J316" t="n">
        <v>17.9</v>
      </c>
      <c r="K316" t="n">
        <v>0</v>
      </c>
      <c r="L316" t="n">
        <v>0</v>
      </c>
      <c r="M316" t="n">
        <v>91.6996</v>
      </c>
      <c r="N316" t="n">
        <v>815</v>
      </c>
      <c r="O316" t="n">
        <v>9473266</v>
      </c>
    </row>
    <row r="317">
      <c r="B317" t="inlineStr">
        <is>
          <t>PE</t>
        </is>
      </c>
      <c r="C317" t="n">
        <v>2018</v>
      </c>
      <c r="D317" t="n">
        <v>35.57</v>
      </c>
      <c r="E317" t="n">
        <v>4.04</v>
      </c>
      <c r="F317" t="n">
        <v>8.125</v>
      </c>
      <c r="G317" t="n">
        <v>5.9506</v>
      </c>
      <c r="H317" t="n">
        <v>19624</v>
      </c>
      <c r="I317" t="n">
        <v>9.884499999999999</v>
      </c>
      <c r="J317" t="n">
        <v>16.9</v>
      </c>
      <c r="K317" t="n">
        <v>0</v>
      </c>
      <c r="L317" t="n">
        <v>0</v>
      </c>
      <c r="M317" t="n">
        <v>91.6996</v>
      </c>
      <c r="N317" t="n">
        <v>1199</v>
      </c>
      <c r="O317" t="n">
        <v>9496294</v>
      </c>
    </row>
    <row r="318">
      <c r="B318" t="inlineStr">
        <is>
          <t>PE</t>
        </is>
      </c>
      <c r="C318" t="n">
        <v>2019</v>
      </c>
      <c r="D318" t="n">
        <v>28.24</v>
      </c>
      <c r="E318" t="n">
        <v>20.59</v>
      </c>
      <c r="F318" t="n">
        <v>7.9006</v>
      </c>
      <c r="G318" t="n">
        <v>7.5848</v>
      </c>
      <c r="H318" t="n">
        <v>20702</v>
      </c>
      <c r="I318" t="n">
        <v>9.938000000000001</v>
      </c>
      <c r="J318" t="n">
        <v>15.7</v>
      </c>
      <c r="K318" t="n">
        <v>0</v>
      </c>
      <c r="L318" t="n">
        <v>0</v>
      </c>
      <c r="M318" t="n">
        <v>91.6996</v>
      </c>
      <c r="N318" t="n">
        <v>3167</v>
      </c>
      <c r="O318" t="n">
        <v>9557071</v>
      </c>
    </row>
    <row r="319">
      <c r="B319" t="inlineStr">
        <is>
          <t>PE</t>
        </is>
      </c>
      <c r="C319" t="n">
        <v>2020</v>
      </c>
      <c r="D319" t="n">
        <v>31.85</v>
      </c>
      <c r="E319" t="n">
        <v>39.15</v>
      </c>
      <c r="F319" t="n">
        <v>8.027200000000001</v>
      </c>
      <c r="G319" t="n">
        <v>8.233499999999999</v>
      </c>
      <c r="H319" t="n">
        <v>20101</v>
      </c>
      <c r="I319" t="n">
        <v>9.9085</v>
      </c>
      <c r="J319" t="n">
        <v>17.2</v>
      </c>
      <c r="K319" t="n">
        <v>0</v>
      </c>
      <c r="L319" t="n">
        <v>1</v>
      </c>
      <c r="M319" t="n">
        <v>91.6996</v>
      </c>
      <c r="N319" t="n">
        <v>6932</v>
      </c>
      <c r="O319" t="n">
        <v>9616621</v>
      </c>
    </row>
    <row r="320">
      <c r="B320" t="inlineStr">
        <is>
          <t>PE</t>
        </is>
      </c>
      <c r="C320" t="n">
        <v>2021</v>
      </c>
      <c r="D320" t="n">
        <v>28.87</v>
      </c>
      <c r="E320" t="n">
        <v>65.48</v>
      </c>
      <c r="F320" t="n">
        <v>7.9349</v>
      </c>
      <c r="G320" t="n">
        <v>8.7538</v>
      </c>
      <c r="H320" t="n">
        <v>22824</v>
      </c>
      <c r="I320" t="n">
        <v>10.0356</v>
      </c>
      <c r="J320" t="n">
        <v>19.9</v>
      </c>
      <c r="K320" t="n">
        <v>0</v>
      </c>
      <c r="L320" t="n">
        <v>1</v>
      </c>
      <c r="M320" t="n">
        <v>91.6996</v>
      </c>
      <c r="N320" t="n">
        <v>13267</v>
      </c>
      <c r="O320" t="n">
        <v>9674793</v>
      </c>
    </row>
    <row r="321">
      <c r="B321" t="inlineStr">
        <is>
          <t>PE</t>
        </is>
      </c>
      <c r="C321" t="n">
        <v>2022</v>
      </c>
      <c r="D321" t="n">
        <v>30.53</v>
      </c>
      <c r="E321" t="n">
        <v>91.7</v>
      </c>
      <c r="F321" t="n">
        <v>7.9252</v>
      </c>
      <c r="G321" t="n">
        <v>9.024900000000001</v>
      </c>
      <c r="H321" t="n">
        <v>27137</v>
      </c>
      <c r="I321" t="n">
        <v>10.2087</v>
      </c>
      <c r="J321" t="n">
        <v>14.2</v>
      </c>
      <c r="K321" t="n">
        <v>0</v>
      </c>
      <c r="L321" t="n">
        <v>0</v>
      </c>
      <c r="M321" t="n">
        <v>91.6996</v>
      </c>
      <c r="N321" t="n">
        <v>21574</v>
      </c>
      <c r="O321" t="n">
        <v>9058931</v>
      </c>
    </row>
    <row r="322">
      <c r="B322" t="inlineStr">
        <is>
          <t>PE</t>
        </is>
      </c>
      <c r="C322" t="n">
        <v>2023</v>
      </c>
      <c r="D322" t="n">
        <v>33.08</v>
      </c>
      <c r="E322" t="n">
        <v>0.11</v>
      </c>
      <c r="F322" t="n">
        <v>8.0054</v>
      </c>
      <c r="G322" t="n">
        <v>2.3026</v>
      </c>
      <c r="H322" t="n">
        <v>29857</v>
      </c>
      <c r="I322" t="n">
        <v>10.3042</v>
      </c>
      <c r="J322" t="n">
        <v>13.4</v>
      </c>
      <c r="K322" t="n">
        <v>1</v>
      </c>
      <c r="L322" t="n">
        <v>0</v>
      </c>
      <c r="M322" t="n">
        <v>91.6996</v>
      </c>
      <c r="N322" t="n">
        <v>21584</v>
      </c>
      <c r="O322" t="n">
        <v>9058931</v>
      </c>
    </row>
    <row r="323">
      <c r="B323" t="inlineStr">
        <is>
          <t>PE</t>
        </is>
      </c>
      <c r="C323" t="n">
        <v>2024</v>
      </c>
      <c r="D323" t="n">
        <v>29.09</v>
      </c>
      <c r="E323" t="n">
        <v>10.01</v>
      </c>
      <c r="F323" t="n">
        <v>7.9284</v>
      </c>
      <c r="G323" t="n">
        <v>6.8617</v>
      </c>
      <c r="H323" t="n">
        <v>30956</v>
      </c>
      <c r="I323" t="n">
        <v>10.3403</v>
      </c>
      <c r="J323" t="n">
        <v>11.1</v>
      </c>
      <c r="K323" t="n">
        <v>1</v>
      </c>
      <c r="L323" t="n">
        <v>0</v>
      </c>
      <c r="M323" t="n">
        <v>91.6996</v>
      </c>
      <c r="N323" t="n">
        <v>22539</v>
      </c>
      <c r="O323" t="n">
        <v>9539029</v>
      </c>
    </row>
    <row r="324">
      <c r="B324" t="inlineStr">
        <is>
          <t>PI</t>
        </is>
      </c>
      <c r="C324" t="n">
        <v>2005</v>
      </c>
      <c r="D324" t="n">
        <v>5.19</v>
      </c>
      <c r="E324" t="n">
        <v>0</v>
      </c>
      <c r="F324" t="n">
        <v>5.0499</v>
      </c>
      <c r="H324" t="n">
        <v>3701</v>
      </c>
      <c r="I324" t="n">
        <v>8.2164</v>
      </c>
      <c r="J324" t="n">
        <v>6.83</v>
      </c>
      <c r="K324" t="n">
        <v>0</v>
      </c>
      <c r="L324" t="n">
        <v>0</v>
      </c>
      <c r="M324" t="n">
        <v>43.5926</v>
      </c>
      <c r="N324" t="n">
        <v>0</v>
      </c>
      <c r="O324" t="n">
        <v>3006885</v>
      </c>
    </row>
    <row r="325">
      <c r="B325" t="inlineStr">
        <is>
          <t>PI</t>
        </is>
      </c>
      <c r="C325" t="n">
        <v>2006</v>
      </c>
      <c r="D325" t="n">
        <v>6.62</v>
      </c>
      <c r="E325" t="n">
        <v>0.07000000000000001</v>
      </c>
      <c r="F325" t="n">
        <v>5.3033</v>
      </c>
      <c r="G325" t="n">
        <v>0.6931</v>
      </c>
      <c r="H325" t="n">
        <v>4212</v>
      </c>
      <c r="I325" t="n">
        <v>8.345700000000001</v>
      </c>
      <c r="J325" t="n">
        <v>5.25</v>
      </c>
      <c r="K325" t="n">
        <v>0</v>
      </c>
      <c r="L325" t="n">
        <v>0</v>
      </c>
      <c r="M325" t="n">
        <v>43.5926</v>
      </c>
      <c r="N325" t="n">
        <v>2</v>
      </c>
      <c r="O325" t="n">
        <v>3036290</v>
      </c>
    </row>
    <row r="326">
      <c r="B326" t="inlineStr">
        <is>
          <t>PI</t>
        </is>
      </c>
      <c r="C326" t="n">
        <v>2007</v>
      </c>
      <c r="D326" t="n">
        <v>6.46</v>
      </c>
      <c r="E326" t="n">
        <v>0.1</v>
      </c>
      <c r="F326" t="n">
        <v>5.2781</v>
      </c>
      <c r="G326" t="n">
        <v>1.0986</v>
      </c>
      <c r="H326" t="n">
        <v>4662</v>
      </c>
      <c r="I326" t="n">
        <v>8.4472</v>
      </c>
      <c r="J326" t="n">
        <v>4.61</v>
      </c>
      <c r="K326" t="n">
        <v>0</v>
      </c>
      <c r="L326" t="n">
        <v>0</v>
      </c>
      <c r="M326" t="n">
        <v>43.5926</v>
      </c>
      <c r="N326" t="n">
        <v>5</v>
      </c>
      <c r="O326" t="n">
        <v>3032435</v>
      </c>
    </row>
    <row r="327">
      <c r="B327" t="inlineStr">
        <is>
          <t>PI</t>
        </is>
      </c>
      <c r="C327" t="n">
        <v>2008</v>
      </c>
      <c r="D327" t="n">
        <v>5.43</v>
      </c>
      <c r="E327" t="n">
        <v>0</v>
      </c>
      <c r="F327" t="n">
        <v>5.1299</v>
      </c>
      <c r="H327" t="n">
        <v>5386</v>
      </c>
      <c r="I327" t="n">
        <v>8.5916</v>
      </c>
      <c r="J327" t="n">
        <v>5.01</v>
      </c>
      <c r="K327" t="n">
        <v>0</v>
      </c>
      <c r="L327" t="n">
        <v>0</v>
      </c>
      <c r="M327" t="n">
        <v>43.5926</v>
      </c>
      <c r="N327" t="n">
        <v>5</v>
      </c>
      <c r="O327" t="n">
        <v>3111881</v>
      </c>
    </row>
    <row r="328">
      <c r="B328" t="inlineStr">
        <is>
          <t>PI</t>
        </is>
      </c>
      <c r="C328" t="n">
        <v>2009</v>
      </c>
      <c r="D328" t="n">
        <v>6.1</v>
      </c>
      <c r="E328" t="n">
        <v>0.06</v>
      </c>
      <c r="F328" t="n">
        <v>5.2575</v>
      </c>
      <c r="G328" t="n">
        <v>0.6931</v>
      </c>
      <c r="H328" t="n">
        <v>6051</v>
      </c>
      <c r="I328" t="n">
        <v>8.708</v>
      </c>
      <c r="J328" t="n">
        <v>5.21</v>
      </c>
      <c r="K328" t="n">
        <v>0</v>
      </c>
      <c r="L328" t="n">
        <v>0</v>
      </c>
      <c r="M328" t="n">
        <v>43.5926</v>
      </c>
      <c r="N328" t="n">
        <v>7</v>
      </c>
      <c r="O328" t="n">
        <v>3145325</v>
      </c>
    </row>
    <row r="329">
      <c r="B329" t="inlineStr">
        <is>
          <t>PI</t>
        </is>
      </c>
      <c r="C329" t="n">
        <v>2010</v>
      </c>
      <c r="D329" t="n">
        <v>7.05</v>
      </c>
      <c r="E329" t="n">
        <v>0.13</v>
      </c>
      <c r="F329" t="n">
        <v>5.3936</v>
      </c>
      <c r="G329" t="n">
        <v>1.3863</v>
      </c>
      <c r="H329" t="n">
        <v>7141</v>
      </c>
      <c r="I329" t="n">
        <v>8.8736</v>
      </c>
      <c r="J329" t="n">
        <v>6.12</v>
      </c>
      <c r="K329" t="n">
        <v>0</v>
      </c>
      <c r="L329" t="n">
        <v>0</v>
      </c>
      <c r="M329" t="n">
        <v>43.5926</v>
      </c>
      <c r="N329" t="n">
        <v>11</v>
      </c>
      <c r="O329" t="n">
        <v>3118360</v>
      </c>
    </row>
    <row r="330">
      <c r="B330" t="inlineStr">
        <is>
          <t>PI</t>
        </is>
      </c>
      <c r="C330" t="n">
        <v>2011</v>
      </c>
      <c r="D330" t="n">
        <v>8.41</v>
      </c>
      <c r="E330" t="n">
        <v>0.22</v>
      </c>
      <c r="F330" t="n">
        <v>5.5759</v>
      </c>
      <c r="G330" t="n">
        <v>1.9459</v>
      </c>
      <c r="H330" t="n">
        <v>8261</v>
      </c>
      <c r="I330" t="n">
        <v>9.019299999999999</v>
      </c>
      <c r="J330" t="n">
        <v>7.04</v>
      </c>
      <c r="K330" t="n">
        <v>0</v>
      </c>
      <c r="L330" t="n">
        <v>0</v>
      </c>
      <c r="M330" t="n">
        <v>43.5926</v>
      </c>
      <c r="N330" t="n">
        <v>18</v>
      </c>
      <c r="O330" t="n">
        <v>3140328</v>
      </c>
    </row>
    <row r="331">
      <c r="B331" t="inlineStr">
        <is>
          <t>PI</t>
        </is>
      </c>
      <c r="C331" t="n">
        <v>2012</v>
      </c>
      <c r="D331" t="n">
        <v>10.16</v>
      </c>
      <c r="E331" t="n">
        <v>0.19</v>
      </c>
      <c r="F331" t="n">
        <v>5.7714</v>
      </c>
      <c r="G331" t="n">
        <v>1.7918</v>
      </c>
      <c r="H331" t="n">
        <v>9060</v>
      </c>
      <c r="I331" t="n">
        <v>9.111599999999999</v>
      </c>
      <c r="J331" t="n">
        <v>5.62</v>
      </c>
      <c r="K331" t="n">
        <v>0</v>
      </c>
      <c r="L331" t="n">
        <v>0</v>
      </c>
      <c r="M331" t="n">
        <v>43.5926</v>
      </c>
      <c r="N331" t="n">
        <v>24</v>
      </c>
      <c r="O331" t="n">
        <v>3160748</v>
      </c>
    </row>
    <row r="332">
      <c r="B332" t="inlineStr">
        <is>
          <t>PI</t>
        </is>
      </c>
      <c r="C332" t="n">
        <v>2013</v>
      </c>
      <c r="D332" t="n">
        <v>11.71</v>
      </c>
      <c r="E332" t="n">
        <v>0.22</v>
      </c>
      <c r="F332" t="n">
        <v>5.9216</v>
      </c>
      <c r="G332" t="n">
        <v>1.9459</v>
      </c>
      <c r="H332" t="n">
        <v>9825</v>
      </c>
      <c r="I332" t="n">
        <v>9.1927</v>
      </c>
      <c r="J332" t="n">
        <v>6.99</v>
      </c>
      <c r="K332" t="n">
        <v>0</v>
      </c>
      <c r="L332" t="n">
        <v>0</v>
      </c>
      <c r="M332" t="n">
        <v>43.5926</v>
      </c>
      <c r="N332" t="n">
        <v>31</v>
      </c>
      <c r="O332" t="n">
        <v>3184166</v>
      </c>
    </row>
    <row r="333">
      <c r="B333" t="inlineStr">
        <is>
          <t>PI</t>
        </is>
      </c>
      <c r="C333" t="n">
        <v>2014</v>
      </c>
      <c r="D333" t="n">
        <v>14.27</v>
      </c>
      <c r="E333" t="n">
        <v>0.22</v>
      </c>
      <c r="F333" t="n">
        <v>6.1225</v>
      </c>
      <c r="G333" t="n">
        <v>1.9459</v>
      </c>
      <c r="H333" t="n">
        <v>11808</v>
      </c>
      <c r="I333" t="n">
        <v>9.3765</v>
      </c>
      <c r="J333" t="n">
        <v>6.01</v>
      </c>
      <c r="K333" t="n">
        <v>0</v>
      </c>
      <c r="L333" t="n">
        <v>0</v>
      </c>
      <c r="M333" t="n">
        <v>43.5926</v>
      </c>
      <c r="N333" t="n">
        <v>38</v>
      </c>
      <c r="O333" t="n">
        <v>3194718</v>
      </c>
    </row>
    <row r="334">
      <c r="B334" t="inlineStr">
        <is>
          <t>PI</t>
        </is>
      </c>
      <c r="C334" t="n">
        <v>2015</v>
      </c>
      <c r="D334" t="n">
        <v>12.67</v>
      </c>
      <c r="E334" t="n">
        <v>0.25</v>
      </c>
      <c r="F334" t="n">
        <v>6.0064</v>
      </c>
      <c r="G334" t="n">
        <v>2.0794</v>
      </c>
      <c r="H334" t="n">
        <v>12219</v>
      </c>
      <c r="I334" t="n">
        <v>9.4107</v>
      </c>
      <c r="J334" t="n">
        <v>7.7</v>
      </c>
      <c r="K334" t="n">
        <v>0</v>
      </c>
      <c r="L334" t="n">
        <v>0</v>
      </c>
      <c r="M334" t="n">
        <v>43.5926</v>
      </c>
      <c r="N334" t="n">
        <v>46</v>
      </c>
      <c r="O334" t="n">
        <v>3204028</v>
      </c>
    </row>
    <row r="335">
      <c r="B335" t="inlineStr">
        <is>
          <t>PI</t>
        </is>
      </c>
      <c r="C335" t="n">
        <v>2016</v>
      </c>
      <c r="D335" t="n">
        <v>13.95</v>
      </c>
      <c r="E335" t="n">
        <v>1.15</v>
      </c>
      <c r="F335" t="n">
        <v>6.1048</v>
      </c>
      <c r="G335" t="n">
        <v>3.6109</v>
      </c>
      <c r="H335" t="n">
        <v>12894</v>
      </c>
      <c r="I335" t="n">
        <v>9.464499999999999</v>
      </c>
      <c r="J335" t="n">
        <v>9.6</v>
      </c>
      <c r="K335" t="n">
        <v>0</v>
      </c>
      <c r="L335" t="n">
        <v>0</v>
      </c>
      <c r="M335" t="n">
        <v>43.5926</v>
      </c>
      <c r="N335" t="n">
        <v>83</v>
      </c>
      <c r="O335" t="n">
        <v>3212180</v>
      </c>
    </row>
    <row r="336">
      <c r="B336" t="inlineStr">
        <is>
          <t>PI</t>
        </is>
      </c>
      <c r="C336" t="n">
        <v>2017</v>
      </c>
      <c r="D336" t="n">
        <v>11.96</v>
      </c>
      <c r="E336" t="n">
        <v>3.48</v>
      </c>
      <c r="F336" t="n">
        <v>5.9532</v>
      </c>
      <c r="G336" t="n">
        <v>4.7185</v>
      </c>
      <c r="H336" t="n">
        <v>14092</v>
      </c>
      <c r="I336" t="n">
        <v>9.5534</v>
      </c>
      <c r="J336" t="n">
        <v>13</v>
      </c>
      <c r="K336" t="n">
        <v>0</v>
      </c>
      <c r="L336" t="n">
        <v>0</v>
      </c>
      <c r="M336" t="n">
        <v>43.5926</v>
      </c>
      <c r="N336" t="n">
        <v>195</v>
      </c>
      <c r="O336" t="n">
        <v>3219257</v>
      </c>
    </row>
    <row r="337">
      <c r="B337" t="inlineStr">
        <is>
          <t>PI</t>
        </is>
      </c>
      <c r="C337" t="n">
        <v>2018</v>
      </c>
      <c r="D337" t="n">
        <v>11.79</v>
      </c>
      <c r="E337" t="n">
        <v>3.95</v>
      </c>
      <c r="F337" t="n">
        <v>5.9532</v>
      </c>
      <c r="G337" t="n">
        <v>4.8598</v>
      </c>
      <c r="H337" t="n">
        <v>15432</v>
      </c>
      <c r="I337" t="n">
        <v>9.6442</v>
      </c>
      <c r="J337" t="n">
        <v>12.9</v>
      </c>
      <c r="K337" t="n">
        <v>0</v>
      </c>
      <c r="L337" t="n">
        <v>0</v>
      </c>
      <c r="M337" t="n">
        <v>43.5926</v>
      </c>
      <c r="N337" t="n">
        <v>324</v>
      </c>
      <c r="O337" t="n">
        <v>3264531</v>
      </c>
    </row>
    <row r="338">
      <c r="B338" t="inlineStr">
        <is>
          <t>PI</t>
        </is>
      </c>
      <c r="C338" t="n">
        <v>2019</v>
      </c>
      <c r="D338" t="n">
        <v>10.75</v>
      </c>
      <c r="E338" t="n">
        <v>8.800000000000001</v>
      </c>
      <c r="F338" t="n">
        <v>5.8636</v>
      </c>
      <c r="G338" t="n">
        <v>5.663</v>
      </c>
      <c r="H338" t="n">
        <v>16125</v>
      </c>
      <c r="I338" t="n">
        <v>9.6881</v>
      </c>
      <c r="J338" t="n">
        <v>13</v>
      </c>
      <c r="K338" t="n">
        <v>0</v>
      </c>
      <c r="L338" t="n">
        <v>0</v>
      </c>
      <c r="M338" t="n">
        <v>43.5926</v>
      </c>
      <c r="N338" t="n">
        <v>612</v>
      </c>
      <c r="O338" t="n">
        <v>3273227</v>
      </c>
    </row>
    <row r="339">
      <c r="B339" t="inlineStr">
        <is>
          <t>PI</t>
        </is>
      </c>
      <c r="C339" t="n">
        <v>2020</v>
      </c>
      <c r="D339" t="n">
        <v>13.9</v>
      </c>
      <c r="E339" t="n">
        <v>14.08</v>
      </c>
      <c r="F339" t="n">
        <v>6.1225</v>
      </c>
      <c r="G339" t="n">
        <v>6.1356</v>
      </c>
      <c r="H339" t="n">
        <v>17185</v>
      </c>
      <c r="I339" t="n">
        <v>9.751799999999999</v>
      </c>
      <c r="J339" t="n">
        <v>13.3</v>
      </c>
      <c r="K339" t="n">
        <v>0</v>
      </c>
      <c r="L339" t="n">
        <v>1</v>
      </c>
      <c r="M339" t="n">
        <v>43.5926</v>
      </c>
      <c r="N339" t="n">
        <v>1074</v>
      </c>
      <c r="O339" t="n">
        <v>3281480</v>
      </c>
    </row>
    <row r="340">
      <c r="B340" t="inlineStr">
        <is>
          <t>PI</t>
        </is>
      </c>
      <c r="C340" t="n">
        <v>2021</v>
      </c>
      <c r="D340" t="n">
        <v>17.21</v>
      </c>
      <c r="E340" t="n">
        <v>36.76</v>
      </c>
      <c r="F340" t="n">
        <v>6.3386</v>
      </c>
      <c r="G340" t="n">
        <v>7.0975</v>
      </c>
      <c r="H340" t="n">
        <v>19466</v>
      </c>
      <c r="I340" t="n">
        <v>9.8764</v>
      </c>
      <c r="J340" t="n">
        <v>13.6</v>
      </c>
      <c r="K340" t="n">
        <v>0</v>
      </c>
      <c r="L340" t="n">
        <v>1</v>
      </c>
      <c r="M340" t="n">
        <v>43.5926</v>
      </c>
      <c r="N340" t="n">
        <v>2283</v>
      </c>
      <c r="O340" t="n">
        <v>3289290</v>
      </c>
    </row>
    <row r="341">
      <c r="B341" t="inlineStr">
        <is>
          <t>PI</t>
        </is>
      </c>
      <c r="C341" t="n">
        <v>2022</v>
      </c>
      <c r="D341" t="n">
        <v>18.56</v>
      </c>
      <c r="E341" t="n">
        <v>43.59</v>
      </c>
      <c r="F341" t="n">
        <v>6.4085</v>
      </c>
      <c r="G341" t="n">
        <v>7.2626</v>
      </c>
      <c r="H341" t="n">
        <v>22265</v>
      </c>
      <c r="I341" t="n">
        <v>10.0108</v>
      </c>
      <c r="J341" t="n">
        <v>10.2</v>
      </c>
      <c r="K341" t="n">
        <v>0</v>
      </c>
      <c r="L341" t="n">
        <v>0</v>
      </c>
      <c r="M341" t="n">
        <v>43.5926</v>
      </c>
      <c r="N341" t="n">
        <v>3709</v>
      </c>
      <c r="O341" t="n">
        <v>3271199</v>
      </c>
    </row>
    <row r="342">
      <c r="B342" t="inlineStr">
        <is>
          <t>PI</t>
        </is>
      </c>
      <c r="C342" t="n">
        <v>2023</v>
      </c>
      <c r="D342" t="n">
        <v>15.99</v>
      </c>
      <c r="E342" t="n">
        <v>0</v>
      </c>
      <c r="F342" t="n">
        <v>6.2596</v>
      </c>
      <c r="H342" t="n">
        <v>24736</v>
      </c>
      <c r="I342" t="n">
        <v>10.116</v>
      </c>
      <c r="J342" t="n">
        <v>10.3</v>
      </c>
      <c r="K342" t="n">
        <v>1</v>
      </c>
      <c r="L342" t="n">
        <v>0</v>
      </c>
      <c r="M342" t="n">
        <v>43.5926</v>
      </c>
      <c r="N342" t="n">
        <v>3709</v>
      </c>
      <c r="O342" t="n">
        <v>3271199</v>
      </c>
    </row>
    <row r="343">
      <c r="B343" t="inlineStr">
        <is>
          <t>PI</t>
        </is>
      </c>
      <c r="C343" t="n">
        <v>2024</v>
      </c>
      <c r="D343" t="n">
        <v>14.31</v>
      </c>
      <c r="E343" t="n">
        <v>8.06</v>
      </c>
      <c r="F343" t="n">
        <v>6.18</v>
      </c>
      <c r="G343" t="n">
        <v>5.6058</v>
      </c>
      <c r="H343" t="n">
        <v>26337</v>
      </c>
      <c r="I343" t="n">
        <v>10.1787</v>
      </c>
      <c r="J343" t="n">
        <v>8.5</v>
      </c>
      <c r="K343" t="n">
        <v>1</v>
      </c>
      <c r="L343" t="n">
        <v>0</v>
      </c>
      <c r="M343" t="n">
        <v>43.5926</v>
      </c>
      <c r="N343" t="n">
        <v>3981</v>
      </c>
      <c r="O343" t="n">
        <v>3375646</v>
      </c>
    </row>
    <row r="344">
      <c r="B344" t="inlineStr">
        <is>
          <t>PR</t>
        </is>
      </c>
      <c r="C344" t="n">
        <v>2005</v>
      </c>
      <c r="D344" t="n">
        <v>19.89</v>
      </c>
      <c r="E344" t="n">
        <v>0.79</v>
      </c>
      <c r="F344" t="n">
        <v>7.6212</v>
      </c>
      <c r="G344" t="n">
        <v>4.3944</v>
      </c>
      <c r="H344" t="n">
        <v>12344</v>
      </c>
      <c r="I344" t="n">
        <v>9.4209</v>
      </c>
      <c r="J344" t="n">
        <v>7.5</v>
      </c>
      <c r="K344" t="n">
        <v>0</v>
      </c>
      <c r="L344" t="n">
        <v>0</v>
      </c>
      <c r="M344" t="n">
        <v>339.4679</v>
      </c>
      <c r="N344" t="n">
        <v>81</v>
      </c>
      <c r="O344" t="n">
        <v>10261856</v>
      </c>
    </row>
    <row r="345">
      <c r="B345" t="inlineStr">
        <is>
          <t>PR</t>
        </is>
      </c>
      <c r="C345" t="n">
        <v>2006</v>
      </c>
      <c r="D345" t="n">
        <v>21.51</v>
      </c>
      <c r="E345" t="n">
        <v>0.71</v>
      </c>
      <c r="F345" t="n">
        <v>7.7115</v>
      </c>
      <c r="G345" t="n">
        <v>4.3041</v>
      </c>
      <c r="H345" t="n">
        <v>13152</v>
      </c>
      <c r="I345" t="n">
        <v>9.484299999999999</v>
      </c>
      <c r="J345" t="n">
        <v>7.36</v>
      </c>
      <c r="K345" t="n">
        <v>0</v>
      </c>
      <c r="L345" t="n">
        <v>0</v>
      </c>
      <c r="M345" t="n">
        <v>339.4679</v>
      </c>
      <c r="N345" t="n">
        <v>155</v>
      </c>
      <c r="O345" t="n">
        <v>10387378</v>
      </c>
    </row>
    <row r="346">
      <c r="B346" t="inlineStr">
        <is>
          <t>PR</t>
        </is>
      </c>
      <c r="C346" t="n">
        <v>2007</v>
      </c>
      <c r="D346" t="n">
        <v>22.33</v>
      </c>
      <c r="E346" t="n">
        <v>0.6</v>
      </c>
      <c r="F346" t="n">
        <v>7.7394</v>
      </c>
      <c r="G346" t="n">
        <v>4.1271</v>
      </c>
      <c r="H346" t="n">
        <v>15711</v>
      </c>
      <c r="I346" t="n">
        <v>9.662100000000001</v>
      </c>
      <c r="J346" t="n">
        <v>6.22</v>
      </c>
      <c r="K346" t="n">
        <v>0</v>
      </c>
      <c r="L346" t="n">
        <v>0</v>
      </c>
      <c r="M346" t="n">
        <v>339.4679</v>
      </c>
      <c r="N346" t="n">
        <v>217</v>
      </c>
      <c r="O346" t="n">
        <v>10284503</v>
      </c>
    </row>
    <row r="347">
      <c r="B347" t="inlineStr">
        <is>
          <t>PR</t>
        </is>
      </c>
      <c r="C347" t="n">
        <v>2008</v>
      </c>
      <c r="D347" t="n">
        <v>24.18</v>
      </c>
      <c r="E347" t="n">
        <v>1.65</v>
      </c>
      <c r="F347" t="n">
        <v>7.8482</v>
      </c>
      <c r="G347" t="n">
        <v>5.1648</v>
      </c>
      <c r="H347" t="n">
        <v>16927</v>
      </c>
      <c r="I347" t="n">
        <v>9.736700000000001</v>
      </c>
      <c r="J347" t="n">
        <v>5</v>
      </c>
      <c r="K347" t="n">
        <v>0</v>
      </c>
      <c r="L347" t="n">
        <v>0</v>
      </c>
      <c r="M347" t="n">
        <v>339.4679</v>
      </c>
      <c r="N347" t="n">
        <v>392</v>
      </c>
      <c r="O347" t="n">
        <v>10590171</v>
      </c>
    </row>
    <row r="348">
      <c r="B348" t="inlineStr">
        <is>
          <t>PR</t>
        </is>
      </c>
      <c r="C348" t="n">
        <v>2009</v>
      </c>
      <c r="D348" t="n">
        <v>25.14</v>
      </c>
      <c r="E348" t="n">
        <v>1.8</v>
      </c>
      <c r="F348" t="n">
        <v>7.8958</v>
      </c>
      <c r="G348" t="n">
        <v>5.2575</v>
      </c>
      <c r="H348" t="n">
        <v>17779</v>
      </c>
      <c r="I348" t="n">
        <v>9.7858</v>
      </c>
      <c r="J348" t="n">
        <v>6.8</v>
      </c>
      <c r="K348" t="n">
        <v>0</v>
      </c>
      <c r="L348" t="n">
        <v>0</v>
      </c>
      <c r="M348" t="n">
        <v>339.4679</v>
      </c>
      <c r="N348" t="n">
        <v>584</v>
      </c>
      <c r="O348" t="n">
        <v>10686247</v>
      </c>
    </row>
    <row r="349">
      <c r="B349" t="inlineStr">
        <is>
          <t>PR</t>
        </is>
      </c>
      <c r="C349" t="n">
        <v>2010</v>
      </c>
      <c r="D349" t="n">
        <v>25.35</v>
      </c>
      <c r="E349" t="n">
        <v>2.03</v>
      </c>
      <c r="F349" t="n">
        <v>7.8816</v>
      </c>
      <c r="G349" t="n">
        <v>5.3566</v>
      </c>
      <c r="H349" t="n">
        <v>21562</v>
      </c>
      <c r="I349" t="n">
        <v>9.9787</v>
      </c>
      <c r="J349" t="n">
        <v>5.89</v>
      </c>
      <c r="K349" t="n">
        <v>0</v>
      </c>
      <c r="L349" t="n">
        <v>0</v>
      </c>
      <c r="M349" t="n">
        <v>339.4679</v>
      </c>
      <c r="N349" t="n">
        <v>796</v>
      </c>
      <c r="O349" t="n">
        <v>10444526</v>
      </c>
    </row>
    <row r="350">
      <c r="B350" t="inlineStr">
        <is>
          <t>PR</t>
        </is>
      </c>
      <c r="C350" t="n">
        <v>2011</v>
      </c>
      <c r="D350" t="n">
        <v>22.64</v>
      </c>
      <c r="E350" t="n">
        <v>2.23</v>
      </c>
      <c r="F350" t="n">
        <v>7.7749</v>
      </c>
      <c r="G350" t="n">
        <v>5.4553</v>
      </c>
      <c r="H350" t="n">
        <v>24459</v>
      </c>
      <c r="I350" t="n">
        <v>10.1048</v>
      </c>
      <c r="J350" t="n">
        <v>4.99</v>
      </c>
      <c r="K350" t="n">
        <v>0</v>
      </c>
      <c r="L350" t="n">
        <v>0</v>
      </c>
      <c r="M350" t="n">
        <v>339.4679</v>
      </c>
      <c r="N350" t="n">
        <v>1030</v>
      </c>
      <c r="O350" t="n">
        <v>10512349</v>
      </c>
    </row>
    <row r="351">
      <c r="B351" t="inlineStr">
        <is>
          <t>PR</t>
        </is>
      </c>
      <c r="C351" t="n">
        <v>2012</v>
      </c>
      <c r="D351" t="n">
        <v>23.08</v>
      </c>
      <c r="E351" t="n">
        <v>1.48</v>
      </c>
      <c r="F351" t="n">
        <v>7.8002</v>
      </c>
      <c r="G351" t="n">
        <v>5.0562</v>
      </c>
      <c r="H351" t="n">
        <v>27002</v>
      </c>
      <c r="I351" t="n">
        <v>10.2037</v>
      </c>
      <c r="J351" t="n">
        <v>4.88</v>
      </c>
      <c r="K351" t="n">
        <v>0</v>
      </c>
      <c r="L351" t="n">
        <v>0</v>
      </c>
      <c r="M351" t="n">
        <v>339.4679</v>
      </c>
      <c r="N351" t="n">
        <v>1187</v>
      </c>
      <c r="O351" t="n">
        <v>10577755</v>
      </c>
    </row>
    <row r="352">
      <c r="B352" t="inlineStr">
        <is>
          <t>PR</t>
        </is>
      </c>
      <c r="C352" t="n">
        <v>2013</v>
      </c>
      <c r="D352" t="n">
        <v>18.57</v>
      </c>
      <c r="E352" t="n">
        <v>0.73</v>
      </c>
      <c r="F352" t="n">
        <v>7.6217</v>
      </c>
      <c r="G352" t="n">
        <v>4.382</v>
      </c>
      <c r="H352" t="n">
        <v>30323</v>
      </c>
      <c r="I352" t="n">
        <v>10.3197</v>
      </c>
      <c r="J352" t="n">
        <v>4.51</v>
      </c>
      <c r="K352" t="n">
        <v>0</v>
      </c>
      <c r="L352" t="n">
        <v>0</v>
      </c>
      <c r="M352" t="n">
        <v>339.4679</v>
      </c>
      <c r="N352" t="n">
        <v>1267</v>
      </c>
      <c r="O352" t="n">
        <v>10997465</v>
      </c>
    </row>
    <row r="353">
      <c r="B353" t="inlineStr">
        <is>
          <t>PR</t>
        </is>
      </c>
      <c r="C353" t="n">
        <v>2014</v>
      </c>
      <c r="D353" t="n">
        <v>18.8</v>
      </c>
      <c r="E353" t="n">
        <v>0.55</v>
      </c>
      <c r="F353" t="n">
        <v>7.6416</v>
      </c>
      <c r="G353" t="n">
        <v>4.1109</v>
      </c>
      <c r="H353" t="n">
        <v>31411</v>
      </c>
      <c r="I353" t="n">
        <v>10.3549</v>
      </c>
      <c r="J353" t="n">
        <v>4.62</v>
      </c>
      <c r="K353" t="n">
        <v>0</v>
      </c>
      <c r="L353" t="n">
        <v>0</v>
      </c>
      <c r="M353" t="n">
        <v>339.4679</v>
      </c>
      <c r="N353" t="n">
        <v>1328</v>
      </c>
      <c r="O353" t="n">
        <v>11081692</v>
      </c>
    </row>
    <row r="354">
      <c r="B354" t="inlineStr">
        <is>
          <t>PR</t>
        </is>
      </c>
      <c r="C354" t="n">
        <v>2015</v>
      </c>
      <c r="D354" t="n">
        <v>17.75</v>
      </c>
      <c r="E354" t="n">
        <v>1.11</v>
      </c>
      <c r="F354" t="n">
        <v>7.5914</v>
      </c>
      <c r="G354" t="n">
        <v>4.8203</v>
      </c>
      <c r="H354" t="n">
        <v>33769</v>
      </c>
      <c r="I354" t="n">
        <v>10.4273</v>
      </c>
      <c r="J354" t="n">
        <v>5.9</v>
      </c>
      <c r="K354" t="n">
        <v>0</v>
      </c>
      <c r="L354" t="n">
        <v>0</v>
      </c>
      <c r="M354" t="n">
        <v>339.4679</v>
      </c>
      <c r="N354" t="n">
        <v>1452</v>
      </c>
      <c r="O354" t="n">
        <v>11163018</v>
      </c>
    </row>
    <row r="355">
      <c r="B355" t="inlineStr">
        <is>
          <t>PR</t>
        </is>
      </c>
      <c r="C355" t="n">
        <v>2016</v>
      </c>
      <c r="D355" t="n">
        <v>18.95</v>
      </c>
      <c r="E355" t="n">
        <v>3.43</v>
      </c>
      <c r="F355" t="n">
        <v>7.6643</v>
      </c>
      <c r="G355" t="n">
        <v>5.9558</v>
      </c>
      <c r="H355" t="n">
        <v>35740</v>
      </c>
      <c r="I355" t="n">
        <v>10.484</v>
      </c>
      <c r="J355" t="n">
        <v>8.300000000000001</v>
      </c>
      <c r="K355" t="n">
        <v>0</v>
      </c>
      <c r="L355" t="n">
        <v>0</v>
      </c>
      <c r="M355" t="n">
        <v>339.4679</v>
      </c>
      <c r="N355" t="n">
        <v>1838</v>
      </c>
      <c r="O355" t="n">
        <v>11242720</v>
      </c>
    </row>
    <row r="356">
      <c r="B356" t="inlineStr">
        <is>
          <t>PR</t>
        </is>
      </c>
      <c r="C356" t="n">
        <v>2017</v>
      </c>
      <c r="D356" t="n">
        <v>16.23</v>
      </c>
      <c r="E356" t="n">
        <v>4.58</v>
      </c>
      <c r="F356" t="n">
        <v>7.5159</v>
      </c>
      <c r="G356" t="n">
        <v>6.25</v>
      </c>
      <c r="H356" t="n">
        <v>37232</v>
      </c>
      <c r="I356" t="n">
        <v>10.5249</v>
      </c>
      <c r="J356" t="n">
        <v>9</v>
      </c>
      <c r="K356" t="n">
        <v>0</v>
      </c>
      <c r="L356" t="n">
        <v>0</v>
      </c>
      <c r="M356" t="n">
        <v>339.4679</v>
      </c>
      <c r="N356" t="n">
        <v>2356</v>
      </c>
      <c r="O356" t="n">
        <v>11320892</v>
      </c>
    </row>
    <row r="357">
      <c r="B357" t="inlineStr">
        <is>
          <t>PR</t>
        </is>
      </c>
      <c r="C357" t="n">
        <v>2018</v>
      </c>
      <c r="D357" t="n">
        <v>13.45</v>
      </c>
      <c r="E357" t="n">
        <v>10.91</v>
      </c>
      <c r="F357" t="n">
        <v>7.3304</v>
      </c>
      <c r="G357" t="n">
        <v>7.1213</v>
      </c>
      <c r="H357" t="n">
        <v>38773</v>
      </c>
      <c r="I357" t="n">
        <v>10.5655</v>
      </c>
      <c r="J357" t="n">
        <v>8.800000000000001</v>
      </c>
      <c r="K357" t="n">
        <v>0</v>
      </c>
      <c r="L357" t="n">
        <v>0</v>
      </c>
      <c r="M357" t="n">
        <v>339.4679</v>
      </c>
      <c r="N357" t="n">
        <v>3594</v>
      </c>
      <c r="O357" t="n">
        <v>11348937</v>
      </c>
    </row>
    <row r="358">
      <c r="B358" t="inlineStr">
        <is>
          <t>PR</t>
        </is>
      </c>
      <c r="C358" t="n">
        <v>2019</v>
      </c>
      <c r="D358" t="n">
        <v>10.34</v>
      </c>
      <c r="E358" t="n">
        <v>64.2</v>
      </c>
      <c r="F358" t="n">
        <v>7.075</v>
      </c>
      <c r="G358" t="n">
        <v>8.901199999999999</v>
      </c>
      <c r="H358" t="n">
        <v>40789</v>
      </c>
      <c r="I358" t="n">
        <v>10.6162</v>
      </c>
      <c r="J358" t="n">
        <v>8.699999999999999</v>
      </c>
      <c r="K358" t="n">
        <v>0</v>
      </c>
      <c r="L358" t="n">
        <v>0</v>
      </c>
      <c r="M358" t="n">
        <v>339.4679</v>
      </c>
      <c r="N358" t="n">
        <v>10935</v>
      </c>
      <c r="O358" t="n">
        <v>11433957</v>
      </c>
    </row>
    <row r="359">
      <c r="B359" t="inlineStr">
        <is>
          <t>PR</t>
        </is>
      </c>
      <c r="C359" t="n">
        <v>2020</v>
      </c>
      <c r="D359" t="n">
        <v>12.22</v>
      </c>
      <c r="E359" t="n">
        <v>150.15</v>
      </c>
      <c r="F359" t="n">
        <v>7.2492</v>
      </c>
      <c r="G359" t="n">
        <v>9.757999999999999</v>
      </c>
      <c r="H359" t="n">
        <v>42367</v>
      </c>
      <c r="I359" t="n">
        <v>10.6541</v>
      </c>
      <c r="J359" t="n">
        <v>9.6</v>
      </c>
      <c r="K359" t="n">
        <v>0</v>
      </c>
      <c r="L359" t="n">
        <v>1</v>
      </c>
      <c r="M359" t="n">
        <v>339.4679</v>
      </c>
      <c r="N359" t="n">
        <v>28227</v>
      </c>
      <c r="O359" t="n">
        <v>11516840</v>
      </c>
    </row>
    <row r="360">
      <c r="B360" t="inlineStr">
        <is>
          <t>PR</t>
        </is>
      </c>
      <c r="C360" t="n">
        <v>2021</v>
      </c>
      <c r="D360" t="n">
        <v>11.87</v>
      </c>
      <c r="E360" t="n">
        <v>131.36</v>
      </c>
      <c r="F360" t="n">
        <v>7.2277</v>
      </c>
      <c r="G360" t="n">
        <v>9.631399999999999</v>
      </c>
      <c r="H360" t="n">
        <v>47422</v>
      </c>
      <c r="I360" t="n">
        <v>10.7668</v>
      </c>
      <c r="J360" t="n">
        <v>8.4</v>
      </c>
      <c r="K360" t="n">
        <v>0</v>
      </c>
      <c r="L360" t="n">
        <v>1</v>
      </c>
      <c r="M360" t="n">
        <v>339.4679</v>
      </c>
      <c r="N360" t="n">
        <v>43462</v>
      </c>
      <c r="O360" t="n">
        <v>11597484</v>
      </c>
    </row>
    <row r="361">
      <c r="B361" t="inlineStr">
        <is>
          <t>PR</t>
        </is>
      </c>
      <c r="C361" t="n">
        <v>2022</v>
      </c>
      <c r="D361" t="n">
        <v>13.12</v>
      </c>
      <c r="E361" t="n">
        <v>339.47</v>
      </c>
      <c r="F361" t="n">
        <v>7.3139</v>
      </c>
      <c r="G361" t="n">
        <v>10.5675</v>
      </c>
      <c r="H361" t="n">
        <v>53704</v>
      </c>
      <c r="I361" t="n">
        <v>10.8912</v>
      </c>
      <c r="J361" t="n">
        <v>5.8</v>
      </c>
      <c r="K361" t="n">
        <v>0</v>
      </c>
      <c r="L361" t="n">
        <v>0</v>
      </c>
      <c r="M361" t="n">
        <v>339.4679</v>
      </c>
      <c r="N361" t="n">
        <v>82312</v>
      </c>
      <c r="O361" t="n">
        <v>11444380</v>
      </c>
    </row>
    <row r="362">
      <c r="B362" t="inlineStr">
        <is>
          <t>PR</t>
        </is>
      </c>
      <c r="C362" t="n">
        <v>2023</v>
      </c>
      <c r="D362" t="n">
        <v>10.94</v>
      </c>
      <c r="E362" t="n">
        <v>0.76</v>
      </c>
      <c r="F362" t="n">
        <v>7.1325</v>
      </c>
      <c r="G362" t="n">
        <v>4.4659</v>
      </c>
      <c r="H362" t="n">
        <v>58624</v>
      </c>
      <c r="I362" t="n">
        <v>10.9789</v>
      </c>
      <c r="J362" t="n">
        <v>4.9</v>
      </c>
      <c r="K362" t="n">
        <v>1</v>
      </c>
      <c r="L362" t="n">
        <v>0</v>
      </c>
      <c r="M362" t="n">
        <v>339.4679</v>
      </c>
      <c r="N362" t="n">
        <v>82399</v>
      </c>
      <c r="O362" t="n">
        <v>11444380</v>
      </c>
    </row>
    <row r="363">
      <c r="B363" t="inlineStr">
        <is>
          <t>PR</t>
        </is>
      </c>
      <c r="C363" t="n">
        <v>2024</v>
      </c>
      <c r="D363" t="n">
        <v>9.26</v>
      </c>
      <c r="E363" t="n">
        <v>45.04</v>
      </c>
      <c r="F363" t="n">
        <v>6.9985</v>
      </c>
      <c r="G363" t="n">
        <v>8.580399999999999</v>
      </c>
      <c r="H363" t="n">
        <v>61827</v>
      </c>
      <c r="I363" t="n">
        <v>11.0321</v>
      </c>
      <c r="J363" t="n">
        <v>4</v>
      </c>
      <c r="K363" t="n">
        <v>1</v>
      </c>
      <c r="L363" t="n">
        <v>0</v>
      </c>
      <c r="M363" t="n">
        <v>339.4679</v>
      </c>
      <c r="N363" t="n">
        <v>87725</v>
      </c>
      <c r="O363" t="n">
        <v>11824665</v>
      </c>
    </row>
    <row r="364">
      <c r="B364" t="inlineStr">
        <is>
          <t>RJ</t>
        </is>
      </c>
      <c r="C364" t="n">
        <v>2005</v>
      </c>
      <c r="D364" t="n">
        <v>38.92</v>
      </c>
      <c r="E364" t="n">
        <v>0.88</v>
      </c>
      <c r="F364" t="n">
        <v>8.6973</v>
      </c>
      <c r="G364" t="n">
        <v>4.9053</v>
      </c>
      <c r="H364" t="n">
        <v>16057</v>
      </c>
      <c r="I364" t="n">
        <v>9.6839</v>
      </c>
      <c r="J364" t="n">
        <v>12.86</v>
      </c>
      <c r="K364" t="n">
        <v>0</v>
      </c>
      <c r="L364" t="n">
        <v>0</v>
      </c>
      <c r="M364" t="n">
        <v>91.5966</v>
      </c>
      <c r="N364" t="n">
        <v>135</v>
      </c>
      <c r="O364" t="n">
        <v>15383407</v>
      </c>
    </row>
    <row r="365">
      <c r="B365" t="inlineStr">
        <is>
          <t>RJ</t>
        </is>
      </c>
      <c r="C365" t="n">
        <v>2006</v>
      </c>
      <c r="D365" t="n">
        <v>37.32</v>
      </c>
      <c r="E365" t="n">
        <v>1.11</v>
      </c>
      <c r="F365" t="n">
        <v>8.6668</v>
      </c>
      <c r="G365" t="n">
        <v>5.1533</v>
      </c>
      <c r="H365" t="n">
        <v>17693</v>
      </c>
      <c r="I365" t="n">
        <v>9.780900000000001</v>
      </c>
      <c r="J365" t="n">
        <v>11.93</v>
      </c>
      <c r="K365" t="n">
        <v>0</v>
      </c>
      <c r="L365" t="n">
        <v>0</v>
      </c>
      <c r="M365" t="n">
        <v>91.5966</v>
      </c>
      <c r="N365" t="n">
        <v>308</v>
      </c>
      <c r="O365" t="n">
        <v>15561720</v>
      </c>
    </row>
    <row r="366">
      <c r="B366" t="inlineStr">
        <is>
          <t>RJ</t>
        </is>
      </c>
      <c r="C366" t="n">
        <v>2007</v>
      </c>
      <c r="D366" t="n">
        <v>33.12</v>
      </c>
      <c r="E366" t="n">
        <v>1.31</v>
      </c>
      <c r="F366" t="n">
        <v>8.538399999999999</v>
      </c>
      <c r="G366" t="n">
        <v>5.3083</v>
      </c>
      <c r="H366" t="n">
        <v>19245</v>
      </c>
      <c r="I366" t="n">
        <v>9.865</v>
      </c>
      <c r="J366" t="n">
        <v>10.3</v>
      </c>
      <c r="K366" t="n">
        <v>0</v>
      </c>
      <c r="L366" t="n">
        <v>0</v>
      </c>
      <c r="M366" t="n">
        <v>91.5966</v>
      </c>
      <c r="N366" t="n">
        <v>510</v>
      </c>
      <c r="O366" t="n">
        <v>15420450</v>
      </c>
    </row>
    <row r="367">
      <c r="B367" t="inlineStr">
        <is>
          <t>RJ</t>
        </is>
      </c>
      <c r="C367" t="n">
        <v>2008</v>
      </c>
      <c r="D367" t="n">
        <v>27.38</v>
      </c>
      <c r="E367" t="n">
        <v>1.52</v>
      </c>
      <c r="F367" t="n">
        <v>8.377000000000001</v>
      </c>
      <c r="G367" t="n">
        <v>5.4889</v>
      </c>
      <c r="H367" t="n">
        <v>21621</v>
      </c>
      <c r="I367" t="n">
        <v>9.981400000000001</v>
      </c>
      <c r="J367" t="n">
        <v>9.66</v>
      </c>
      <c r="K367" t="n">
        <v>0</v>
      </c>
      <c r="L367" t="n">
        <v>0</v>
      </c>
      <c r="M367" t="n">
        <v>91.5966</v>
      </c>
      <c r="N367" t="n">
        <v>752</v>
      </c>
      <c r="O367" t="n">
        <v>15872362</v>
      </c>
    </row>
    <row r="368">
      <c r="B368" t="inlineStr">
        <is>
          <t>RJ</t>
        </is>
      </c>
      <c r="C368" t="n">
        <v>2009</v>
      </c>
      <c r="D368" t="n">
        <v>25.06</v>
      </c>
      <c r="E368" t="n">
        <v>1.09</v>
      </c>
      <c r="F368" t="n">
        <v>8.2973</v>
      </c>
      <c r="G368" t="n">
        <v>5.1591</v>
      </c>
      <c r="H368" t="n">
        <v>22103</v>
      </c>
      <c r="I368" t="n">
        <v>10.0035</v>
      </c>
      <c r="J368" t="n">
        <v>9.25</v>
      </c>
      <c r="K368" t="n">
        <v>0</v>
      </c>
      <c r="L368" t="n">
        <v>0</v>
      </c>
      <c r="M368" t="n">
        <v>91.5966</v>
      </c>
      <c r="N368" t="n">
        <v>926</v>
      </c>
      <c r="O368" t="n">
        <v>16010429</v>
      </c>
    </row>
    <row r="369">
      <c r="B369" t="inlineStr">
        <is>
          <t>RJ</t>
        </is>
      </c>
      <c r="C369" t="n">
        <v>2010</v>
      </c>
      <c r="D369" t="n">
        <v>25.75</v>
      </c>
      <c r="E369" t="n">
        <v>2.16</v>
      </c>
      <c r="F369" t="n">
        <v>8.3231</v>
      </c>
      <c r="G369" t="n">
        <v>5.8435</v>
      </c>
      <c r="H369" t="n">
        <v>28134</v>
      </c>
      <c r="I369" t="n">
        <v>10.2447</v>
      </c>
      <c r="J369" t="n">
        <v>8.75</v>
      </c>
      <c r="K369" t="n">
        <v>0</v>
      </c>
      <c r="L369" t="n">
        <v>0</v>
      </c>
      <c r="M369" t="n">
        <v>91.5966</v>
      </c>
      <c r="N369" t="n">
        <v>1271</v>
      </c>
      <c r="O369" t="n">
        <v>15989929</v>
      </c>
    </row>
    <row r="370">
      <c r="B370" t="inlineStr">
        <is>
          <t>RJ</t>
        </is>
      </c>
      <c r="C370" t="n">
        <v>2011</v>
      </c>
      <c r="D370" t="n">
        <v>21.19</v>
      </c>
      <c r="E370" t="n">
        <v>3</v>
      </c>
      <c r="F370" t="n">
        <v>8.1356</v>
      </c>
      <c r="G370" t="n">
        <v>6.18</v>
      </c>
      <c r="H370" t="n">
        <v>31824</v>
      </c>
      <c r="I370" t="n">
        <v>10.368</v>
      </c>
      <c r="J370" t="n">
        <v>8.26</v>
      </c>
      <c r="K370" t="n">
        <v>0</v>
      </c>
      <c r="L370" t="n">
        <v>0</v>
      </c>
      <c r="M370" t="n">
        <v>91.5966</v>
      </c>
      <c r="N370" t="n">
        <v>1754</v>
      </c>
      <c r="O370" t="n">
        <v>16112678</v>
      </c>
    </row>
    <row r="371">
      <c r="B371" t="inlineStr">
        <is>
          <t>RJ</t>
        </is>
      </c>
      <c r="C371" t="n">
        <v>2012</v>
      </c>
      <c r="D371" t="n">
        <v>21.4</v>
      </c>
      <c r="E371" t="n">
        <v>1.74</v>
      </c>
      <c r="F371" t="n">
        <v>8.152799999999999</v>
      </c>
      <c r="G371" t="n">
        <v>5.6454</v>
      </c>
      <c r="H371" t="n">
        <v>35418</v>
      </c>
      <c r="I371" t="n">
        <v>10.475</v>
      </c>
      <c r="J371" t="n">
        <v>6.83</v>
      </c>
      <c r="K371" t="n">
        <v>0</v>
      </c>
      <c r="L371" t="n">
        <v>0</v>
      </c>
      <c r="M371" t="n">
        <v>91.5966</v>
      </c>
      <c r="N371" t="n">
        <v>2037</v>
      </c>
      <c r="O371" t="n">
        <v>16231365</v>
      </c>
    </row>
    <row r="372">
      <c r="B372" t="inlineStr">
        <is>
          <t>RJ</t>
        </is>
      </c>
      <c r="C372" t="n">
        <v>2013</v>
      </c>
      <c r="D372" t="n">
        <v>21.76</v>
      </c>
      <c r="E372" t="n">
        <v>0.85</v>
      </c>
      <c r="F372" t="n">
        <v>8.178100000000001</v>
      </c>
      <c r="G372" t="n">
        <v>4.9345</v>
      </c>
      <c r="H372" t="n">
        <v>38379</v>
      </c>
      <c r="I372" t="n">
        <v>10.5553</v>
      </c>
      <c r="J372" t="n">
        <v>7.63</v>
      </c>
      <c r="K372" t="n">
        <v>0</v>
      </c>
      <c r="L372" t="n">
        <v>0</v>
      </c>
      <c r="M372" t="n">
        <v>91.5966</v>
      </c>
      <c r="N372" t="n">
        <v>2176</v>
      </c>
      <c r="O372" t="n">
        <v>16369179</v>
      </c>
    </row>
    <row r="373">
      <c r="B373" t="inlineStr">
        <is>
          <t>RJ</t>
        </is>
      </c>
      <c r="C373" t="n">
        <v>2014</v>
      </c>
      <c r="D373" t="n">
        <v>22.21</v>
      </c>
      <c r="E373" t="n">
        <v>0.37</v>
      </c>
      <c r="F373" t="n">
        <v>8.2041</v>
      </c>
      <c r="G373" t="n">
        <v>4.1109</v>
      </c>
      <c r="H373" t="n">
        <v>40767</v>
      </c>
      <c r="I373" t="n">
        <v>10.6156</v>
      </c>
      <c r="J373" t="n">
        <v>8.09</v>
      </c>
      <c r="K373" t="n">
        <v>0</v>
      </c>
      <c r="L373" t="n">
        <v>0</v>
      </c>
      <c r="M373" t="n">
        <v>91.5966</v>
      </c>
      <c r="N373" t="n">
        <v>2237</v>
      </c>
      <c r="O373" t="n">
        <v>16461173</v>
      </c>
    </row>
    <row r="374">
      <c r="B374" t="inlineStr">
        <is>
          <t>RJ</t>
        </is>
      </c>
      <c r="C374" t="n">
        <v>2015</v>
      </c>
      <c r="D374" t="n">
        <v>19.2</v>
      </c>
      <c r="E374" t="n">
        <v>1.06</v>
      </c>
      <c r="F374" t="n">
        <v>8.064</v>
      </c>
      <c r="G374" t="n">
        <v>5.1648</v>
      </c>
      <c r="H374" t="n">
        <v>39827</v>
      </c>
      <c r="I374" t="n">
        <v>10.5923</v>
      </c>
      <c r="J374" t="n">
        <v>7.7</v>
      </c>
      <c r="K374" t="n">
        <v>0</v>
      </c>
      <c r="L374" t="n">
        <v>0</v>
      </c>
      <c r="M374" t="n">
        <v>91.5966</v>
      </c>
      <c r="N374" t="n">
        <v>2412</v>
      </c>
      <c r="O374" t="n">
        <v>16550024</v>
      </c>
    </row>
    <row r="375">
      <c r="B375" t="inlineStr">
        <is>
          <t>RJ</t>
        </is>
      </c>
      <c r="C375" t="n">
        <v>2016</v>
      </c>
      <c r="D375" t="n">
        <v>24.26</v>
      </c>
      <c r="E375" t="n">
        <v>2.4</v>
      </c>
      <c r="F375" t="n">
        <v>8.303000000000001</v>
      </c>
      <c r="G375" t="n">
        <v>5.989</v>
      </c>
      <c r="H375" t="n">
        <v>38495</v>
      </c>
      <c r="I375" t="n">
        <v>10.5583</v>
      </c>
      <c r="J375" t="n">
        <v>11.9</v>
      </c>
      <c r="K375" t="n">
        <v>0</v>
      </c>
      <c r="L375" t="n">
        <v>0</v>
      </c>
      <c r="M375" t="n">
        <v>91.5966</v>
      </c>
      <c r="N375" t="n">
        <v>2811</v>
      </c>
      <c r="O375" t="n">
        <v>16635996</v>
      </c>
    </row>
    <row r="376">
      <c r="B376" t="inlineStr">
        <is>
          <t>RJ</t>
        </is>
      </c>
      <c r="C376" t="n">
        <v>2017</v>
      </c>
      <c r="D376" t="n">
        <v>26.43</v>
      </c>
      <c r="E376" t="n">
        <v>4.02</v>
      </c>
      <c r="F376" t="n">
        <v>8.393700000000001</v>
      </c>
      <c r="G376" t="n">
        <v>6.5103</v>
      </c>
      <c r="H376" t="n">
        <v>40170</v>
      </c>
      <c r="I376" t="n">
        <v>10.6009</v>
      </c>
      <c r="J376" t="n">
        <v>15.1</v>
      </c>
      <c r="K376" t="n">
        <v>0</v>
      </c>
      <c r="L376" t="n">
        <v>0</v>
      </c>
      <c r="M376" t="n">
        <v>91.5966</v>
      </c>
      <c r="N376" t="n">
        <v>3483</v>
      </c>
      <c r="O376" t="n">
        <v>16718956</v>
      </c>
    </row>
    <row r="377">
      <c r="B377" t="inlineStr">
        <is>
          <t>RJ</t>
        </is>
      </c>
      <c r="C377" t="n">
        <v>2018</v>
      </c>
      <c r="D377" t="n">
        <v>24.87</v>
      </c>
      <c r="E377" t="n">
        <v>8.630000000000001</v>
      </c>
      <c r="F377" t="n">
        <v>8.358700000000001</v>
      </c>
      <c r="G377" t="n">
        <v>7.3005</v>
      </c>
      <c r="H377" t="n">
        <v>44223</v>
      </c>
      <c r="I377" t="n">
        <v>10.697</v>
      </c>
      <c r="J377" t="n">
        <v>15.1</v>
      </c>
      <c r="K377" t="n">
        <v>0</v>
      </c>
      <c r="L377" t="n">
        <v>0</v>
      </c>
      <c r="M377" t="n">
        <v>91.5966</v>
      </c>
      <c r="N377" t="n">
        <v>4964</v>
      </c>
      <c r="O377" t="n">
        <v>17159960</v>
      </c>
    </row>
    <row r="378">
      <c r="B378" t="inlineStr">
        <is>
          <t>RJ</t>
        </is>
      </c>
      <c r="C378" t="n">
        <v>2019</v>
      </c>
      <c r="D378" t="n">
        <v>13.39</v>
      </c>
      <c r="E378" t="n">
        <v>8.699999999999999</v>
      </c>
      <c r="F378" t="n">
        <v>7.7454</v>
      </c>
      <c r="G378" t="n">
        <v>7.3146</v>
      </c>
      <c r="H378" t="n">
        <v>45174</v>
      </c>
      <c r="I378" t="n">
        <v>10.7183</v>
      </c>
      <c r="J378" t="n">
        <v>14.8</v>
      </c>
      <c r="K378" t="n">
        <v>0</v>
      </c>
      <c r="L378" t="n">
        <v>0</v>
      </c>
      <c r="M378" t="n">
        <v>91.5966</v>
      </c>
      <c r="N378" t="n">
        <v>6466</v>
      </c>
      <c r="O378" t="n">
        <v>17264943</v>
      </c>
    </row>
    <row r="379">
      <c r="B379" t="inlineStr">
        <is>
          <t>RJ</t>
        </is>
      </c>
      <c r="C379" t="n">
        <v>2020</v>
      </c>
      <c r="D379" t="n">
        <v>15.8</v>
      </c>
      <c r="E379" t="n">
        <v>18.55</v>
      </c>
      <c r="F379" t="n">
        <v>7.9172</v>
      </c>
      <c r="G379" t="n">
        <v>8.077400000000001</v>
      </c>
      <c r="H379" t="n">
        <v>43408</v>
      </c>
      <c r="I379" t="n">
        <v>10.6784</v>
      </c>
      <c r="J379" t="n">
        <v>17.6</v>
      </c>
      <c r="K379" t="n">
        <v>0</v>
      </c>
      <c r="L379" t="n">
        <v>1</v>
      </c>
      <c r="M379" t="n">
        <v>91.5966</v>
      </c>
      <c r="N379" t="n">
        <v>9687</v>
      </c>
      <c r="O379" t="n">
        <v>17366189</v>
      </c>
    </row>
    <row r="380">
      <c r="B380" t="inlineStr">
        <is>
          <t>RJ</t>
        </is>
      </c>
      <c r="C380" t="n">
        <v>2021</v>
      </c>
      <c r="D380" t="n">
        <v>17.18</v>
      </c>
      <c r="E380" t="n">
        <v>45.56</v>
      </c>
      <c r="F380" t="n">
        <v>8.006399999999999</v>
      </c>
      <c r="G380" t="n">
        <v>8.9818</v>
      </c>
      <c r="H380" t="n">
        <v>54360</v>
      </c>
      <c r="I380" t="n">
        <v>10.9034</v>
      </c>
      <c r="J380" t="n">
        <v>16.9</v>
      </c>
      <c r="K380" t="n">
        <v>0</v>
      </c>
      <c r="L380" t="n">
        <v>1</v>
      </c>
      <c r="M380" t="n">
        <v>91.5966</v>
      </c>
      <c r="N380" t="n">
        <v>17644</v>
      </c>
      <c r="O380" t="n">
        <v>17463349</v>
      </c>
    </row>
    <row r="381">
      <c r="B381" t="inlineStr">
        <is>
          <t>RJ</t>
        </is>
      </c>
      <c r="C381" t="n">
        <v>2022</v>
      </c>
      <c r="D381" t="n">
        <v>15.19</v>
      </c>
      <c r="E381" t="n">
        <v>91.59999999999999</v>
      </c>
      <c r="F381" t="n">
        <v>7.7989</v>
      </c>
      <c r="G381" t="n">
        <v>9.596</v>
      </c>
      <c r="H381" t="n">
        <v>71847</v>
      </c>
      <c r="I381" t="n">
        <v>11.1823</v>
      </c>
      <c r="J381" t="n">
        <v>12.8</v>
      </c>
      <c r="K381" t="n">
        <v>0</v>
      </c>
      <c r="L381" t="n">
        <v>0</v>
      </c>
      <c r="M381" t="n">
        <v>91.5966</v>
      </c>
      <c r="N381" t="n">
        <v>32350</v>
      </c>
      <c r="O381" t="n">
        <v>16055174</v>
      </c>
    </row>
    <row r="382">
      <c r="B382" t="inlineStr">
        <is>
          <t>RJ</t>
        </is>
      </c>
      <c r="C382" t="n">
        <v>2023</v>
      </c>
      <c r="D382" t="n">
        <v>16.09</v>
      </c>
      <c r="E382" t="n">
        <v>0.31</v>
      </c>
      <c r="F382" t="n">
        <v>7.8571</v>
      </c>
      <c r="G382" t="n">
        <v>3.8918</v>
      </c>
      <c r="H382" t="n">
        <v>73053</v>
      </c>
      <c r="I382" t="n">
        <v>11.1989</v>
      </c>
      <c r="J382" t="n">
        <v>11</v>
      </c>
      <c r="K382" t="n">
        <v>1</v>
      </c>
      <c r="L382" t="n">
        <v>0</v>
      </c>
      <c r="M382" t="n">
        <v>91.5966</v>
      </c>
      <c r="N382" t="n">
        <v>32399</v>
      </c>
      <c r="O382" t="n">
        <v>16055174</v>
      </c>
    </row>
    <row r="383">
      <c r="B383" t="inlineStr">
        <is>
          <t>RJ</t>
        </is>
      </c>
      <c r="C383" t="n">
        <v>2024</v>
      </c>
      <c r="D383" t="n">
        <v>11.81</v>
      </c>
      <c r="E383" t="n">
        <v>15.89</v>
      </c>
      <c r="F383" t="n">
        <v>7.6173</v>
      </c>
      <c r="G383" t="n">
        <v>7.9143</v>
      </c>
      <c r="H383" t="n">
        <v>74008</v>
      </c>
      <c r="I383" t="n">
        <v>11.2119</v>
      </c>
      <c r="J383" t="n">
        <v>9</v>
      </c>
      <c r="K383" t="n">
        <v>1</v>
      </c>
      <c r="L383" t="n">
        <v>0</v>
      </c>
      <c r="M383" t="n">
        <v>91.5966</v>
      </c>
      <c r="N383" t="n">
        <v>35135</v>
      </c>
      <c r="O383" t="n">
        <v>17219679</v>
      </c>
    </row>
    <row r="384">
      <c r="B384" t="inlineStr">
        <is>
          <t>RN</t>
        </is>
      </c>
      <c r="C384" t="n">
        <v>2005</v>
      </c>
      <c r="D384" t="n">
        <v>8.99</v>
      </c>
      <c r="E384" t="n">
        <v>0.5</v>
      </c>
      <c r="F384" t="n">
        <v>5.5984</v>
      </c>
      <c r="G384" t="n">
        <v>2.7081</v>
      </c>
      <c r="H384" t="n">
        <v>5951</v>
      </c>
      <c r="I384" t="n">
        <v>8.6913</v>
      </c>
      <c r="J384" t="n">
        <v>11.98</v>
      </c>
      <c r="K384" t="n">
        <v>0</v>
      </c>
      <c r="L384" t="n">
        <v>0</v>
      </c>
      <c r="M384" t="n">
        <v>74.9986</v>
      </c>
      <c r="N384" t="n">
        <v>15</v>
      </c>
      <c r="O384" t="n">
        <v>3003087</v>
      </c>
    </row>
    <row r="385">
      <c r="B385" t="inlineStr">
        <is>
          <t>RN</t>
        </is>
      </c>
      <c r="C385" t="n">
        <v>2006</v>
      </c>
      <c r="D385" t="n">
        <v>9.949999999999999</v>
      </c>
      <c r="E385" t="n">
        <v>0.26</v>
      </c>
      <c r="F385" t="n">
        <v>5.7137</v>
      </c>
      <c r="G385" t="n">
        <v>2.0794</v>
      </c>
      <c r="H385" t="n">
        <v>6753</v>
      </c>
      <c r="I385" t="n">
        <v>8.8177</v>
      </c>
      <c r="J385" t="n">
        <v>9.73</v>
      </c>
      <c r="K385" t="n">
        <v>0</v>
      </c>
      <c r="L385" t="n">
        <v>0</v>
      </c>
      <c r="M385" t="n">
        <v>74.9986</v>
      </c>
      <c r="N385" t="n">
        <v>23</v>
      </c>
      <c r="O385" t="n">
        <v>3043760</v>
      </c>
    </row>
    <row r="386">
      <c r="B386" t="inlineStr">
        <is>
          <t>RN</t>
        </is>
      </c>
      <c r="C386" t="n">
        <v>2007</v>
      </c>
      <c r="D386" t="n">
        <v>14.63</v>
      </c>
      <c r="E386" t="n">
        <v>0.3</v>
      </c>
      <c r="F386" t="n">
        <v>6.089</v>
      </c>
      <c r="G386" t="n">
        <v>2.1972</v>
      </c>
      <c r="H386" t="n">
        <v>7607</v>
      </c>
      <c r="I386" t="n">
        <v>8.9368</v>
      </c>
      <c r="J386" t="n">
        <v>10.05</v>
      </c>
      <c r="K386" t="n">
        <v>0</v>
      </c>
      <c r="L386" t="n">
        <v>0</v>
      </c>
      <c r="M386" t="n">
        <v>74.9986</v>
      </c>
      <c r="N386" t="n">
        <v>32</v>
      </c>
      <c r="O386" t="n">
        <v>3013740</v>
      </c>
    </row>
    <row r="387">
      <c r="B387" t="inlineStr">
        <is>
          <t>RN</t>
        </is>
      </c>
      <c r="C387" t="n">
        <v>2008</v>
      </c>
      <c r="D387" t="n">
        <v>17.42</v>
      </c>
      <c r="E387" t="n">
        <v>0.23</v>
      </c>
      <c r="F387" t="n">
        <v>6.2934</v>
      </c>
      <c r="G387" t="n">
        <v>1.9459</v>
      </c>
      <c r="H387" t="n">
        <v>8203</v>
      </c>
      <c r="I387" t="n">
        <v>9.0123</v>
      </c>
      <c r="J387" t="n">
        <v>8.630000000000001</v>
      </c>
      <c r="K387" t="n">
        <v>0</v>
      </c>
      <c r="L387" t="n">
        <v>0</v>
      </c>
      <c r="M387" t="n">
        <v>74.9986</v>
      </c>
      <c r="N387" t="n">
        <v>39</v>
      </c>
      <c r="O387" t="n">
        <v>3106436</v>
      </c>
    </row>
    <row r="388">
      <c r="B388" t="inlineStr">
        <is>
          <t>RN</t>
        </is>
      </c>
      <c r="C388" t="n">
        <v>2009</v>
      </c>
      <c r="D388" t="n">
        <v>19.57</v>
      </c>
      <c r="E388" t="n">
        <v>0.32</v>
      </c>
      <c r="F388" t="n">
        <v>6.42</v>
      </c>
      <c r="G388" t="n">
        <v>2.3026</v>
      </c>
      <c r="H388" t="n">
        <v>8894</v>
      </c>
      <c r="I388" t="n">
        <v>9.0931</v>
      </c>
      <c r="J388" t="n">
        <v>11.69</v>
      </c>
      <c r="K388" t="n">
        <v>0</v>
      </c>
      <c r="L388" t="n">
        <v>0</v>
      </c>
      <c r="M388" t="n">
        <v>74.9986</v>
      </c>
      <c r="N388" t="n">
        <v>49</v>
      </c>
      <c r="O388" t="n">
        <v>3137541</v>
      </c>
    </row>
    <row r="389">
      <c r="B389" t="inlineStr">
        <is>
          <t>RN</t>
        </is>
      </c>
      <c r="C389" t="n">
        <v>2010</v>
      </c>
      <c r="D389" t="n">
        <v>19.41</v>
      </c>
      <c r="E389" t="n">
        <v>0.63</v>
      </c>
      <c r="F389" t="n">
        <v>6.4216</v>
      </c>
      <c r="G389" t="n">
        <v>2.9957</v>
      </c>
      <c r="H389" t="n">
        <v>11422</v>
      </c>
      <c r="I389" t="n">
        <v>9.343299999999999</v>
      </c>
      <c r="J389" t="n">
        <v>11.11</v>
      </c>
      <c r="K389" t="n">
        <v>0</v>
      </c>
      <c r="L389" t="n">
        <v>0</v>
      </c>
      <c r="M389" t="n">
        <v>74.9986</v>
      </c>
      <c r="N389" t="n">
        <v>69</v>
      </c>
      <c r="O389" t="n">
        <v>3168027</v>
      </c>
    </row>
    <row r="390">
      <c r="B390" t="inlineStr">
        <is>
          <t>RN</t>
        </is>
      </c>
      <c r="C390" t="n">
        <v>2011</v>
      </c>
      <c r="D390" t="n">
        <v>24.35</v>
      </c>
      <c r="E390" t="n">
        <v>0.72</v>
      </c>
      <c r="F390" t="n">
        <v>6.658</v>
      </c>
      <c r="G390" t="n">
        <v>3.1355</v>
      </c>
      <c r="H390" t="n">
        <v>12816</v>
      </c>
      <c r="I390" t="n">
        <v>9.458399999999999</v>
      </c>
      <c r="J390" t="n">
        <v>10.53</v>
      </c>
      <c r="K390" t="n">
        <v>0</v>
      </c>
      <c r="L390" t="n">
        <v>0</v>
      </c>
      <c r="M390" t="n">
        <v>74.9986</v>
      </c>
      <c r="N390" t="n">
        <v>92</v>
      </c>
      <c r="O390" t="n">
        <v>3198657</v>
      </c>
    </row>
    <row r="391">
      <c r="B391" t="inlineStr">
        <is>
          <t>RN</t>
        </is>
      </c>
      <c r="C391" t="n">
        <v>2012</v>
      </c>
      <c r="D391" t="n">
        <v>26.33</v>
      </c>
      <c r="E391" t="n">
        <v>1.46</v>
      </c>
      <c r="F391" t="n">
        <v>6.7452</v>
      </c>
      <c r="G391" t="n">
        <v>3.8501</v>
      </c>
      <c r="H391" t="n">
        <v>14377</v>
      </c>
      <c r="I391" t="n">
        <v>9.573399999999999</v>
      </c>
      <c r="J391" t="n">
        <v>8.119999999999999</v>
      </c>
      <c r="K391" t="n">
        <v>0</v>
      </c>
      <c r="L391" t="n">
        <v>0</v>
      </c>
      <c r="M391" t="n">
        <v>74.9986</v>
      </c>
      <c r="N391" t="n">
        <v>139</v>
      </c>
      <c r="O391" t="n">
        <v>3228198</v>
      </c>
    </row>
    <row r="392">
      <c r="B392" t="inlineStr">
        <is>
          <t>RN</t>
        </is>
      </c>
      <c r="C392" t="n">
        <v>2013</v>
      </c>
      <c r="D392" t="n">
        <v>34.17</v>
      </c>
      <c r="E392" t="n">
        <v>1.13</v>
      </c>
      <c r="F392" t="n">
        <v>7.0501</v>
      </c>
      <c r="G392" t="n">
        <v>3.6376</v>
      </c>
      <c r="H392" t="n">
        <v>15269</v>
      </c>
      <c r="I392" t="n">
        <v>9.633599999999999</v>
      </c>
      <c r="J392" t="n">
        <v>11.82</v>
      </c>
      <c r="K392" t="n">
        <v>0</v>
      </c>
      <c r="L392" t="n">
        <v>0</v>
      </c>
      <c r="M392" t="n">
        <v>74.9986</v>
      </c>
      <c r="N392" t="n">
        <v>177</v>
      </c>
      <c r="O392" t="n">
        <v>3373959</v>
      </c>
    </row>
    <row r="393">
      <c r="B393" t="inlineStr">
        <is>
          <t>RN</t>
        </is>
      </c>
      <c r="C393" t="n">
        <v>2014</v>
      </c>
      <c r="D393" t="n">
        <v>38.61</v>
      </c>
      <c r="E393" t="n">
        <v>0.97</v>
      </c>
      <c r="F393" t="n">
        <v>7.1824</v>
      </c>
      <c r="G393" t="n">
        <v>3.4965</v>
      </c>
      <c r="H393" t="n">
        <v>15849</v>
      </c>
      <c r="I393" t="n">
        <v>9.6709</v>
      </c>
      <c r="J393" t="n">
        <v>12.14</v>
      </c>
      <c r="K393" t="n">
        <v>0</v>
      </c>
      <c r="L393" t="n">
        <v>0</v>
      </c>
      <c r="M393" t="n">
        <v>74.9986</v>
      </c>
      <c r="N393" t="n">
        <v>210</v>
      </c>
      <c r="O393" t="n">
        <v>3408510</v>
      </c>
    </row>
    <row r="394">
      <c r="B394" t="inlineStr">
        <is>
          <t>RN</t>
        </is>
      </c>
      <c r="C394" t="n">
        <v>2015</v>
      </c>
      <c r="D394" t="n">
        <v>35.97</v>
      </c>
      <c r="E394" t="n">
        <v>0.32</v>
      </c>
      <c r="F394" t="n">
        <v>7.1213</v>
      </c>
      <c r="G394" t="n">
        <v>2.3979</v>
      </c>
      <c r="H394" t="n">
        <v>16632</v>
      </c>
      <c r="I394" t="n">
        <v>9.719099999999999</v>
      </c>
      <c r="J394" t="n">
        <v>12.1</v>
      </c>
      <c r="K394" t="n">
        <v>0</v>
      </c>
      <c r="L394" t="n">
        <v>0</v>
      </c>
      <c r="M394" t="n">
        <v>74.9986</v>
      </c>
      <c r="N394" t="n">
        <v>221</v>
      </c>
      <c r="O394" t="n">
        <v>3442175</v>
      </c>
    </row>
    <row r="395">
      <c r="B395" t="inlineStr">
        <is>
          <t>RN</t>
        </is>
      </c>
      <c r="C395" t="n">
        <v>2016</v>
      </c>
      <c r="D395" t="n">
        <v>45.12</v>
      </c>
      <c r="E395" t="n">
        <v>2.19</v>
      </c>
      <c r="F395" t="n">
        <v>7.3576</v>
      </c>
      <c r="G395" t="n">
        <v>4.3307</v>
      </c>
      <c r="H395" t="n">
        <v>17173</v>
      </c>
      <c r="I395" t="n">
        <v>9.751099999999999</v>
      </c>
      <c r="J395" t="n">
        <v>14.3</v>
      </c>
      <c r="K395" t="n">
        <v>0</v>
      </c>
      <c r="L395" t="n">
        <v>0</v>
      </c>
      <c r="M395" t="n">
        <v>74.9986</v>
      </c>
      <c r="N395" t="n">
        <v>297</v>
      </c>
      <c r="O395" t="n">
        <v>3474998</v>
      </c>
    </row>
    <row r="396">
      <c r="B396" t="inlineStr">
        <is>
          <t>RN</t>
        </is>
      </c>
      <c r="C396" t="n">
        <v>2017</v>
      </c>
      <c r="D396" t="n">
        <v>54.86</v>
      </c>
      <c r="E396" t="n">
        <v>2.22</v>
      </c>
      <c r="F396" t="n">
        <v>7.5622</v>
      </c>
      <c r="G396" t="n">
        <v>4.3567</v>
      </c>
      <c r="H396" t="n">
        <v>18336</v>
      </c>
      <c r="I396" t="n">
        <v>9.816599999999999</v>
      </c>
      <c r="J396" t="n">
        <v>14.7</v>
      </c>
      <c r="K396" t="n">
        <v>0</v>
      </c>
      <c r="L396" t="n">
        <v>0</v>
      </c>
      <c r="M396" t="n">
        <v>74.9986</v>
      </c>
      <c r="N396" t="n">
        <v>375</v>
      </c>
      <c r="O396" t="n">
        <v>3507003</v>
      </c>
    </row>
    <row r="397">
      <c r="B397" t="inlineStr">
        <is>
          <t>RN</t>
        </is>
      </c>
      <c r="C397" t="n">
        <v>2018</v>
      </c>
      <c r="D397" t="n">
        <v>47.17</v>
      </c>
      <c r="E397" t="n">
        <v>3.08</v>
      </c>
      <c r="F397" t="n">
        <v>7.4031</v>
      </c>
      <c r="G397" t="n">
        <v>4.6728</v>
      </c>
      <c r="H397" t="n">
        <v>19250</v>
      </c>
      <c r="I397" t="n">
        <v>9.8653</v>
      </c>
      <c r="J397" t="n">
        <v>13.7</v>
      </c>
      <c r="K397" t="n">
        <v>0</v>
      </c>
      <c r="L397" t="n">
        <v>0</v>
      </c>
      <c r="M397" t="n">
        <v>74.9986</v>
      </c>
      <c r="N397" t="n">
        <v>482</v>
      </c>
      <c r="O397" t="n">
        <v>3479010</v>
      </c>
    </row>
    <row r="398">
      <c r="B398" t="inlineStr">
        <is>
          <t>RN</t>
        </is>
      </c>
      <c r="C398" t="n">
        <v>2019</v>
      </c>
      <c r="D398" t="n">
        <v>33.56</v>
      </c>
      <c r="E398" t="n">
        <v>26.78</v>
      </c>
      <c r="F398" t="n">
        <v>7.0707</v>
      </c>
      <c r="G398" t="n">
        <v>6.8448</v>
      </c>
      <c r="H398" t="n">
        <v>20342</v>
      </c>
      <c r="I398" t="n">
        <v>9.920400000000001</v>
      </c>
      <c r="J398" t="n">
        <v>13.3</v>
      </c>
      <c r="K398" t="n">
        <v>0</v>
      </c>
      <c r="L398" t="n">
        <v>0</v>
      </c>
      <c r="M398" t="n">
        <v>74.9986</v>
      </c>
      <c r="N398" t="n">
        <v>1421</v>
      </c>
      <c r="O398" t="n">
        <v>3506853</v>
      </c>
    </row>
    <row r="399">
      <c r="B399" t="inlineStr">
        <is>
          <t>RN</t>
        </is>
      </c>
      <c r="C399" t="n">
        <v>2020</v>
      </c>
      <c r="D399" t="n">
        <v>34.8</v>
      </c>
      <c r="E399" t="n">
        <v>33.42</v>
      </c>
      <c r="F399" t="n">
        <v>7.1148</v>
      </c>
      <c r="G399" t="n">
        <v>7.0741</v>
      </c>
      <c r="H399" t="n">
        <v>20253</v>
      </c>
      <c r="I399" t="n">
        <v>9.9161</v>
      </c>
      <c r="J399" t="n">
        <v>16.1</v>
      </c>
      <c r="K399" t="n">
        <v>0</v>
      </c>
      <c r="L399" t="n">
        <v>1</v>
      </c>
      <c r="M399" t="n">
        <v>74.9986</v>
      </c>
      <c r="N399" t="n">
        <v>2602</v>
      </c>
      <c r="O399" t="n">
        <v>3534165</v>
      </c>
    </row>
    <row r="400">
      <c r="B400" t="inlineStr">
        <is>
          <t>RN</t>
        </is>
      </c>
      <c r="C400" t="n">
        <v>2021</v>
      </c>
      <c r="D400" t="n">
        <v>28.48</v>
      </c>
      <c r="E400" t="n">
        <v>54.26</v>
      </c>
      <c r="F400" t="n">
        <v>6.9217</v>
      </c>
      <c r="G400" t="n">
        <v>7.5663</v>
      </c>
      <c r="H400" t="n">
        <v>22517</v>
      </c>
      <c r="I400" t="n">
        <v>10.022</v>
      </c>
      <c r="J400" t="n">
        <v>14.9</v>
      </c>
      <c r="K400" t="n">
        <v>0</v>
      </c>
      <c r="L400" t="n">
        <v>1</v>
      </c>
      <c r="M400" t="n">
        <v>74.9986</v>
      </c>
      <c r="N400" t="n">
        <v>4534</v>
      </c>
      <c r="O400" t="n">
        <v>3560903</v>
      </c>
    </row>
    <row r="401">
      <c r="B401" t="inlineStr">
        <is>
          <t>RN</t>
        </is>
      </c>
      <c r="C401" t="n">
        <v>2022</v>
      </c>
      <c r="D401" t="n">
        <v>29.22</v>
      </c>
      <c r="E401" t="n">
        <v>75</v>
      </c>
      <c r="F401" t="n">
        <v>6.8721</v>
      </c>
      <c r="G401" t="n">
        <v>7.8148</v>
      </c>
      <c r="H401" t="n">
        <v>28407</v>
      </c>
      <c r="I401" t="n">
        <v>10.2544</v>
      </c>
      <c r="J401" t="n">
        <v>11.7</v>
      </c>
      <c r="K401" t="n">
        <v>0</v>
      </c>
      <c r="L401" t="n">
        <v>0</v>
      </c>
      <c r="M401" t="n">
        <v>74.9986</v>
      </c>
      <c r="N401" t="n">
        <v>7011</v>
      </c>
      <c r="O401" t="n">
        <v>3302729</v>
      </c>
    </row>
    <row r="402">
      <c r="B402" t="inlineStr">
        <is>
          <t>RN</t>
        </is>
      </c>
      <c r="C402" t="n">
        <v>2023</v>
      </c>
      <c r="D402" t="n">
        <v>21.38</v>
      </c>
      <c r="E402" t="n">
        <v>0.09</v>
      </c>
      <c r="F402" t="n">
        <v>6.5596</v>
      </c>
      <c r="G402" t="n">
        <v>1.0986</v>
      </c>
      <c r="H402" t="n">
        <v>30805</v>
      </c>
      <c r="I402" t="n">
        <v>10.3354</v>
      </c>
      <c r="J402" t="n">
        <v>10.3</v>
      </c>
      <c r="K402" t="n">
        <v>1</v>
      </c>
      <c r="L402" t="n">
        <v>0</v>
      </c>
      <c r="M402" t="n">
        <v>74.9986</v>
      </c>
      <c r="N402" t="n">
        <v>7014</v>
      </c>
      <c r="O402" t="n">
        <v>3302729</v>
      </c>
    </row>
    <row r="403">
      <c r="B403" t="inlineStr">
        <is>
          <t>RN</t>
        </is>
      </c>
      <c r="C403" t="n">
        <v>2024</v>
      </c>
      <c r="D403" t="n">
        <v>17.59</v>
      </c>
      <c r="E403" t="n">
        <v>18.92</v>
      </c>
      <c r="F403" t="n">
        <v>6.4069</v>
      </c>
      <c r="G403" t="n">
        <v>6.48</v>
      </c>
      <c r="H403" t="n">
        <v>32670</v>
      </c>
      <c r="I403" t="n">
        <v>10.3942</v>
      </c>
      <c r="J403" t="n">
        <v>9.1</v>
      </c>
      <c r="K403" t="n">
        <v>1</v>
      </c>
      <c r="L403" t="n">
        <v>0</v>
      </c>
      <c r="M403" t="n">
        <v>74.9986</v>
      </c>
      <c r="N403" t="n">
        <v>7666</v>
      </c>
      <c r="O403" t="n">
        <v>3446071</v>
      </c>
    </row>
    <row r="404">
      <c r="B404" t="inlineStr">
        <is>
          <t>RO</t>
        </is>
      </c>
      <c r="C404" t="n">
        <v>2005</v>
      </c>
      <c r="D404" t="n">
        <v>24.05</v>
      </c>
      <c r="E404" t="n">
        <v>0</v>
      </c>
      <c r="F404" t="n">
        <v>5.9108</v>
      </c>
      <c r="H404" t="n">
        <v>8396</v>
      </c>
      <c r="I404" t="n">
        <v>9.035500000000001</v>
      </c>
      <c r="J404" t="n">
        <v>7.68</v>
      </c>
      <c r="K404" t="n">
        <v>0</v>
      </c>
      <c r="L404" t="n">
        <v>0</v>
      </c>
      <c r="M404" t="n">
        <v>351.0001</v>
      </c>
      <c r="N404" t="n">
        <v>0</v>
      </c>
      <c r="O404" t="n">
        <v>1534594</v>
      </c>
    </row>
    <row r="405">
      <c r="B405" t="inlineStr">
        <is>
          <t>RO</t>
        </is>
      </c>
      <c r="C405" t="n">
        <v>2006</v>
      </c>
      <c r="D405" t="n">
        <v>24.83</v>
      </c>
      <c r="E405" t="n">
        <v>0.13</v>
      </c>
      <c r="F405" t="n">
        <v>5.961</v>
      </c>
      <c r="G405" t="n">
        <v>0.6931</v>
      </c>
      <c r="H405" t="n">
        <v>8389</v>
      </c>
      <c r="I405" t="n">
        <v>9.034700000000001</v>
      </c>
      <c r="J405" t="n">
        <v>7.72</v>
      </c>
      <c r="K405" t="n">
        <v>0</v>
      </c>
      <c r="L405" t="n">
        <v>0</v>
      </c>
      <c r="M405" t="n">
        <v>351.0001</v>
      </c>
      <c r="N405" t="n">
        <v>2</v>
      </c>
      <c r="O405" t="n">
        <v>1562417</v>
      </c>
    </row>
    <row r="406">
      <c r="B406" t="inlineStr">
        <is>
          <t>RO</t>
        </is>
      </c>
      <c r="C406" t="n">
        <v>2007</v>
      </c>
      <c r="D406" t="n">
        <v>22.22</v>
      </c>
      <c r="E406" t="n">
        <v>0</v>
      </c>
      <c r="F406" t="n">
        <v>5.7777</v>
      </c>
      <c r="H406" t="n">
        <v>10320</v>
      </c>
      <c r="I406" t="n">
        <v>9.2418</v>
      </c>
      <c r="J406" t="n">
        <v>8.369999999999999</v>
      </c>
      <c r="K406" t="n">
        <v>0</v>
      </c>
      <c r="L406" t="n">
        <v>0</v>
      </c>
      <c r="M406" t="n">
        <v>351.0001</v>
      </c>
      <c r="N406" t="n">
        <v>2</v>
      </c>
      <c r="O406" t="n">
        <v>1453756</v>
      </c>
    </row>
    <row r="407">
      <c r="B407" t="inlineStr">
        <is>
          <t>RO</t>
        </is>
      </c>
      <c r="C407" t="n">
        <v>2008</v>
      </c>
      <c r="D407" t="n">
        <v>18.95</v>
      </c>
      <c r="E407" t="n">
        <v>0</v>
      </c>
      <c r="F407" t="n">
        <v>5.6454</v>
      </c>
      <c r="H407" t="n">
        <v>11977</v>
      </c>
      <c r="I407" t="n">
        <v>9.390700000000001</v>
      </c>
      <c r="J407" t="n">
        <v>8.050000000000001</v>
      </c>
      <c r="K407" t="n">
        <v>0</v>
      </c>
      <c r="L407" t="n">
        <v>0</v>
      </c>
      <c r="M407" t="n">
        <v>351.0001</v>
      </c>
      <c r="N407" t="n">
        <v>2</v>
      </c>
      <c r="O407" t="n">
        <v>1493565</v>
      </c>
    </row>
    <row r="408">
      <c r="B408" t="inlineStr">
        <is>
          <t>RO</t>
        </is>
      </c>
      <c r="C408" t="n">
        <v>2009</v>
      </c>
      <c r="D408" t="n">
        <v>23.21</v>
      </c>
      <c r="E408" t="n">
        <v>0</v>
      </c>
      <c r="F408" t="n">
        <v>5.8551</v>
      </c>
      <c r="H408" t="n">
        <v>13455</v>
      </c>
      <c r="I408" t="n">
        <v>9.507099999999999</v>
      </c>
      <c r="J408" t="n">
        <v>9.119999999999999</v>
      </c>
      <c r="K408" t="n">
        <v>0</v>
      </c>
      <c r="L408" t="n">
        <v>0</v>
      </c>
      <c r="M408" t="n">
        <v>351.0001</v>
      </c>
      <c r="N408" t="n">
        <v>2</v>
      </c>
      <c r="O408" t="n">
        <v>1503928</v>
      </c>
    </row>
    <row r="409">
      <c r="B409" t="inlineStr">
        <is>
          <t>RO</t>
        </is>
      </c>
      <c r="C409" t="n">
        <v>2010</v>
      </c>
      <c r="D409" t="n">
        <v>22.27</v>
      </c>
      <c r="E409" t="n">
        <v>0.51</v>
      </c>
      <c r="F409" t="n">
        <v>5.8522</v>
      </c>
      <c r="G409" t="n">
        <v>2.0794</v>
      </c>
      <c r="H409" t="n">
        <v>15302</v>
      </c>
      <c r="I409" t="n">
        <v>9.6357</v>
      </c>
      <c r="J409" t="n">
        <v>6.66</v>
      </c>
      <c r="K409" t="n">
        <v>0</v>
      </c>
      <c r="L409" t="n">
        <v>0</v>
      </c>
      <c r="M409" t="n">
        <v>351.0001</v>
      </c>
      <c r="N409" t="n">
        <v>10</v>
      </c>
      <c r="O409" t="n">
        <v>1562409</v>
      </c>
    </row>
    <row r="410">
      <c r="B410" t="inlineStr">
        <is>
          <t>RO</t>
        </is>
      </c>
      <c r="C410" t="n">
        <v>2011</v>
      </c>
      <c r="D410" t="n">
        <v>18.08</v>
      </c>
      <c r="E410" t="n">
        <v>0.06</v>
      </c>
      <c r="F410" t="n">
        <v>5.6525</v>
      </c>
      <c r="G410" t="n">
        <v>0</v>
      </c>
      <c r="H410" t="n">
        <v>17492</v>
      </c>
      <c r="I410" t="n">
        <v>9.769500000000001</v>
      </c>
      <c r="J410" t="n">
        <v>4.21</v>
      </c>
      <c r="K410" t="n">
        <v>0</v>
      </c>
      <c r="L410" t="n">
        <v>0</v>
      </c>
      <c r="M410" t="n">
        <v>351.0001</v>
      </c>
      <c r="N410" t="n">
        <v>11</v>
      </c>
      <c r="O410" t="n">
        <v>1576455</v>
      </c>
    </row>
    <row r="411">
      <c r="B411" t="inlineStr">
        <is>
          <t>RO</t>
        </is>
      </c>
      <c r="C411" t="n">
        <v>2012</v>
      </c>
      <c r="D411" t="n">
        <v>21.26</v>
      </c>
      <c r="E411" t="n">
        <v>0.13</v>
      </c>
      <c r="F411" t="n">
        <v>5.823</v>
      </c>
      <c r="G411" t="n">
        <v>0.6931</v>
      </c>
      <c r="H411" t="n">
        <v>18939</v>
      </c>
      <c r="I411" t="n">
        <v>9.849</v>
      </c>
      <c r="J411" t="n">
        <v>6.39</v>
      </c>
      <c r="K411" t="n">
        <v>0</v>
      </c>
      <c r="L411" t="n">
        <v>0</v>
      </c>
      <c r="M411" t="n">
        <v>351.0001</v>
      </c>
      <c r="N411" t="n">
        <v>13</v>
      </c>
      <c r="O411" t="n">
        <v>1590011</v>
      </c>
    </row>
    <row r="412">
      <c r="B412" t="inlineStr">
        <is>
          <t>RO</t>
        </is>
      </c>
      <c r="C412" t="n">
        <v>2013</v>
      </c>
      <c r="D412" t="n">
        <v>17.36</v>
      </c>
      <c r="E412" t="n">
        <v>0</v>
      </c>
      <c r="F412" t="n">
        <v>5.7038</v>
      </c>
      <c r="H412" t="n">
        <v>18008</v>
      </c>
      <c r="I412" t="n">
        <v>9.7986</v>
      </c>
      <c r="J412" t="n">
        <v>6.1</v>
      </c>
      <c r="K412" t="n">
        <v>0</v>
      </c>
      <c r="L412" t="n">
        <v>0</v>
      </c>
      <c r="M412" t="n">
        <v>351.0001</v>
      </c>
      <c r="N412" t="n">
        <v>13</v>
      </c>
      <c r="O412" t="n">
        <v>1728214</v>
      </c>
    </row>
    <row r="413">
      <c r="B413" t="inlineStr">
        <is>
          <t>RO</t>
        </is>
      </c>
      <c r="C413" t="n">
        <v>2014</v>
      </c>
      <c r="D413" t="n">
        <v>22.76</v>
      </c>
      <c r="E413" t="n">
        <v>0.17</v>
      </c>
      <c r="F413" t="n">
        <v>5.9865</v>
      </c>
      <c r="G413" t="n">
        <v>1.0986</v>
      </c>
      <c r="H413" t="n">
        <v>19463</v>
      </c>
      <c r="I413" t="n">
        <v>9.876300000000001</v>
      </c>
      <c r="J413" t="n">
        <v>5.41</v>
      </c>
      <c r="K413" t="n">
        <v>0</v>
      </c>
      <c r="L413" t="n">
        <v>0</v>
      </c>
      <c r="M413" t="n">
        <v>351.0001</v>
      </c>
      <c r="N413" t="n">
        <v>16</v>
      </c>
      <c r="O413" t="n">
        <v>1748531</v>
      </c>
    </row>
    <row r="414">
      <c r="B414" t="inlineStr">
        <is>
          <t>RO</t>
        </is>
      </c>
      <c r="C414" t="n">
        <v>2015</v>
      </c>
      <c r="D414" t="n">
        <v>21.6</v>
      </c>
      <c r="E414" t="n">
        <v>0.23</v>
      </c>
      <c r="F414" t="n">
        <v>5.9454</v>
      </c>
      <c r="G414" t="n">
        <v>1.3863</v>
      </c>
      <c r="H414" t="n">
        <v>20678</v>
      </c>
      <c r="I414" t="n">
        <v>9.9368</v>
      </c>
      <c r="J414" t="n">
        <v>5.7</v>
      </c>
      <c r="K414" t="n">
        <v>0</v>
      </c>
      <c r="L414" t="n">
        <v>0</v>
      </c>
      <c r="M414" t="n">
        <v>351.0001</v>
      </c>
      <c r="N414" t="n">
        <v>20</v>
      </c>
      <c r="O414" t="n">
        <v>1768204</v>
      </c>
    </row>
    <row r="415">
      <c r="B415" t="inlineStr">
        <is>
          <t>RO</t>
        </is>
      </c>
      <c r="C415" t="n">
        <v>2016</v>
      </c>
      <c r="D415" t="n">
        <v>26.02</v>
      </c>
      <c r="E415" t="n">
        <v>4.7</v>
      </c>
      <c r="F415" t="n">
        <v>6.142</v>
      </c>
      <c r="G415" t="n">
        <v>4.4308</v>
      </c>
      <c r="H415" t="n">
        <v>22078</v>
      </c>
      <c r="I415" t="n">
        <v>10.0023</v>
      </c>
      <c r="J415" t="n">
        <v>8</v>
      </c>
      <c r="K415" t="n">
        <v>0</v>
      </c>
      <c r="L415" t="n">
        <v>0</v>
      </c>
      <c r="M415" t="n">
        <v>351.0001</v>
      </c>
      <c r="N415" t="n">
        <v>104</v>
      </c>
      <c r="O415" t="n">
        <v>1787279</v>
      </c>
    </row>
    <row r="416">
      <c r="B416" t="inlineStr">
        <is>
          <t>RO</t>
        </is>
      </c>
      <c r="C416" t="n">
        <v>2017</v>
      </c>
      <c r="D416" t="n">
        <v>20.82</v>
      </c>
      <c r="E416" t="n">
        <v>4.87</v>
      </c>
      <c r="F416" t="n">
        <v>5.9296</v>
      </c>
      <c r="G416" t="n">
        <v>4.4773</v>
      </c>
      <c r="H416" t="n">
        <v>24098</v>
      </c>
      <c r="I416" t="n">
        <v>10.0899</v>
      </c>
      <c r="J416" t="n">
        <v>8.199999999999999</v>
      </c>
      <c r="K416" t="n">
        <v>0</v>
      </c>
      <c r="L416" t="n">
        <v>0</v>
      </c>
      <c r="M416" t="n">
        <v>351.0001</v>
      </c>
      <c r="N416" t="n">
        <v>192</v>
      </c>
      <c r="O416" t="n">
        <v>1805788</v>
      </c>
    </row>
    <row r="417">
      <c r="B417" t="inlineStr">
        <is>
          <t>RO</t>
        </is>
      </c>
      <c r="C417" t="n">
        <v>2018</v>
      </c>
      <c r="D417" t="n">
        <v>17.18</v>
      </c>
      <c r="E417" t="n">
        <v>11.78</v>
      </c>
      <c r="F417" t="n">
        <v>5.7104</v>
      </c>
      <c r="G417" t="n">
        <v>5.3327</v>
      </c>
      <c r="H417" t="n">
        <v>25554</v>
      </c>
      <c r="I417" t="n">
        <v>10.1485</v>
      </c>
      <c r="J417" t="n">
        <v>9.199999999999999</v>
      </c>
      <c r="K417" t="n">
        <v>0</v>
      </c>
      <c r="L417" t="n">
        <v>0</v>
      </c>
      <c r="M417" t="n">
        <v>351.0001</v>
      </c>
      <c r="N417" t="n">
        <v>399</v>
      </c>
      <c r="O417" t="n">
        <v>1757589</v>
      </c>
    </row>
    <row r="418">
      <c r="B418" t="inlineStr">
        <is>
          <t>RO</t>
        </is>
      </c>
      <c r="C418" t="n">
        <v>2019</v>
      </c>
      <c r="D418" t="n">
        <v>14.52</v>
      </c>
      <c r="E418" t="n">
        <v>53.79</v>
      </c>
      <c r="F418" t="n">
        <v>5.553</v>
      </c>
      <c r="G418" t="n">
        <v>6.8628</v>
      </c>
      <c r="H418" t="n">
        <v>26497</v>
      </c>
      <c r="I418" t="n">
        <v>10.1848</v>
      </c>
      <c r="J418" t="n">
        <v>8.1</v>
      </c>
      <c r="K418" t="n">
        <v>0</v>
      </c>
      <c r="L418" t="n">
        <v>0</v>
      </c>
      <c r="M418" t="n">
        <v>351.0001</v>
      </c>
      <c r="N418" t="n">
        <v>1355</v>
      </c>
      <c r="O418" t="n">
        <v>1777225</v>
      </c>
    </row>
    <row r="419">
      <c r="B419" t="inlineStr">
        <is>
          <t>RO</t>
        </is>
      </c>
      <c r="C419" t="n">
        <v>2020</v>
      </c>
      <c r="D419" t="n">
        <v>14.25</v>
      </c>
      <c r="E419" t="n">
        <v>105.71</v>
      </c>
      <c r="F419" t="n">
        <v>5.5452</v>
      </c>
      <c r="G419" t="n">
        <v>7.5491</v>
      </c>
      <c r="H419" t="n">
        <v>28722</v>
      </c>
      <c r="I419" t="n">
        <v>10.2654</v>
      </c>
      <c r="J419" t="n">
        <v>10.6</v>
      </c>
      <c r="K419" t="n">
        <v>0</v>
      </c>
      <c r="L419" t="n">
        <v>1</v>
      </c>
      <c r="M419" t="n">
        <v>351.0001</v>
      </c>
      <c r="N419" t="n">
        <v>3254</v>
      </c>
      <c r="O419" t="n">
        <v>1796460</v>
      </c>
    </row>
    <row r="420">
      <c r="B420" t="inlineStr">
        <is>
          <t>RO</t>
        </is>
      </c>
      <c r="C420" t="n">
        <v>2021</v>
      </c>
      <c r="D420" t="n">
        <v>17.85</v>
      </c>
      <c r="E420" t="n">
        <v>195.18</v>
      </c>
      <c r="F420" t="n">
        <v>5.7807</v>
      </c>
      <c r="G420" t="n">
        <v>8.172700000000001</v>
      </c>
      <c r="H420" t="n">
        <v>32045</v>
      </c>
      <c r="I420" t="n">
        <v>10.3749</v>
      </c>
      <c r="J420" t="n">
        <v>8.9</v>
      </c>
      <c r="K420" t="n">
        <v>0</v>
      </c>
      <c r="L420" t="n">
        <v>1</v>
      </c>
      <c r="M420" t="n">
        <v>351.0001</v>
      </c>
      <c r="N420" t="n">
        <v>6797</v>
      </c>
      <c r="O420" t="n">
        <v>1815278</v>
      </c>
    </row>
    <row r="421">
      <c r="B421" t="inlineStr">
        <is>
          <t>RO</t>
        </is>
      </c>
      <c r="C421" t="n">
        <v>2022</v>
      </c>
      <c r="D421" t="n">
        <v>23.91</v>
      </c>
      <c r="E421" t="n">
        <v>351</v>
      </c>
      <c r="F421" t="n">
        <v>5.9349</v>
      </c>
      <c r="G421" t="n">
        <v>8.621600000000001</v>
      </c>
      <c r="H421" t="n">
        <v>42244</v>
      </c>
      <c r="I421" t="n">
        <v>10.6512</v>
      </c>
      <c r="J421" t="n">
        <v>4.9</v>
      </c>
      <c r="K421" t="n">
        <v>0</v>
      </c>
      <c r="L421" t="n">
        <v>0</v>
      </c>
      <c r="M421" t="n">
        <v>351.0001</v>
      </c>
      <c r="N421" t="n">
        <v>12347</v>
      </c>
      <c r="O421" t="n">
        <v>1581196</v>
      </c>
    </row>
    <row r="422">
      <c r="B422" t="inlineStr">
        <is>
          <t>RO</t>
        </is>
      </c>
      <c r="C422" t="n">
        <v>2023</v>
      </c>
      <c r="D422" t="n">
        <v>20.68</v>
      </c>
      <c r="E422" t="n">
        <v>0.51</v>
      </c>
      <c r="F422" t="n">
        <v>5.79</v>
      </c>
      <c r="G422" t="n">
        <v>2.0794</v>
      </c>
      <c r="H422" t="n">
        <v>48353</v>
      </c>
      <c r="I422" t="n">
        <v>10.7863</v>
      </c>
      <c r="J422" t="n">
        <v>2.9</v>
      </c>
      <c r="K422" t="n">
        <v>1</v>
      </c>
      <c r="L422" t="n">
        <v>0</v>
      </c>
      <c r="M422" t="n">
        <v>351.0001</v>
      </c>
      <c r="N422" t="n">
        <v>12355</v>
      </c>
      <c r="O422" t="n">
        <v>1581196</v>
      </c>
    </row>
    <row r="423">
      <c r="B423" t="inlineStr">
        <is>
          <t>RO</t>
        </is>
      </c>
      <c r="C423" t="n">
        <v>2024</v>
      </c>
      <c r="D423" t="n">
        <v>18.96</v>
      </c>
      <c r="E423" t="n">
        <v>21.65</v>
      </c>
      <c r="F423" t="n">
        <v>5.8021</v>
      </c>
      <c r="G423" t="n">
        <v>5.9349</v>
      </c>
      <c r="H423" t="n">
        <v>48766</v>
      </c>
      <c r="I423" t="n">
        <v>10.7948</v>
      </c>
      <c r="J423" t="n">
        <v>2.9</v>
      </c>
      <c r="K423" t="n">
        <v>1</v>
      </c>
      <c r="L423" t="n">
        <v>0</v>
      </c>
      <c r="M423" t="n">
        <v>351.0001</v>
      </c>
      <c r="N423" t="n">
        <v>12733</v>
      </c>
      <c r="O423" t="n">
        <v>1746227</v>
      </c>
    </row>
    <row r="424">
      <c r="B424" t="inlineStr">
        <is>
          <t>RR</t>
        </is>
      </c>
      <c r="C424" t="n">
        <v>2005</v>
      </c>
      <c r="D424" t="n">
        <v>7.16</v>
      </c>
      <c r="E424" t="n">
        <v>0.51</v>
      </c>
      <c r="F424" t="n">
        <v>3.3322</v>
      </c>
      <c r="G424" t="n">
        <v>0.6931</v>
      </c>
      <c r="H424" t="n">
        <v>8124</v>
      </c>
      <c r="I424" t="n">
        <v>9.002599999999999</v>
      </c>
      <c r="J424" t="n">
        <v>16.89</v>
      </c>
      <c r="K424" t="n">
        <v>0</v>
      </c>
      <c r="L424" t="n">
        <v>0</v>
      </c>
      <c r="M424" t="n">
        <v>80.8849</v>
      </c>
      <c r="N424" t="n">
        <v>2</v>
      </c>
      <c r="O424" t="n">
        <v>391317</v>
      </c>
    </row>
    <row r="425">
      <c r="B425" t="inlineStr">
        <is>
          <t>RR</t>
        </is>
      </c>
      <c r="C425" t="n">
        <v>2006</v>
      </c>
      <c r="D425" t="n">
        <v>9.42</v>
      </c>
      <c r="E425" t="n">
        <v>0</v>
      </c>
      <c r="F425" t="n">
        <v>3.6376</v>
      </c>
      <c r="H425" t="n">
        <v>9074</v>
      </c>
      <c r="I425" t="n">
        <v>9.113200000000001</v>
      </c>
      <c r="J425" t="n">
        <v>9.91</v>
      </c>
      <c r="K425" t="n">
        <v>0</v>
      </c>
      <c r="L425" t="n">
        <v>0</v>
      </c>
      <c r="M425" t="n">
        <v>80.8849</v>
      </c>
      <c r="N425" t="n">
        <v>2</v>
      </c>
      <c r="O425" t="n">
        <v>403344</v>
      </c>
    </row>
    <row r="426">
      <c r="B426" t="inlineStr">
        <is>
          <t>RR</t>
        </is>
      </c>
      <c r="C426" t="n">
        <v>2007</v>
      </c>
      <c r="D426" t="n">
        <v>7.08</v>
      </c>
      <c r="E426" t="n">
        <v>0</v>
      </c>
      <c r="F426" t="n">
        <v>3.3322</v>
      </c>
      <c r="H426" t="n">
        <v>10535</v>
      </c>
      <c r="I426" t="n">
        <v>9.262499999999999</v>
      </c>
      <c r="J426" t="n">
        <v>12.07</v>
      </c>
      <c r="K426" t="n">
        <v>0</v>
      </c>
      <c r="L426" t="n">
        <v>0</v>
      </c>
      <c r="M426" t="n">
        <v>80.8849</v>
      </c>
      <c r="N426" t="n">
        <v>2</v>
      </c>
      <c r="O426" t="n">
        <v>395725</v>
      </c>
    </row>
    <row r="427">
      <c r="B427" t="inlineStr">
        <is>
          <t>RR</t>
        </is>
      </c>
      <c r="C427" t="n">
        <v>2008</v>
      </c>
      <c r="D427" t="n">
        <v>7.03</v>
      </c>
      <c r="E427" t="n">
        <v>0</v>
      </c>
      <c r="F427" t="n">
        <v>3.3673</v>
      </c>
      <c r="H427" t="n">
        <v>11844</v>
      </c>
      <c r="I427" t="n">
        <v>9.3796</v>
      </c>
      <c r="J427" t="n">
        <v>7.35</v>
      </c>
      <c r="K427" t="n">
        <v>0</v>
      </c>
      <c r="L427" t="n">
        <v>0</v>
      </c>
      <c r="M427" t="n">
        <v>80.8849</v>
      </c>
      <c r="N427" t="n">
        <v>2</v>
      </c>
      <c r="O427" t="n">
        <v>412783</v>
      </c>
    </row>
    <row r="428">
      <c r="B428" t="inlineStr">
        <is>
          <t>RR</t>
        </is>
      </c>
      <c r="C428" t="n">
        <v>2009</v>
      </c>
      <c r="D428" t="n">
        <v>6.41</v>
      </c>
      <c r="E428" t="n">
        <v>0</v>
      </c>
      <c r="F428" t="n">
        <v>3.2958</v>
      </c>
      <c r="H428" t="n">
        <v>13269</v>
      </c>
      <c r="I428" t="n">
        <v>9.4932</v>
      </c>
      <c r="J428" t="n">
        <v>11.32</v>
      </c>
      <c r="K428" t="n">
        <v>0</v>
      </c>
      <c r="L428" t="n">
        <v>0</v>
      </c>
      <c r="M428" t="n">
        <v>80.8849</v>
      </c>
      <c r="N428" t="n">
        <v>2</v>
      </c>
      <c r="O428" t="n">
        <v>421499</v>
      </c>
    </row>
    <row r="429">
      <c r="B429" t="inlineStr">
        <is>
          <t>RR</t>
        </is>
      </c>
      <c r="C429" t="n">
        <v>2010</v>
      </c>
      <c r="D429" t="n">
        <v>6.44</v>
      </c>
      <c r="E429" t="n">
        <v>0.44</v>
      </c>
      <c r="F429" t="n">
        <v>3.3673</v>
      </c>
      <c r="G429" t="n">
        <v>0.6931</v>
      </c>
      <c r="H429" t="n">
        <v>14738</v>
      </c>
      <c r="I429" t="n">
        <v>9.5982</v>
      </c>
      <c r="J429" t="n">
        <v>10.54</v>
      </c>
      <c r="K429" t="n">
        <v>0</v>
      </c>
      <c r="L429" t="n">
        <v>0</v>
      </c>
      <c r="M429" t="n">
        <v>80.8849</v>
      </c>
      <c r="N429" t="n">
        <v>4</v>
      </c>
      <c r="O429" t="n">
        <v>450479</v>
      </c>
    </row>
    <row r="430">
      <c r="B430" t="inlineStr">
        <is>
          <t>RR</t>
        </is>
      </c>
      <c r="C430" t="n">
        <v>2011</v>
      </c>
      <c r="D430" t="n">
        <v>5.43</v>
      </c>
      <c r="E430" t="n">
        <v>0.65</v>
      </c>
      <c r="F430" t="n">
        <v>3.2189</v>
      </c>
      <c r="G430" t="n">
        <v>1.0986</v>
      </c>
      <c r="H430" t="n">
        <v>15872</v>
      </c>
      <c r="I430" t="n">
        <v>9.6723</v>
      </c>
      <c r="J430" t="n">
        <v>9.77</v>
      </c>
      <c r="K430" t="n">
        <v>0</v>
      </c>
      <c r="L430" t="n">
        <v>0</v>
      </c>
      <c r="M430" t="n">
        <v>80.8849</v>
      </c>
      <c r="N430" t="n">
        <v>7</v>
      </c>
      <c r="O430" t="n">
        <v>460165</v>
      </c>
    </row>
    <row r="431">
      <c r="B431" t="inlineStr">
        <is>
          <t>RR</t>
        </is>
      </c>
      <c r="C431" t="n">
        <v>2012</v>
      </c>
      <c r="D431" t="n">
        <v>6.82</v>
      </c>
      <c r="E431" t="n">
        <v>1.7</v>
      </c>
      <c r="F431" t="n">
        <v>3.4657</v>
      </c>
      <c r="G431" t="n">
        <v>2.0794</v>
      </c>
      <c r="H431" t="n">
        <v>16424</v>
      </c>
      <c r="I431" t="n">
        <v>9.7065</v>
      </c>
      <c r="J431" t="n">
        <v>10.18</v>
      </c>
      <c r="K431" t="n">
        <v>0</v>
      </c>
      <c r="L431" t="n">
        <v>0</v>
      </c>
      <c r="M431" t="n">
        <v>80.8849</v>
      </c>
      <c r="N431" t="n">
        <v>15</v>
      </c>
      <c r="O431" t="n">
        <v>469524</v>
      </c>
    </row>
    <row r="432">
      <c r="B432" t="inlineStr">
        <is>
          <t>RR</t>
        </is>
      </c>
      <c r="C432" t="n">
        <v>2013</v>
      </c>
      <c r="D432" t="n">
        <v>14.14</v>
      </c>
      <c r="E432" t="n">
        <v>0</v>
      </c>
      <c r="F432" t="n">
        <v>4.2341</v>
      </c>
      <c r="H432" t="n">
        <v>18462</v>
      </c>
      <c r="I432" t="n">
        <v>9.823499999999999</v>
      </c>
      <c r="J432" t="n">
        <v>7.96</v>
      </c>
      <c r="K432" t="n">
        <v>0</v>
      </c>
      <c r="L432" t="n">
        <v>0</v>
      </c>
      <c r="M432" t="n">
        <v>80.8849</v>
      </c>
      <c r="N432" t="n">
        <v>15</v>
      </c>
      <c r="O432" t="n">
        <v>488072</v>
      </c>
    </row>
    <row r="433">
      <c r="B433" t="inlineStr">
        <is>
          <t>RR</t>
        </is>
      </c>
      <c r="C433" t="n">
        <v>2014</v>
      </c>
      <c r="D433" t="n">
        <v>9.460000000000001</v>
      </c>
      <c r="E433" t="n">
        <v>0.2</v>
      </c>
      <c r="F433" t="n">
        <v>3.8501</v>
      </c>
      <c r="G433" t="n">
        <v>0</v>
      </c>
      <c r="H433" t="n">
        <v>19608</v>
      </c>
      <c r="I433" t="n">
        <v>9.883699999999999</v>
      </c>
      <c r="J433" t="n">
        <v>8.24</v>
      </c>
      <c r="K433" t="n">
        <v>0</v>
      </c>
      <c r="L433" t="n">
        <v>0</v>
      </c>
      <c r="M433" t="n">
        <v>80.8849</v>
      </c>
      <c r="N433" t="n">
        <v>16</v>
      </c>
      <c r="O433" t="n">
        <v>496936</v>
      </c>
    </row>
    <row r="434">
      <c r="B434" t="inlineStr">
        <is>
          <t>RR</t>
        </is>
      </c>
      <c r="C434" t="n">
        <v>2015</v>
      </c>
      <c r="D434" t="n">
        <v>11.67</v>
      </c>
      <c r="E434" t="n">
        <v>0.2</v>
      </c>
      <c r="F434" t="n">
        <v>4.0775</v>
      </c>
      <c r="G434" t="n">
        <v>0</v>
      </c>
      <c r="H434" t="n">
        <v>20256</v>
      </c>
      <c r="I434" t="n">
        <v>9.9162</v>
      </c>
      <c r="J434" t="n">
        <v>8.699999999999999</v>
      </c>
      <c r="K434" t="n">
        <v>0</v>
      </c>
      <c r="L434" t="n">
        <v>0</v>
      </c>
      <c r="M434" t="n">
        <v>80.8849</v>
      </c>
      <c r="N434" t="n">
        <v>17</v>
      </c>
      <c r="O434" t="n">
        <v>505665</v>
      </c>
    </row>
    <row r="435">
      <c r="B435" t="inlineStr">
        <is>
          <t>RR</t>
        </is>
      </c>
      <c r="C435" t="n">
        <v>2016</v>
      </c>
      <c r="D435" t="n">
        <v>13.61</v>
      </c>
      <c r="E435" t="n">
        <v>0</v>
      </c>
      <c r="F435" t="n">
        <v>4.2485</v>
      </c>
      <c r="H435" t="n">
        <v>21417</v>
      </c>
      <c r="I435" t="n">
        <v>9.9719</v>
      </c>
      <c r="J435" t="n">
        <v>8.9</v>
      </c>
      <c r="K435" t="n">
        <v>0</v>
      </c>
      <c r="L435" t="n">
        <v>0</v>
      </c>
      <c r="M435" t="n">
        <v>80.8849</v>
      </c>
      <c r="N435" t="n">
        <v>17</v>
      </c>
      <c r="O435" t="n">
        <v>514229</v>
      </c>
    </row>
    <row r="436">
      <c r="B436" t="inlineStr">
        <is>
          <t>RR</t>
        </is>
      </c>
      <c r="C436" t="n">
        <v>2017</v>
      </c>
      <c r="D436" t="n">
        <v>18.37</v>
      </c>
      <c r="E436" t="n">
        <v>1.34</v>
      </c>
      <c r="F436" t="n">
        <v>4.5643</v>
      </c>
      <c r="G436" t="n">
        <v>1.9459</v>
      </c>
      <c r="H436" t="n">
        <v>23161</v>
      </c>
      <c r="I436" t="n">
        <v>10.0502</v>
      </c>
      <c r="J436" t="n">
        <v>10</v>
      </c>
      <c r="K436" t="n">
        <v>0</v>
      </c>
      <c r="L436" t="n">
        <v>0</v>
      </c>
      <c r="M436" t="n">
        <v>80.8849</v>
      </c>
      <c r="N436" t="n">
        <v>24</v>
      </c>
      <c r="O436" t="n">
        <v>522636</v>
      </c>
    </row>
    <row r="437">
      <c r="B437" t="inlineStr">
        <is>
          <t>RR</t>
        </is>
      </c>
      <c r="C437" t="n">
        <v>2018</v>
      </c>
      <c r="D437" t="n">
        <v>31.57</v>
      </c>
      <c r="E437" t="n">
        <v>2.78</v>
      </c>
      <c r="F437" t="n">
        <v>5.204</v>
      </c>
      <c r="G437" t="n">
        <v>2.7726</v>
      </c>
      <c r="H437" t="n">
        <v>23189</v>
      </c>
      <c r="I437" t="n">
        <v>10.0514</v>
      </c>
      <c r="J437" t="n">
        <v>12.4</v>
      </c>
      <c r="K437" t="n">
        <v>0</v>
      </c>
      <c r="L437" t="n">
        <v>0</v>
      </c>
      <c r="M437" t="n">
        <v>80.8849</v>
      </c>
      <c r="N437" t="n">
        <v>40</v>
      </c>
      <c r="O437" t="n">
        <v>576568</v>
      </c>
    </row>
    <row r="438">
      <c r="B438" t="inlineStr">
        <is>
          <t>RR</t>
        </is>
      </c>
      <c r="C438" t="n">
        <v>2019</v>
      </c>
      <c r="D438" t="n">
        <v>13.7</v>
      </c>
      <c r="E438" t="n">
        <v>10.4</v>
      </c>
      <c r="F438" t="n">
        <v>4.4188</v>
      </c>
      <c r="G438" t="n">
        <v>4.1431</v>
      </c>
      <c r="H438" t="n">
        <v>23594</v>
      </c>
      <c r="I438" t="n">
        <v>10.0687</v>
      </c>
      <c r="J438" t="n">
        <v>15.1</v>
      </c>
      <c r="K438" t="n">
        <v>0</v>
      </c>
      <c r="L438" t="n">
        <v>0</v>
      </c>
      <c r="M438" t="n">
        <v>80.8849</v>
      </c>
      <c r="N438" t="n">
        <v>103</v>
      </c>
      <c r="O438" t="n">
        <v>605761</v>
      </c>
    </row>
    <row r="439">
      <c r="B439" t="inlineStr">
        <is>
          <t>RR</t>
        </is>
      </c>
      <c r="C439" t="n">
        <v>2020</v>
      </c>
      <c r="D439" t="n">
        <v>16</v>
      </c>
      <c r="E439" t="n">
        <v>16.48</v>
      </c>
      <c r="F439" t="n">
        <v>4.6151</v>
      </c>
      <c r="G439" t="n">
        <v>4.6444</v>
      </c>
      <c r="H439" t="n">
        <v>25388</v>
      </c>
      <c r="I439" t="n">
        <v>10.142</v>
      </c>
      <c r="J439" t="n">
        <v>16.8</v>
      </c>
      <c r="K439" t="n">
        <v>0</v>
      </c>
      <c r="L439" t="n">
        <v>1</v>
      </c>
      <c r="M439" t="n">
        <v>80.8849</v>
      </c>
      <c r="N439" t="n">
        <v>207</v>
      </c>
      <c r="O439" t="n">
        <v>631181</v>
      </c>
    </row>
    <row r="440">
      <c r="B440" t="inlineStr">
        <is>
          <t>RR</t>
        </is>
      </c>
      <c r="C440" t="n">
        <v>2021</v>
      </c>
      <c r="D440" t="n">
        <v>16.09</v>
      </c>
      <c r="E440" t="n">
        <v>36.92</v>
      </c>
      <c r="F440" t="n">
        <v>4.654</v>
      </c>
      <c r="G440" t="n">
        <v>5.4848</v>
      </c>
      <c r="H440" t="n">
        <v>27888</v>
      </c>
      <c r="I440" t="n">
        <v>10.236</v>
      </c>
      <c r="J440" t="n">
        <v>12.1</v>
      </c>
      <c r="K440" t="n">
        <v>0</v>
      </c>
      <c r="L440" t="n">
        <v>1</v>
      </c>
      <c r="M440" t="n">
        <v>80.8849</v>
      </c>
      <c r="N440" t="n">
        <v>448</v>
      </c>
      <c r="O440" t="n">
        <v>652713</v>
      </c>
    </row>
    <row r="441">
      <c r="B441" t="inlineStr">
        <is>
          <t>RR</t>
        </is>
      </c>
      <c r="C441" t="n">
        <v>2022</v>
      </c>
      <c r="D441" t="n">
        <v>16.18</v>
      </c>
      <c r="E441" t="n">
        <v>80.88</v>
      </c>
      <c r="F441" t="n">
        <v>4.6347</v>
      </c>
      <c r="G441" t="n">
        <v>6.2442</v>
      </c>
      <c r="H441" t="n">
        <v>33132</v>
      </c>
      <c r="I441" t="n">
        <v>10.4083</v>
      </c>
      <c r="J441" t="n">
        <v>6.1</v>
      </c>
      <c r="K441" t="n">
        <v>0</v>
      </c>
      <c r="L441" t="n">
        <v>0</v>
      </c>
      <c r="M441" t="n">
        <v>80.8849</v>
      </c>
      <c r="N441" t="n">
        <v>963</v>
      </c>
      <c r="O441" t="n">
        <v>636707</v>
      </c>
    </row>
    <row r="442">
      <c r="B442" t="inlineStr">
        <is>
          <t>RR</t>
        </is>
      </c>
      <c r="C442" t="n">
        <v>2023</v>
      </c>
      <c r="D442" t="n">
        <v>16.49</v>
      </c>
      <c r="E442" t="n">
        <v>0.9399999999999999</v>
      </c>
      <c r="F442" t="n">
        <v>4.654</v>
      </c>
      <c r="G442" t="n">
        <v>1.7918</v>
      </c>
      <c r="H442" t="n">
        <v>39461</v>
      </c>
      <c r="I442" t="n">
        <v>10.5831</v>
      </c>
      <c r="J442" t="n">
        <v>6.7</v>
      </c>
      <c r="K442" t="n">
        <v>1</v>
      </c>
      <c r="L442" t="n">
        <v>0</v>
      </c>
      <c r="M442" t="n">
        <v>80.8849</v>
      </c>
      <c r="N442" t="n">
        <v>969</v>
      </c>
      <c r="O442" t="n">
        <v>636707</v>
      </c>
    </row>
    <row r="443">
      <c r="B443" t="inlineStr">
        <is>
          <t>RR</t>
        </is>
      </c>
      <c r="C443" t="n">
        <v>2024</v>
      </c>
      <c r="D443" t="n">
        <v>9.630000000000001</v>
      </c>
      <c r="E443" t="n">
        <v>7.81</v>
      </c>
      <c r="F443" t="n">
        <v>4.2341</v>
      </c>
      <c r="G443" t="n">
        <v>4.0254</v>
      </c>
      <c r="H443" t="n">
        <v>39946</v>
      </c>
      <c r="I443" t="n">
        <v>10.5953</v>
      </c>
      <c r="J443" t="n">
        <v>6.8</v>
      </c>
      <c r="K443" t="n">
        <v>1</v>
      </c>
      <c r="L443" t="n">
        <v>0</v>
      </c>
      <c r="M443" t="n">
        <v>80.8849</v>
      </c>
      <c r="N443" t="n">
        <v>1025</v>
      </c>
      <c r="O443" t="n">
        <v>716793</v>
      </c>
    </row>
    <row r="444">
      <c r="B444" t="inlineStr">
        <is>
          <t>RS</t>
        </is>
      </c>
      <c r="C444" t="n">
        <v>2005</v>
      </c>
      <c r="D444" t="n">
        <v>13.56</v>
      </c>
      <c r="E444" t="n">
        <v>1.38</v>
      </c>
      <c r="F444" t="n">
        <v>7.2937</v>
      </c>
      <c r="G444" t="n">
        <v>5.0106</v>
      </c>
      <c r="H444" t="n">
        <v>13298</v>
      </c>
      <c r="I444" t="n">
        <v>9.4954</v>
      </c>
      <c r="J444" t="n">
        <v>7.21</v>
      </c>
      <c r="K444" t="n">
        <v>0</v>
      </c>
      <c r="L444" t="n">
        <v>0</v>
      </c>
      <c r="M444" t="n">
        <v>273.3079</v>
      </c>
      <c r="N444" t="n">
        <v>150</v>
      </c>
      <c r="O444" t="n">
        <v>10845087</v>
      </c>
    </row>
    <row r="445">
      <c r="B445" t="inlineStr">
        <is>
          <t>RS</t>
        </is>
      </c>
      <c r="C445" t="n">
        <v>2006</v>
      </c>
      <c r="D445" t="n">
        <v>12.94</v>
      </c>
      <c r="E445" t="n">
        <v>10.8</v>
      </c>
      <c r="F445" t="n">
        <v>7.2577</v>
      </c>
      <c r="G445" t="n">
        <v>7.0767</v>
      </c>
      <c r="H445" t="n">
        <v>14305</v>
      </c>
      <c r="I445" t="n">
        <v>9.5684</v>
      </c>
      <c r="J445" t="n">
        <v>6.92</v>
      </c>
      <c r="K445" t="n">
        <v>0</v>
      </c>
      <c r="L445" t="n">
        <v>0</v>
      </c>
      <c r="M445" t="n">
        <v>273.3079</v>
      </c>
      <c r="N445" t="n">
        <v>1334</v>
      </c>
      <c r="O445" t="n">
        <v>10963219</v>
      </c>
    </row>
    <row r="446">
      <c r="B446" t="inlineStr">
        <is>
          <t>RS</t>
        </is>
      </c>
      <c r="C446" t="n">
        <v>2007</v>
      </c>
      <c r="D446" t="n">
        <v>15.64</v>
      </c>
      <c r="E446" t="n">
        <v>3.62</v>
      </c>
      <c r="F446" t="n">
        <v>7.4116</v>
      </c>
      <c r="G446" t="n">
        <v>5.948</v>
      </c>
      <c r="H446" t="n">
        <v>16689</v>
      </c>
      <c r="I446" t="n">
        <v>9.7225</v>
      </c>
      <c r="J446" t="n">
        <v>7.33</v>
      </c>
      <c r="K446" t="n">
        <v>0</v>
      </c>
      <c r="L446" t="n">
        <v>0</v>
      </c>
      <c r="M446" t="n">
        <v>273.3079</v>
      </c>
      <c r="N446" t="n">
        <v>1717</v>
      </c>
      <c r="O446" t="n">
        <v>10582887</v>
      </c>
    </row>
    <row r="447">
      <c r="B447" t="inlineStr">
        <is>
          <t>RS</t>
        </is>
      </c>
      <c r="C447" t="n">
        <v>2008</v>
      </c>
      <c r="D447" t="n">
        <v>16.54</v>
      </c>
      <c r="E447" t="n">
        <v>2.93</v>
      </c>
      <c r="F447" t="n">
        <v>7.4928</v>
      </c>
      <c r="G447" t="n">
        <v>5.7621</v>
      </c>
      <c r="H447" t="n">
        <v>18378</v>
      </c>
      <c r="I447" t="n">
        <v>9.818899999999999</v>
      </c>
      <c r="J447" t="n">
        <v>6.08</v>
      </c>
      <c r="K447" t="n">
        <v>0</v>
      </c>
      <c r="L447" t="n">
        <v>0</v>
      </c>
      <c r="M447" t="n">
        <v>273.3079</v>
      </c>
      <c r="N447" t="n">
        <v>2035</v>
      </c>
      <c r="O447" t="n">
        <v>10855228</v>
      </c>
    </row>
    <row r="448">
      <c r="B448" t="inlineStr">
        <is>
          <t>RS</t>
        </is>
      </c>
      <c r="C448" t="n">
        <v>2009</v>
      </c>
      <c r="D448" t="n">
        <v>15.04</v>
      </c>
      <c r="E448" t="n">
        <v>4.37</v>
      </c>
      <c r="F448" t="n">
        <v>7.4031</v>
      </c>
      <c r="G448" t="n">
        <v>6.1675</v>
      </c>
      <c r="H448" t="n">
        <v>19778</v>
      </c>
      <c r="I448" t="n">
        <v>9.892300000000001</v>
      </c>
      <c r="J448" t="n">
        <v>6.69</v>
      </c>
      <c r="K448" t="n">
        <v>0</v>
      </c>
      <c r="L448" t="n">
        <v>0</v>
      </c>
      <c r="M448" t="n">
        <v>273.3079</v>
      </c>
      <c r="N448" t="n">
        <v>2512</v>
      </c>
      <c r="O448" t="n">
        <v>10914128</v>
      </c>
    </row>
    <row r="449">
      <c r="B449" t="inlineStr">
        <is>
          <t>RS</t>
        </is>
      </c>
      <c r="C449" t="n">
        <v>2010</v>
      </c>
      <c r="D449" t="n">
        <v>13.98</v>
      </c>
      <c r="E449" t="n">
        <v>3.4</v>
      </c>
      <c r="F449" t="n">
        <v>7.3099</v>
      </c>
      <c r="G449" t="n">
        <v>5.8972</v>
      </c>
      <c r="H449" t="n">
        <v>22559</v>
      </c>
      <c r="I449" t="n">
        <v>10.0239</v>
      </c>
      <c r="J449" t="n">
        <v>5.85</v>
      </c>
      <c r="K449" t="n">
        <v>0</v>
      </c>
      <c r="L449" t="n">
        <v>0</v>
      </c>
      <c r="M449" t="n">
        <v>273.3079</v>
      </c>
      <c r="N449" t="n">
        <v>2876</v>
      </c>
      <c r="O449" t="n">
        <v>10693929</v>
      </c>
    </row>
    <row r="450">
      <c r="B450" t="inlineStr">
        <is>
          <t>RS</t>
        </is>
      </c>
      <c r="C450" t="n">
        <v>2011</v>
      </c>
      <c r="D450" t="n">
        <v>14.25</v>
      </c>
      <c r="E450" t="n">
        <v>8.529999999999999</v>
      </c>
      <c r="F450" t="n">
        <v>7.3324</v>
      </c>
      <c r="G450" t="n">
        <v>6.8189</v>
      </c>
      <c r="H450" t="n">
        <v>24695</v>
      </c>
      <c r="I450" t="n">
        <v>10.1144</v>
      </c>
      <c r="J450" t="n">
        <v>5.01</v>
      </c>
      <c r="K450" t="n">
        <v>0</v>
      </c>
      <c r="L450" t="n">
        <v>0</v>
      </c>
      <c r="M450" t="n">
        <v>273.3079</v>
      </c>
      <c r="N450" t="n">
        <v>3791</v>
      </c>
      <c r="O450" t="n">
        <v>10733030</v>
      </c>
    </row>
    <row r="451">
      <c r="B451" t="inlineStr">
        <is>
          <t>RS</t>
        </is>
      </c>
      <c r="C451" t="n">
        <v>2012</v>
      </c>
      <c r="D451" t="n">
        <v>16.13</v>
      </c>
      <c r="E451" t="n">
        <v>4.53</v>
      </c>
      <c r="F451" t="n">
        <v>7.4599</v>
      </c>
      <c r="G451" t="n">
        <v>6.1903</v>
      </c>
      <c r="H451" t="n">
        <v>26707</v>
      </c>
      <c r="I451" t="n">
        <v>10.1927</v>
      </c>
      <c r="J451" t="n">
        <v>4.96</v>
      </c>
      <c r="K451" t="n">
        <v>0</v>
      </c>
      <c r="L451" t="n">
        <v>0</v>
      </c>
      <c r="M451" t="n">
        <v>273.3079</v>
      </c>
      <c r="N451" t="n">
        <v>4279</v>
      </c>
      <c r="O451" t="n">
        <v>10768025</v>
      </c>
    </row>
    <row r="452">
      <c r="B452" t="inlineStr">
        <is>
          <t>RS</t>
        </is>
      </c>
      <c r="C452" t="n">
        <v>2013</v>
      </c>
      <c r="D452" t="n">
        <v>15.33</v>
      </c>
      <c r="E452" t="n">
        <v>1.87</v>
      </c>
      <c r="F452" t="n">
        <v>7.4448</v>
      </c>
      <c r="G452" t="n">
        <v>5.3423</v>
      </c>
      <c r="H452" t="n">
        <v>29765</v>
      </c>
      <c r="I452" t="n">
        <v>10.3011</v>
      </c>
      <c r="J452" t="n">
        <v>4.82</v>
      </c>
      <c r="K452" t="n">
        <v>0</v>
      </c>
      <c r="L452" t="n">
        <v>0</v>
      </c>
      <c r="M452" t="n">
        <v>273.3079</v>
      </c>
      <c r="N452" t="n">
        <v>4488</v>
      </c>
      <c r="O452" t="n">
        <v>11164043</v>
      </c>
    </row>
    <row r="453">
      <c r="B453" t="inlineStr">
        <is>
          <t>RS</t>
        </is>
      </c>
      <c r="C453" t="n">
        <v>2014</v>
      </c>
      <c r="D453" t="n">
        <v>18.31</v>
      </c>
      <c r="E453" t="n">
        <v>1.86</v>
      </c>
      <c r="F453" t="n">
        <v>7.6266</v>
      </c>
      <c r="G453" t="n">
        <v>5.3375</v>
      </c>
      <c r="H453" t="n">
        <v>31927</v>
      </c>
      <c r="I453" t="n">
        <v>10.3712</v>
      </c>
      <c r="J453" t="n">
        <v>5</v>
      </c>
      <c r="K453" t="n">
        <v>0</v>
      </c>
      <c r="L453" t="n">
        <v>0</v>
      </c>
      <c r="M453" t="n">
        <v>273.3079</v>
      </c>
      <c r="N453" t="n">
        <v>4696</v>
      </c>
      <c r="O453" t="n">
        <v>11207274</v>
      </c>
    </row>
    <row r="454">
      <c r="B454" t="inlineStr">
        <is>
          <t>RS</t>
        </is>
      </c>
      <c r="C454" t="n">
        <v>2015</v>
      </c>
      <c r="D454" t="n">
        <v>20.28</v>
      </c>
      <c r="E454" t="n">
        <v>4.23</v>
      </c>
      <c r="F454" t="n">
        <v>7.7324</v>
      </c>
      <c r="G454" t="n">
        <v>6.1654</v>
      </c>
      <c r="H454" t="n">
        <v>33961</v>
      </c>
      <c r="I454" t="n">
        <v>10.433</v>
      </c>
      <c r="J454" t="n">
        <v>6.4</v>
      </c>
      <c r="K454" t="n">
        <v>0</v>
      </c>
      <c r="L454" t="n">
        <v>0</v>
      </c>
      <c r="M454" t="n">
        <v>273.3079</v>
      </c>
      <c r="N454" t="n">
        <v>5172</v>
      </c>
      <c r="O454" t="n">
        <v>11247972</v>
      </c>
    </row>
    <row r="455">
      <c r="B455" t="inlineStr">
        <is>
          <t>RS</t>
        </is>
      </c>
      <c r="C455" t="n">
        <v>2016</v>
      </c>
      <c r="D455" t="n">
        <v>22.2</v>
      </c>
      <c r="E455" t="n">
        <v>7.65</v>
      </c>
      <c r="F455" t="n">
        <v>7.8264</v>
      </c>
      <c r="G455" t="n">
        <v>6.7604</v>
      </c>
      <c r="H455" t="n">
        <v>36219</v>
      </c>
      <c r="I455" t="n">
        <v>10.4973</v>
      </c>
      <c r="J455" t="n">
        <v>8.300000000000001</v>
      </c>
      <c r="K455" t="n">
        <v>0</v>
      </c>
      <c r="L455" t="n">
        <v>0</v>
      </c>
      <c r="M455" t="n">
        <v>273.3079</v>
      </c>
      <c r="N455" t="n">
        <v>6035</v>
      </c>
      <c r="O455" t="n">
        <v>11286500</v>
      </c>
    </row>
    <row r="456">
      <c r="B456" t="inlineStr">
        <is>
          <t>RS</t>
        </is>
      </c>
      <c r="C456" t="n">
        <v>2017</v>
      </c>
      <c r="D456" t="n">
        <v>22.8</v>
      </c>
      <c r="E456" t="n">
        <v>12.89</v>
      </c>
      <c r="F456" t="n">
        <v>7.8563</v>
      </c>
      <c r="G456" t="n">
        <v>7.2862</v>
      </c>
      <c r="H456" t="n">
        <v>37382</v>
      </c>
      <c r="I456" t="n">
        <v>10.5289</v>
      </c>
      <c r="J456" t="n">
        <v>8.5</v>
      </c>
      <c r="K456" t="n">
        <v>0</v>
      </c>
      <c r="L456" t="n">
        <v>0</v>
      </c>
      <c r="M456" t="n">
        <v>273.3079</v>
      </c>
      <c r="N456" t="n">
        <v>7495</v>
      </c>
      <c r="O456" t="n">
        <v>11322895</v>
      </c>
    </row>
    <row r="457">
      <c r="B457" t="inlineStr">
        <is>
          <t>RS</t>
        </is>
      </c>
      <c r="C457" t="n">
        <v>2018</v>
      </c>
      <c r="D457" t="n">
        <v>18.26</v>
      </c>
      <c r="E457" t="n">
        <v>18.17</v>
      </c>
      <c r="F457" t="n">
        <v>7.6348</v>
      </c>
      <c r="G457" t="n">
        <v>7.63</v>
      </c>
      <c r="H457" t="n">
        <v>40363</v>
      </c>
      <c r="I457" t="n">
        <v>10.6057</v>
      </c>
      <c r="J457" t="n">
        <v>8.199999999999999</v>
      </c>
      <c r="K457" t="n">
        <v>0</v>
      </c>
      <c r="L457" t="n">
        <v>0</v>
      </c>
      <c r="M457" t="n">
        <v>273.3079</v>
      </c>
      <c r="N457" t="n">
        <v>9554</v>
      </c>
      <c r="O457" t="n">
        <v>11329605</v>
      </c>
    </row>
    <row r="458">
      <c r="B458" t="inlineStr">
        <is>
          <t>RS</t>
        </is>
      </c>
      <c r="C458" t="n">
        <v>2019</v>
      </c>
      <c r="D458" t="n">
        <v>14.05</v>
      </c>
      <c r="E458" t="n">
        <v>96.31</v>
      </c>
      <c r="F458" t="n">
        <v>7.3771</v>
      </c>
      <c r="G458" t="n">
        <v>9.3017</v>
      </c>
      <c r="H458" t="n">
        <v>42406</v>
      </c>
      <c r="I458" t="n">
        <v>10.655</v>
      </c>
      <c r="J458" t="n">
        <v>8.199999999999999</v>
      </c>
      <c r="K458" t="n">
        <v>0</v>
      </c>
      <c r="L458" t="n">
        <v>0</v>
      </c>
      <c r="M458" t="n">
        <v>273.3079</v>
      </c>
      <c r="N458" t="n">
        <v>20511</v>
      </c>
      <c r="O458" t="n">
        <v>11377239</v>
      </c>
    </row>
    <row r="459">
      <c r="B459" t="inlineStr">
        <is>
          <t>RS</t>
        </is>
      </c>
      <c r="C459" t="n">
        <v>2020</v>
      </c>
      <c r="D459" t="n">
        <v>13.46</v>
      </c>
      <c r="E459" t="n">
        <v>138.97</v>
      </c>
      <c r="F459" t="n">
        <v>7.3376</v>
      </c>
      <c r="G459" t="n">
        <v>9.672499999999999</v>
      </c>
      <c r="H459" t="n">
        <v>41228</v>
      </c>
      <c r="I459" t="n">
        <v>10.6269</v>
      </c>
      <c r="J459" t="n">
        <v>9.300000000000001</v>
      </c>
      <c r="K459" t="n">
        <v>0</v>
      </c>
      <c r="L459" t="n">
        <v>1</v>
      </c>
      <c r="M459" t="n">
        <v>273.3079</v>
      </c>
      <c r="N459" t="n">
        <v>36386</v>
      </c>
      <c r="O459" t="n">
        <v>11422973</v>
      </c>
    </row>
    <row r="460">
      <c r="B460" t="inlineStr">
        <is>
          <t>RS</t>
        </is>
      </c>
      <c r="C460" t="n">
        <v>2021</v>
      </c>
      <c r="D460" t="n">
        <v>12.02</v>
      </c>
      <c r="E460" t="n">
        <v>215.13</v>
      </c>
      <c r="F460" t="n">
        <v>7.2284</v>
      </c>
      <c r="G460" t="n">
        <v>10.1133</v>
      </c>
      <c r="H460" t="n">
        <v>50694</v>
      </c>
      <c r="I460" t="n">
        <v>10.8336</v>
      </c>
      <c r="J460" t="n">
        <v>8.699999999999999</v>
      </c>
      <c r="K460" t="n">
        <v>0</v>
      </c>
      <c r="L460" t="n">
        <v>1</v>
      </c>
      <c r="M460" t="n">
        <v>273.3079</v>
      </c>
      <c r="N460" t="n">
        <v>61054</v>
      </c>
      <c r="O460" t="n">
        <v>11466630</v>
      </c>
    </row>
    <row r="461">
      <c r="B461" t="inlineStr">
        <is>
          <t>RS</t>
        </is>
      </c>
      <c r="C461" t="n">
        <v>2022</v>
      </c>
      <c r="D461" t="n">
        <v>13.58</v>
      </c>
      <c r="E461" t="n">
        <v>273.31</v>
      </c>
      <c r="F461" t="n">
        <v>7.2984</v>
      </c>
      <c r="G461" t="n">
        <v>10.3004</v>
      </c>
      <c r="H461" t="n">
        <v>54547</v>
      </c>
      <c r="I461" t="n">
        <v>10.9068</v>
      </c>
      <c r="J461" t="n">
        <v>6.1</v>
      </c>
      <c r="K461" t="n">
        <v>0</v>
      </c>
      <c r="L461" t="n">
        <v>0</v>
      </c>
      <c r="M461" t="n">
        <v>273.3079</v>
      </c>
      <c r="N461" t="n">
        <v>90798</v>
      </c>
      <c r="O461" t="n">
        <v>10882965</v>
      </c>
    </row>
    <row r="462">
      <c r="B462" t="inlineStr">
        <is>
          <t>RS</t>
        </is>
      </c>
      <c r="C462" t="n">
        <v>2023</v>
      </c>
      <c r="D462" t="n">
        <v>12.93</v>
      </c>
      <c r="E462" t="n">
        <v>1.38</v>
      </c>
      <c r="F462" t="n">
        <v>7.2492</v>
      </c>
      <c r="G462" t="n">
        <v>5.0106</v>
      </c>
      <c r="H462" t="n">
        <v>59736</v>
      </c>
      <c r="I462" t="n">
        <v>10.9977</v>
      </c>
      <c r="J462" t="n">
        <v>5.3</v>
      </c>
      <c r="K462" t="n">
        <v>1</v>
      </c>
      <c r="L462" t="n">
        <v>0</v>
      </c>
      <c r="M462" t="n">
        <v>273.3079</v>
      </c>
      <c r="N462" t="n">
        <v>90948</v>
      </c>
      <c r="O462" t="n">
        <v>10882965</v>
      </c>
    </row>
    <row r="463">
      <c r="B463" t="inlineStr">
        <is>
          <t>RS</t>
        </is>
      </c>
      <c r="C463" t="n">
        <v>2024</v>
      </c>
      <c r="D463" t="n">
        <v>10.93</v>
      </c>
      <c r="E463" t="n">
        <v>47.75</v>
      </c>
      <c r="F463" t="n">
        <v>7.1123</v>
      </c>
      <c r="G463" t="n">
        <v>8.5871</v>
      </c>
      <c r="H463" t="n">
        <v>61199</v>
      </c>
      <c r="I463" t="n">
        <v>11.0219</v>
      </c>
      <c r="J463" t="n">
        <v>5.1</v>
      </c>
      <c r="K463" t="n">
        <v>1</v>
      </c>
      <c r="L463" t="n">
        <v>0</v>
      </c>
      <c r="M463" t="n">
        <v>273.3079</v>
      </c>
      <c r="N463" t="n">
        <v>96310</v>
      </c>
      <c r="O463" t="n">
        <v>11229915</v>
      </c>
    </row>
    <row r="464">
      <c r="B464" t="inlineStr">
        <is>
          <t>SC</t>
        </is>
      </c>
      <c r="C464" t="n">
        <v>2005</v>
      </c>
      <c r="D464" t="n">
        <v>6.58</v>
      </c>
      <c r="E464" t="n">
        <v>1.35</v>
      </c>
      <c r="F464" t="n">
        <v>5.9558</v>
      </c>
      <c r="G464" t="n">
        <v>4.3694</v>
      </c>
      <c r="H464" t="n">
        <v>14543</v>
      </c>
      <c r="I464" t="n">
        <v>9.584899999999999</v>
      </c>
      <c r="J464" t="n">
        <v>4.91</v>
      </c>
      <c r="K464" t="n">
        <v>0</v>
      </c>
      <c r="L464" t="n">
        <v>0</v>
      </c>
      <c r="M464" t="n">
        <v>371.165</v>
      </c>
      <c r="N464" t="n">
        <v>79</v>
      </c>
      <c r="O464" t="n">
        <v>5866568</v>
      </c>
    </row>
    <row r="465">
      <c r="B465" t="inlineStr">
        <is>
          <t>SC</t>
        </is>
      </c>
      <c r="C465" t="n">
        <v>2006</v>
      </c>
      <c r="D465" t="n">
        <v>6.39</v>
      </c>
      <c r="E465" t="n">
        <v>0.89</v>
      </c>
      <c r="F465" t="n">
        <v>5.9428</v>
      </c>
      <c r="G465" t="n">
        <v>3.9703</v>
      </c>
      <c r="H465" t="n">
        <v>15633</v>
      </c>
      <c r="I465" t="n">
        <v>9.6571</v>
      </c>
      <c r="J465" t="n">
        <v>5.16</v>
      </c>
      <c r="K465" t="n">
        <v>0</v>
      </c>
      <c r="L465" t="n">
        <v>0</v>
      </c>
      <c r="M465" t="n">
        <v>371.165</v>
      </c>
      <c r="N465" t="n">
        <v>132</v>
      </c>
      <c r="O465" t="n">
        <v>5958266</v>
      </c>
    </row>
    <row r="466">
      <c r="B466" t="inlineStr">
        <is>
          <t>SC</t>
        </is>
      </c>
      <c r="C466" t="n">
        <v>2007</v>
      </c>
      <c r="D466" t="n">
        <v>6.44</v>
      </c>
      <c r="E466" t="n">
        <v>0.68</v>
      </c>
      <c r="F466" t="n">
        <v>5.9349</v>
      </c>
      <c r="G466" t="n">
        <v>3.6889</v>
      </c>
      <c r="H466" t="n">
        <v>17834</v>
      </c>
      <c r="I466" t="n">
        <v>9.7889</v>
      </c>
      <c r="J466" t="n">
        <v>5.2</v>
      </c>
      <c r="K466" t="n">
        <v>0</v>
      </c>
      <c r="L466" t="n">
        <v>0</v>
      </c>
      <c r="M466" t="n">
        <v>371.165</v>
      </c>
      <c r="N466" t="n">
        <v>172</v>
      </c>
      <c r="O466" t="n">
        <v>5866487</v>
      </c>
    </row>
    <row r="467">
      <c r="B467" t="inlineStr">
        <is>
          <t>SC</t>
        </is>
      </c>
      <c r="C467" t="n">
        <v>2008</v>
      </c>
      <c r="D467" t="n">
        <v>8.24</v>
      </c>
      <c r="E467" t="n">
        <v>1.14</v>
      </c>
      <c r="F467" t="n">
        <v>6.2126</v>
      </c>
      <c r="G467" t="n">
        <v>4.2341</v>
      </c>
      <c r="H467" t="n">
        <v>20368</v>
      </c>
      <c r="I467" t="n">
        <v>9.9217</v>
      </c>
      <c r="J467" t="n">
        <v>4.75</v>
      </c>
      <c r="K467" t="n">
        <v>0</v>
      </c>
      <c r="L467" t="n">
        <v>0</v>
      </c>
      <c r="M467" t="n">
        <v>371.165</v>
      </c>
      <c r="N467" t="n">
        <v>241</v>
      </c>
      <c r="O467" t="n">
        <v>6052587</v>
      </c>
    </row>
    <row r="468">
      <c r="B468" t="inlineStr">
        <is>
          <t>SC</t>
        </is>
      </c>
      <c r="C468" t="n">
        <v>2009</v>
      </c>
      <c r="D468" t="n">
        <v>8.25</v>
      </c>
      <c r="E468" t="n">
        <v>2.47</v>
      </c>
      <c r="F468" t="n">
        <v>6.2246</v>
      </c>
      <c r="G468" t="n">
        <v>5.0173</v>
      </c>
      <c r="H468" t="n">
        <v>21214</v>
      </c>
      <c r="I468" t="n">
        <v>9.962400000000001</v>
      </c>
      <c r="J468" t="n">
        <v>5.65</v>
      </c>
      <c r="K468" t="n">
        <v>0</v>
      </c>
      <c r="L468" t="n">
        <v>0</v>
      </c>
      <c r="M468" t="n">
        <v>371.165</v>
      </c>
      <c r="N468" t="n">
        <v>392</v>
      </c>
      <c r="O468" t="n">
        <v>6118743</v>
      </c>
    </row>
    <row r="469">
      <c r="B469" t="inlineStr">
        <is>
          <t>SC</t>
        </is>
      </c>
      <c r="C469" t="n">
        <v>2010</v>
      </c>
      <c r="D469" t="n">
        <v>7.63</v>
      </c>
      <c r="E469" t="n">
        <v>1.95</v>
      </c>
      <c r="F469" t="n">
        <v>6.1675</v>
      </c>
      <c r="G469" t="n">
        <v>4.804</v>
      </c>
      <c r="H469" t="n">
        <v>24602</v>
      </c>
      <c r="I469" t="n">
        <v>10.1106</v>
      </c>
      <c r="J469" t="n">
        <v>4.63</v>
      </c>
      <c r="K469" t="n">
        <v>0</v>
      </c>
      <c r="L469" t="n">
        <v>0</v>
      </c>
      <c r="M469" t="n">
        <v>371.165</v>
      </c>
      <c r="N469" t="n">
        <v>514</v>
      </c>
      <c r="O469" t="n">
        <v>6248436</v>
      </c>
    </row>
    <row r="470">
      <c r="B470" t="inlineStr">
        <is>
          <t>SC</t>
        </is>
      </c>
      <c r="C470" t="n">
        <v>2011</v>
      </c>
      <c r="D470" t="n">
        <v>7.61</v>
      </c>
      <c r="E470" t="n">
        <v>3.09</v>
      </c>
      <c r="F470" t="n">
        <v>6.1759</v>
      </c>
      <c r="G470" t="n">
        <v>5.273</v>
      </c>
      <c r="H470" t="n">
        <v>27555</v>
      </c>
      <c r="I470" t="n">
        <v>10.2239</v>
      </c>
      <c r="J470" t="n">
        <v>3.61</v>
      </c>
      <c r="K470" t="n">
        <v>0</v>
      </c>
      <c r="L470" t="n">
        <v>0</v>
      </c>
      <c r="M470" t="n">
        <v>371.165</v>
      </c>
      <c r="N470" t="n">
        <v>709</v>
      </c>
      <c r="O470" t="n">
        <v>6317054</v>
      </c>
    </row>
    <row r="471">
      <c r="B471" t="inlineStr">
        <is>
          <t>SC</t>
        </is>
      </c>
      <c r="C471" t="n">
        <v>2012</v>
      </c>
      <c r="D471" t="n">
        <v>7.78</v>
      </c>
      <c r="E471" t="n">
        <v>2.45</v>
      </c>
      <c r="F471" t="n">
        <v>6.2046</v>
      </c>
      <c r="G471" t="n">
        <v>5.0499</v>
      </c>
      <c r="H471" t="n">
        <v>30143</v>
      </c>
      <c r="I471" t="n">
        <v>10.3137</v>
      </c>
      <c r="J471" t="n">
        <v>3.14</v>
      </c>
      <c r="K471" t="n">
        <v>0</v>
      </c>
      <c r="L471" t="n">
        <v>0</v>
      </c>
      <c r="M471" t="n">
        <v>371.165</v>
      </c>
      <c r="N471" t="n">
        <v>865</v>
      </c>
      <c r="O471" t="n">
        <v>6362734</v>
      </c>
    </row>
    <row r="472">
      <c r="B472" t="inlineStr">
        <is>
          <t>SC</t>
        </is>
      </c>
      <c r="C472" t="n">
        <v>2013</v>
      </c>
      <c r="D472" t="n">
        <v>6.62</v>
      </c>
      <c r="E472" t="n">
        <v>1.18</v>
      </c>
      <c r="F472" t="n">
        <v>6.0845</v>
      </c>
      <c r="G472" t="n">
        <v>4.3567</v>
      </c>
      <c r="H472" t="n">
        <v>32334</v>
      </c>
      <c r="I472" t="n">
        <v>10.3839</v>
      </c>
      <c r="J472" t="n">
        <v>3.36</v>
      </c>
      <c r="K472" t="n">
        <v>0</v>
      </c>
      <c r="L472" t="n">
        <v>0</v>
      </c>
      <c r="M472" t="n">
        <v>371.165</v>
      </c>
      <c r="N472" t="n">
        <v>943</v>
      </c>
      <c r="O472" t="n">
        <v>6634254</v>
      </c>
    </row>
    <row r="473">
      <c r="B473" t="inlineStr">
        <is>
          <t>SC</t>
        </is>
      </c>
      <c r="C473" t="n">
        <v>2014</v>
      </c>
      <c r="D473" t="n">
        <v>7.37</v>
      </c>
      <c r="E473" t="n">
        <v>2.04</v>
      </c>
      <c r="F473" t="n">
        <v>6.2066</v>
      </c>
      <c r="G473" t="n">
        <v>4.92</v>
      </c>
      <c r="H473" t="n">
        <v>36056</v>
      </c>
      <c r="I473" t="n">
        <v>10.4928</v>
      </c>
      <c r="J473" t="n">
        <v>3.13</v>
      </c>
      <c r="K473" t="n">
        <v>0</v>
      </c>
      <c r="L473" t="n">
        <v>0</v>
      </c>
      <c r="M473" t="n">
        <v>371.165</v>
      </c>
      <c r="N473" t="n">
        <v>1080</v>
      </c>
      <c r="O473" t="n">
        <v>6727148</v>
      </c>
    </row>
    <row r="474">
      <c r="B474" t="inlineStr">
        <is>
          <t>SC</t>
        </is>
      </c>
      <c r="C474" t="n">
        <v>2015</v>
      </c>
      <c r="D474" t="n">
        <v>8.26</v>
      </c>
      <c r="E474" t="n">
        <v>2.23</v>
      </c>
      <c r="F474" t="n">
        <v>6.3333</v>
      </c>
      <c r="G474" t="n">
        <v>5.0239</v>
      </c>
      <c r="H474" t="n">
        <v>36526</v>
      </c>
      <c r="I474" t="n">
        <v>10.5058</v>
      </c>
      <c r="J474" t="n">
        <v>4.2</v>
      </c>
      <c r="K474" t="n">
        <v>0</v>
      </c>
      <c r="L474" t="n">
        <v>0</v>
      </c>
      <c r="M474" t="n">
        <v>371.165</v>
      </c>
      <c r="N474" t="n">
        <v>1232</v>
      </c>
      <c r="O474" t="n">
        <v>6819190</v>
      </c>
    </row>
    <row r="475">
      <c r="B475" t="inlineStr">
        <is>
          <t>SC</t>
        </is>
      </c>
      <c r="C475" t="n">
        <v>2016</v>
      </c>
      <c r="D475" t="n">
        <v>8.800000000000001</v>
      </c>
      <c r="E475" t="n">
        <v>6.29</v>
      </c>
      <c r="F475" t="n">
        <v>6.4102</v>
      </c>
      <c r="G475" t="n">
        <v>6.0753</v>
      </c>
      <c r="H475" t="n">
        <v>37154</v>
      </c>
      <c r="I475" t="n">
        <v>10.5228</v>
      </c>
      <c r="J475" t="n">
        <v>6.4</v>
      </c>
      <c r="K475" t="n">
        <v>0</v>
      </c>
      <c r="L475" t="n">
        <v>0</v>
      </c>
      <c r="M475" t="n">
        <v>371.165</v>
      </c>
      <c r="N475" t="n">
        <v>1667</v>
      </c>
      <c r="O475" t="n">
        <v>6910553</v>
      </c>
    </row>
    <row r="476">
      <c r="B476" t="inlineStr">
        <is>
          <t>SC</t>
        </is>
      </c>
      <c r="C476" t="n">
        <v>2017</v>
      </c>
      <c r="D476" t="n">
        <v>9.56</v>
      </c>
      <c r="E476" t="n">
        <v>7.14</v>
      </c>
      <c r="F476" t="n">
        <v>6.5058</v>
      </c>
      <c r="G476" t="n">
        <v>6.2146</v>
      </c>
      <c r="H476" t="n">
        <v>39603</v>
      </c>
      <c r="I476" t="n">
        <v>10.5867</v>
      </c>
      <c r="J476" t="n">
        <v>7.2</v>
      </c>
      <c r="K476" t="n">
        <v>0</v>
      </c>
      <c r="L476" t="n">
        <v>0</v>
      </c>
      <c r="M476" t="n">
        <v>371.165</v>
      </c>
      <c r="N476" t="n">
        <v>2167</v>
      </c>
      <c r="O476" t="n">
        <v>7001161</v>
      </c>
    </row>
    <row r="477">
      <c r="B477" t="inlineStr">
        <is>
          <t>SC</t>
        </is>
      </c>
      <c r="C477" t="n">
        <v>2018</v>
      </c>
      <c r="D477" t="n">
        <v>6.35</v>
      </c>
      <c r="E477" t="n">
        <v>14.74</v>
      </c>
      <c r="F477" t="n">
        <v>6.107</v>
      </c>
      <c r="G477" t="n">
        <v>6.9499</v>
      </c>
      <c r="H477" t="n">
        <v>42149</v>
      </c>
      <c r="I477" t="n">
        <v>10.649</v>
      </c>
      <c r="J477" t="n">
        <v>6.5</v>
      </c>
      <c r="K477" t="n">
        <v>0</v>
      </c>
      <c r="L477" t="n">
        <v>0</v>
      </c>
      <c r="M477" t="n">
        <v>371.165</v>
      </c>
      <c r="N477" t="n">
        <v>3210</v>
      </c>
      <c r="O477" t="n">
        <v>7075494</v>
      </c>
    </row>
    <row r="478">
      <c r="B478" t="inlineStr">
        <is>
          <t>SC</t>
        </is>
      </c>
      <c r="C478" t="n">
        <v>2019</v>
      </c>
      <c r="D478" t="n">
        <v>5.51</v>
      </c>
      <c r="E478" t="n">
        <v>100.77</v>
      </c>
      <c r="F478" t="n">
        <v>5.9789</v>
      </c>
      <c r="G478" t="n">
        <v>8.884600000000001</v>
      </c>
      <c r="H478" t="n">
        <v>45118</v>
      </c>
      <c r="I478" t="n">
        <v>10.717</v>
      </c>
      <c r="J478" t="n">
        <v>6.2</v>
      </c>
      <c r="K478" t="n">
        <v>0</v>
      </c>
      <c r="L478" t="n">
        <v>0</v>
      </c>
      <c r="M478" t="n">
        <v>371.165</v>
      </c>
      <c r="N478" t="n">
        <v>10430</v>
      </c>
      <c r="O478" t="n">
        <v>7164788</v>
      </c>
    </row>
    <row r="479">
      <c r="B479" t="inlineStr">
        <is>
          <t>SC</t>
        </is>
      </c>
      <c r="C479" t="n">
        <v>2020</v>
      </c>
      <c r="D479" t="n">
        <v>5.27</v>
      </c>
      <c r="E479" t="n">
        <v>179.33</v>
      </c>
      <c r="F479" t="n">
        <v>5.9454</v>
      </c>
      <c r="G479" t="n">
        <v>9.4732</v>
      </c>
      <c r="H479" t="n">
        <v>48159</v>
      </c>
      <c r="I479" t="n">
        <v>10.7823</v>
      </c>
      <c r="J479" t="n">
        <v>6.3</v>
      </c>
      <c r="K479" t="n">
        <v>0</v>
      </c>
      <c r="L479" t="n">
        <v>1</v>
      </c>
      <c r="M479" t="n">
        <v>371.165</v>
      </c>
      <c r="N479" t="n">
        <v>23436</v>
      </c>
      <c r="O479" t="n">
        <v>7252502</v>
      </c>
    </row>
    <row r="480">
      <c r="B480" t="inlineStr">
        <is>
          <t>SC</t>
        </is>
      </c>
      <c r="C480" t="n">
        <v>2021</v>
      </c>
      <c r="D480" t="n">
        <v>5.18</v>
      </c>
      <c r="E480" t="n">
        <v>153.79</v>
      </c>
      <c r="F480" t="n">
        <v>5.9402</v>
      </c>
      <c r="G480" t="n">
        <v>9.331300000000001</v>
      </c>
      <c r="H480" t="n">
        <v>58401</v>
      </c>
      <c r="I480" t="n">
        <v>10.9751</v>
      </c>
      <c r="J480" t="n">
        <v>5.5</v>
      </c>
      <c r="K480" t="n">
        <v>0</v>
      </c>
      <c r="L480" t="n">
        <v>1</v>
      </c>
      <c r="M480" t="n">
        <v>371.165</v>
      </c>
      <c r="N480" t="n">
        <v>34722</v>
      </c>
      <c r="O480" t="n">
        <v>7338473</v>
      </c>
    </row>
    <row r="481">
      <c r="B481" t="inlineStr">
        <is>
          <t>SC</t>
        </is>
      </c>
      <c r="C481" t="n">
        <v>2022</v>
      </c>
      <c r="D481" t="n">
        <v>4.11</v>
      </c>
      <c r="E481" t="n">
        <v>371.17</v>
      </c>
      <c r="F481" t="n">
        <v>5.7462</v>
      </c>
      <c r="G481" t="n">
        <v>10.2487</v>
      </c>
      <c r="H481" t="n">
        <v>61268</v>
      </c>
      <c r="I481" t="n">
        <v>11.023</v>
      </c>
      <c r="J481" t="n">
        <v>3.9</v>
      </c>
      <c r="K481" t="n">
        <v>0</v>
      </c>
      <c r="L481" t="n">
        <v>0</v>
      </c>
      <c r="M481" t="n">
        <v>371.165</v>
      </c>
      <c r="N481" t="n">
        <v>62969</v>
      </c>
      <c r="O481" t="n">
        <v>7610361</v>
      </c>
    </row>
    <row r="482">
      <c r="B482" t="inlineStr">
        <is>
          <t>SC</t>
        </is>
      </c>
      <c r="C482" t="n">
        <v>2023</v>
      </c>
      <c r="D482" t="n">
        <v>3.9</v>
      </c>
      <c r="E482" t="n">
        <v>0.97</v>
      </c>
      <c r="F482" t="n">
        <v>5.6937</v>
      </c>
      <c r="G482" t="n">
        <v>4.3041</v>
      </c>
      <c r="H482" t="n">
        <v>67460</v>
      </c>
      <c r="I482" t="n">
        <v>11.1193</v>
      </c>
      <c r="J482" t="n">
        <v>3.5</v>
      </c>
      <c r="K482" t="n">
        <v>1</v>
      </c>
      <c r="L482" t="n">
        <v>0</v>
      </c>
      <c r="M482" t="n">
        <v>371.165</v>
      </c>
      <c r="N482" t="n">
        <v>63043</v>
      </c>
      <c r="O482" t="n">
        <v>7610361</v>
      </c>
    </row>
    <row r="483">
      <c r="B483" t="inlineStr">
        <is>
          <t>SC</t>
        </is>
      </c>
      <c r="C483" t="n">
        <v>2024</v>
      </c>
      <c r="D483" t="n">
        <v>3.78</v>
      </c>
      <c r="E483" t="n">
        <v>72.78</v>
      </c>
      <c r="F483" t="n">
        <v>5.7203</v>
      </c>
      <c r="G483" t="n">
        <v>8.6768</v>
      </c>
      <c r="H483" t="n">
        <v>69506</v>
      </c>
      <c r="I483" t="n">
        <v>11.1492</v>
      </c>
      <c r="J483" t="n">
        <v>3.1</v>
      </c>
      <c r="K483" t="n">
        <v>1</v>
      </c>
      <c r="L483" t="n">
        <v>0</v>
      </c>
      <c r="M483" t="n">
        <v>371.165</v>
      </c>
      <c r="N483" t="n">
        <v>68908</v>
      </c>
      <c r="O483" t="n">
        <v>8058441</v>
      </c>
    </row>
    <row r="484">
      <c r="B484" t="inlineStr">
        <is>
          <t>SE</t>
        </is>
      </c>
      <c r="C484" t="n">
        <v>2005</v>
      </c>
      <c r="D484" t="n">
        <v>16.52</v>
      </c>
      <c r="E484" t="n">
        <v>0</v>
      </c>
      <c r="F484" t="n">
        <v>5.7838</v>
      </c>
      <c r="H484" t="n">
        <v>6823</v>
      </c>
      <c r="I484" t="n">
        <v>8.828099999999999</v>
      </c>
      <c r="J484" t="n">
        <v>13.98</v>
      </c>
      <c r="K484" t="n">
        <v>0</v>
      </c>
      <c r="L484" t="n">
        <v>0</v>
      </c>
      <c r="M484" t="n">
        <v>47.4207</v>
      </c>
      <c r="N484" t="n">
        <v>0</v>
      </c>
      <c r="O484" t="n">
        <v>1967791</v>
      </c>
    </row>
    <row r="485">
      <c r="B485" t="inlineStr">
        <is>
          <t>SE</t>
        </is>
      </c>
      <c r="C485" t="n">
        <v>2006</v>
      </c>
      <c r="D485" t="n">
        <v>20.69</v>
      </c>
      <c r="E485" t="n">
        <v>0</v>
      </c>
      <c r="F485" t="n">
        <v>6.0259</v>
      </c>
      <c r="H485" t="n">
        <v>7559</v>
      </c>
      <c r="I485" t="n">
        <v>8.9305</v>
      </c>
      <c r="J485" t="n">
        <v>10.29</v>
      </c>
      <c r="K485" t="n">
        <v>0</v>
      </c>
      <c r="L485" t="n">
        <v>0</v>
      </c>
      <c r="M485" t="n">
        <v>47.4207</v>
      </c>
      <c r="N485" t="n">
        <v>0</v>
      </c>
      <c r="O485" t="n">
        <v>2000738</v>
      </c>
    </row>
    <row r="486">
      <c r="B486" t="inlineStr">
        <is>
          <t>SE</t>
        </is>
      </c>
      <c r="C486" t="n">
        <v>2007</v>
      </c>
      <c r="D486" t="n">
        <v>17.84</v>
      </c>
      <c r="E486" t="n">
        <v>0</v>
      </c>
      <c r="F486" t="n">
        <v>5.8464</v>
      </c>
      <c r="H486" t="n">
        <v>8712</v>
      </c>
      <c r="I486" t="n">
        <v>9.0725</v>
      </c>
      <c r="J486" t="n">
        <v>9.77</v>
      </c>
      <c r="K486" t="n">
        <v>0</v>
      </c>
      <c r="L486" t="n">
        <v>0</v>
      </c>
      <c r="M486" t="n">
        <v>47.4207</v>
      </c>
      <c r="N486" t="n">
        <v>0</v>
      </c>
      <c r="O486" t="n">
        <v>1939426</v>
      </c>
    </row>
    <row r="487">
      <c r="B487" t="inlineStr">
        <is>
          <t>SE</t>
        </is>
      </c>
      <c r="C487" t="n">
        <v>2008</v>
      </c>
      <c r="D487" t="n">
        <v>18.66</v>
      </c>
      <c r="E487" t="n">
        <v>0</v>
      </c>
      <c r="F487" t="n">
        <v>5.9216</v>
      </c>
      <c r="H487" t="n">
        <v>9779</v>
      </c>
      <c r="I487" t="n">
        <v>9.188000000000001</v>
      </c>
      <c r="J487" t="n">
        <v>8.43</v>
      </c>
      <c r="K487" t="n">
        <v>0</v>
      </c>
      <c r="L487" t="n">
        <v>0</v>
      </c>
      <c r="M487" t="n">
        <v>47.4207</v>
      </c>
      <c r="N487" t="n">
        <v>0</v>
      </c>
      <c r="O487" t="n">
        <v>1999374</v>
      </c>
    </row>
    <row r="488">
      <c r="B488" t="inlineStr">
        <is>
          <t>SE</t>
        </is>
      </c>
      <c r="C488" t="n">
        <v>2009</v>
      </c>
      <c r="D488" t="n">
        <v>22.18</v>
      </c>
      <c r="E488" t="n">
        <v>0</v>
      </c>
      <c r="F488" t="n">
        <v>6.1048</v>
      </c>
      <c r="H488" t="n">
        <v>9787</v>
      </c>
      <c r="I488" t="n">
        <v>9.188800000000001</v>
      </c>
      <c r="J488" t="n">
        <v>12.01</v>
      </c>
      <c r="K488" t="n">
        <v>0</v>
      </c>
      <c r="L488" t="n">
        <v>0</v>
      </c>
      <c r="M488" t="n">
        <v>47.4207</v>
      </c>
      <c r="N488" t="n">
        <v>0</v>
      </c>
      <c r="O488" t="n">
        <v>2019679</v>
      </c>
    </row>
    <row r="489">
      <c r="B489" t="inlineStr">
        <is>
          <t>SE</t>
        </is>
      </c>
      <c r="C489" t="n">
        <v>2010</v>
      </c>
      <c r="D489" t="n">
        <v>22.29</v>
      </c>
      <c r="E489" t="n">
        <v>0</v>
      </c>
      <c r="F489" t="n">
        <v>6.1334</v>
      </c>
      <c r="H489" t="n">
        <v>12768</v>
      </c>
      <c r="I489" t="n">
        <v>9.454700000000001</v>
      </c>
      <c r="J489" t="n">
        <v>10.48</v>
      </c>
      <c r="K489" t="n">
        <v>0</v>
      </c>
      <c r="L489" t="n">
        <v>0</v>
      </c>
      <c r="M489" t="n">
        <v>47.4207</v>
      </c>
      <c r="N489" t="n">
        <v>0</v>
      </c>
      <c r="O489" t="n">
        <v>2068017</v>
      </c>
    </row>
    <row r="490">
      <c r="B490" t="inlineStr">
        <is>
          <t>SE</t>
        </is>
      </c>
      <c r="C490" t="n">
        <v>2011</v>
      </c>
      <c r="D490" t="n">
        <v>25.17</v>
      </c>
      <c r="E490" t="n">
        <v>0</v>
      </c>
      <c r="F490" t="n">
        <v>6.2653</v>
      </c>
      <c r="H490" t="n">
        <v>13929</v>
      </c>
      <c r="I490" t="n">
        <v>9.541700000000001</v>
      </c>
      <c r="J490" t="n">
        <v>8.960000000000001</v>
      </c>
      <c r="K490" t="n">
        <v>0</v>
      </c>
      <c r="L490" t="n">
        <v>0</v>
      </c>
      <c r="M490" t="n">
        <v>47.4207</v>
      </c>
      <c r="N490" t="n">
        <v>0</v>
      </c>
      <c r="O490" t="n">
        <v>2089819</v>
      </c>
    </row>
    <row r="491">
      <c r="B491" t="inlineStr">
        <is>
          <t>SE</t>
        </is>
      </c>
      <c r="C491" t="n">
        <v>2012</v>
      </c>
      <c r="D491" t="n">
        <v>30.94</v>
      </c>
      <c r="E491" t="n">
        <v>0.05</v>
      </c>
      <c r="F491" t="n">
        <v>6.4816</v>
      </c>
      <c r="G491" t="n">
        <v>0</v>
      </c>
      <c r="H491" t="n">
        <v>15564</v>
      </c>
      <c r="I491" t="n">
        <v>9.652699999999999</v>
      </c>
      <c r="J491" t="n">
        <v>8.5</v>
      </c>
      <c r="K491" t="n">
        <v>0</v>
      </c>
      <c r="L491" t="n">
        <v>0</v>
      </c>
      <c r="M491" t="n">
        <v>47.4207</v>
      </c>
      <c r="N491" t="n">
        <v>1</v>
      </c>
      <c r="O491" t="n">
        <v>2110867</v>
      </c>
    </row>
    <row r="492">
      <c r="B492" t="inlineStr">
        <is>
          <t>SE</t>
        </is>
      </c>
      <c r="C492" t="n">
        <v>2013</v>
      </c>
      <c r="D492" t="n">
        <v>32.93</v>
      </c>
      <c r="E492" t="n">
        <v>0.14</v>
      </c>
      <c r="F492" t="n">
        <v>6.5834</v>
      </c>
      <c r="G492" t="n">
        <v>1.0986</v>
      </c>
      <c r="H492" t="n">
        <v>16094</v>
      </c>
      <c r="I492" t="n">
        <v>9.686199999999999</v>
      </c>
      <c r="J492" t="n">
        <v>9.32</v>
      </c>
      <c r="K492" t="n">
        <v>0</v>
      </c>
      <c r="L492" t="n">
        <v>0</v>
      </c>
      <c r="M492" t="n">
        <v>47.4207</v>
      </c>
      <c r="N492" t="n">
        <v>4</v>
      </c>
      <c r="O492" t="n">
        <v>2195662</v>
      </c>
    </row>
    <row r="493">
      <c r="B493" t="inlineStr">
        <is>
          <t>SE</t>
        </is>
      </c>
      <c r="C493" t="n">
        <v>2014</v>
      </c>
      <c r="D493" t="n">
        <v>40.37</v>
      </c>
      <c r="E493" t="n">
        <v>0</v>
      </c>
      <c r="F493" t="n">
        <v>6.7979</v>
      </c>
      <c r="H493" t="n">
        <v>16883</v>
      </c>
      <c r="I493" t="n">
        <v>9.7341</v>
      </c>
      <c r="J493" t="n">
        <v>8.65</v>
      </c>
      <c r="K493" t="n">
        <v>0</v>
      </c>
      <c r="L493" t="n">
        <v>0</v>
      </c>
      <c r="M493" t="n">
        <v>47.4207</v>
      </c>
      <c r="N493" t="n">
        <v>4</v>
      </c>
      <c r="O493" t="n">
        <v>2219574</v>
      </c>
    </row>
    <row r="494">
      <c r="B494" t="inlineStr">
        <is>
          <t>SE</t>
        </is>
      </c>
      <c r="C494" t="n">
        <v>2015</v>
      </c>
      <c r="D494" t="n">
        <v>49.09</v>
      </c>
      <c r="E494" t="n">
        <v>0.36</v>
      </c>
      <c r="F494" t="n">
        <v>7.004</v>
      </c>
      <c r="G494" t="n">
        <v>2.0794</v>
      </c>
      <c r="H494" t="n">
        <v>17190</v>
      </c>
      <c r="I494" t="n">
        <v>9.7521</v>
      </c>
      <c r="J494" t="n">
        <v>9.199999999999999</v>
      </c>
      <c r="K494" t="n">
        <v>0</v>
      </c>
      <c r="L494" t="n">
        <v>0</v>
      </c>
      <c r="M494" t="n">
        <v>47.4207</v>
      </c>
      <c r="N494" t="n">
        <v>12</v>
      </c>
      <c r="O494" t="n">
        <v>2242937</v>
      </c>
    </row>
    <row r="495">
      <c r="B495" t="inlineStr">
        <is>
          <t>SE</t>
        </is>
      </c>
      <c r="C495" t="n">
        <v>2016</v>
      </c>
      <c r="D495" t="n">
        <v>55.74</v>
      </c>
      <c r="E495" t="n">
        <v>2.43</v>
      </c>
      <c r="F495" t="n">
        <v>7.1412</v>
      </c>
      <c r="G495" t="n">
        <v>4.0073</v>
      </c>
      <c r="H495" t="n">
        <v>17159</v>
      </c>
      <c r="I495" t="n">
        <v>9.750299999999999</v>
      </c>
      <c r="J495" t="n">
        <v>13.6</v>
      </c>
      <c r="K495" t="n">
        <v>0</v>
      </c>
      <c r="L495" t="n">
        <v>0</v>
      </c>
      <c r="M495" t="n">
        <v>47.4207</v>
      </c>
      <c r="N495" t="n">
        <v>67</v>
      </c>
      <c r="O495" t="n">
        <v>2265779</v>
      </c>
    </row>
    <row r="496">
      <c r="B496" t="inlineStr">
        <is>
          <t>SE</t>
        </is>
      </c>
      <c r="C496" t="n">
        <v>2017</v>
      </c>
      <c r="D496" t="n">
        <v>47.94</v>
      </c>
      <c r="E496" t="n">
        <v>3.76</v>
      </c>
      <c r="F496" t="n">
        <v>7.0003</v>
      </c>
      <c r="G496" t="n">
        <v>4.4543</v>
      </c>
      <c r="H496" t="n">
        <v>17793</v>
      </c>
      <c r="I496" t="n">
        <v>9.7866</v>
      </c>
      <c r="J496" t="n">
        <v>14.6</v>
      </c>
      <c r="K496" t="n">
        <v>0</v>
      </c>
      <c r="L496" t="n">
        <v>0</v>
      </c>
      <c r="M496" t="n">
        <v>47.4207</v>
      </c>
      <c r="N496" t="n">
        <v>153</v>
      </c>
      <c r="O496" t="n">
        <v>2288116</v>
      </c>
    </row>
    <row r="497">
      <c r="B497" t="inlineStr">
        <is>
          <t>SE</t>
        </is>
      </c>
      <c r="C497" t="n">
        <v>2018</v>
      </c>
      <c r="D497" t="n">
        <v>42.18</v>
      </c>
      <c r="E497" t="n">
        <v>4.13</v>
      </c>
      <c r="F497" t="n">
        <v>6.868</v>
      </c>
      <c r="G497" t="n">
        <v>4.5433</v>
      </c>
      <c r="H497" t="n">
        <v>18443</v>
      </c>
      <c r="I497" t="n">
        <v>9.8224</v>
      </c>
      <c r="J497" t="n">
        <v>16.8</v>
      </c>
      <c r="K497" t="n">
        <v>0</v>
      </c>
      <c r="L497" t="n">
        <v>0</v>
      </c>
      <c r="M497" t="n">
        <v>47.4207</v>
      </c>
      <c r="N497" t="n">
        <v>247</v>
      </c>
      <c r="O497" t="n">
        <v>2278308</v>
      </c>
    </row>
    <row r="498">
      <c r="B498" t="inlineStr">
        <is>
          <t>SE</t>
        </is>
      </c>
      <c r="C498" t="n">
        <v>2019</v>
      </c>
      <c r="D498" t="n">
        <v>33.93</v>
      </c>
      <c r="E498" t="n">
        <v>15.84</v>
      </c>
      <c r="F498" t="n">
        <v>6.6593</v>
      </c>
      <c r="G498" t="n">
        <v>5.8972</v>
      </c>
      <c r="H498" t="n">
        <v>19441</v>
      </c>
      <c r="I498" t="n">
        <v>9.8751</v>
      </c>
      <c r="J498" t="n">
        <v>15.2</v>
      </c>
      <c r="K498" t="n">
        <v>0</v>
      </c>
      <c r="L498" t="n">
        <v>0</v>
      </c>
      <c r="M498" t="n">
        <v>47.4207</v>
      </c>
      <c r="N498" t="n">
        <v>611</v>
      </c>
      <c r="O498" t="n">
        <v>2298696</v>
      </c>
    </row>
    <row r="499">
      <c r="B499" t="inlineStr">
        <is>
          <t>SE</t>
        </is>
      </c>
      <c r="C499" t="n">
        <v>2020</v>
      </c>
      <c r="D499" t="n">
        <v>35.49</v>
      </c>
      <c r="E499" t="n">
        <v>26.69</v>
      </c>
      <c r="F499" t="n">
        <v>6.713</v>
      </c>
      <c r="G499" t="n">
        <v>6.4281</v>
      </c>
      <c r="H499" t="n">
        <v>19583</v>
      </c>
      <c r="I499" t="n">
        <v>9.882400000000001</v>
      </c>
      <c r="J499" t="n">
        <v>18.9</v>
      </c>
      <c r="K499" t="n">
        <v>0</v>
      </c>
      <c r="L499" t="n">
        <v>1</v>
      </c>
      <c r="M499" t="n">
        <v>47.4207</v>
      </c>
      <c r="N499" t="n">
        <v>1230</v>
      </c>
      <c r="O499" t="n">
        <v>2318822</v>
      </c>
    </row>
    <row r="500">
      <c r="B500" t="inlineStr">
        <is>
          <t>SE</t>
        </is>
      </c>
      <c r="C500" t="n">
        <v>2021</v>
      </c>
      <c r="D500" t="n">
        <v>28.39</v>
      </c>
      <c r="E500" t="n">
        <v>42.89</v>
      </c>
      <c r="F500" t="n">
        <v>6.4983</v>
      </c>
      <c r="G500" t="n">
        <v>6.9108</v>
      </c>
      <c r="H500" t="n">
        <v>22177</v>
      </c>
      <c r="I500" t="n">
        <v>10.0068</v>
      </c>
      <c r="J500" t="n">
        <v>18</v>
      </c>
      <c r="K500" t="n">
        <v>0</v>
      </c>
      <c r="L500" t="n">
        <v>1</v>
      </c>
      <c r="M500" t="n">
        <v>47.4207</v>
      </c>
      <c r="N500" t="n">
        <v>2233</v>
      </c>
      <c r="O500" t="n">
        <v>2338474</v>
      </c>
    </row>
    <row r="501">
      <c r="B501" t="inlineStr">
        <is>
          <t>SE</t>
        </is>
      </c>
      <c r="C501" t="n">
        <v>2022</v>
      </c>
      <c r="D501" t="n">
        <v>29.59</v>
      </c>
      <c r="E501" t="n">
        <v>47.42</v>
      </c>
      <c r="F501" t="n">
        <v>6.4831</v>
      </c>
      <c r="G501" t="n">
        <v>6.9546</v>
      </c>
      <c r="H501" t="n">
        <v>25960</v>
      </c>
      <c r="I501" t="n">
        <v>10.1643</v>
      </c>
      <c r="J501" t="n">
        <v>13.1</v>
      </c>
      <c r="K501" t="n">
        <v>0</v>
      </c>
      <c r="L501" t="n">
        <v>0</v>
      </c>
      <c r="M501" t="n">
        <v>47.4207</v>
      </c>
      <c r="N501" t="n">
        <v>3281</v>
      </c>
      <c r="O501" t="n">
        <v>2210004</v>
      </c>
    </row>
    <row r="502">
      <c r="B502" t="inlineStr">
        <is>
          <t>SE</t>
        </is>
      </c>
      <c r="C502" t="n">
        <v>2023</v>
      </c>
      <c r="D502" t="n">
        <v>25.88</v>
      </c>
      <c r="E502" t="n">
        <v>0.05</v>
      </c>
      <c r="F502" t="n">
        <v>6.3491</v>
      </c>
      <c r="G502" t="n">
        <v>0</v>
      </c>
      <c r="H502" t="n">
        <v>27519</v>
      </c>
      <c r="I502" t="n">
        <v>10.2226</v>
      </c>
      <c r="J502" t="n">
        <v>10.9</v>
      </c>
      <c r="K502" t="n">
        <v>1</v>
      </c>
      <c r="L502" t="n">
        <v>0</v>
      </c>
      <c r="M502" t="n">
        <v>47.4207</v>
      </c>
      <c r="N502" t="n">
        <v>3282</v>
      </c>
      <c r="O502" t="n">
        <v>2210004</v>
      </c>
    </row>
    <row r="503">
      <c r="B503" t="inlineStr">
        <is>
          <t>SE</t>
        </is>
      </c>
      <c r="C503" t="n">
        <v>2024</v>
      </c>
      <c r="D503" t="n">
        <v>17.28</v>
      </c>
      <c r="E503" t="n">
        <v>1.05</v>
      </c>
      <c r="F503" t="n">
        <v>5.9814</v>
      </c>
      <c r="G503" t="n">
        <v>3.1781</v>
      </c>
      <c r="H503" t="n">
        <v>28579</v>
      </c>
      <c r="I503" t="n">
        <v>10.2604</v>
      </c>
      <c r="J503" t="n">
        <v>8.9</v>
      </c>
      <c r="K503" t="n">
        <v>1</v>
      </c>
      <c r="L503" t="n">
        <v>0</v>
      </c>
      <c r="M503" t="n">
        <v>47.4207</v>
      </c>
      <c r="N503" t="n">
        <v>3306</v>
      </c>
      <c r="O503" t="n">
        <v>2291077</v>
      </c>
    </row>
    <row r="504">
      <c r="B504" t="inlineStr">
        <is>
          <t>SP</t>
        </is>
      </c>
      <c r="C504" t="n">
        <v>2005</v>
      </c>
      <c r="D504" t="n">
        <v>14.3</v>
      </c>
      <c r="E504" t="n">
        <v>1.48</v>
      </c>
      <c r="F504" t="n">
        <v>8.6629</v>
      </c>
      <c r="G504" t="n">
        <v>6.3936</v>
      </c>
      <c r="H504" t="n">
        <v>17976</v>
      </c>
      <c r="I504" t="n">
        <v>9.796799999999999</v>
      </c>
      <c r="J504" t="n">
        <v>11.76</v>
      </c>
      <c r="K504" t="n">
        <v>0</v>
      </c>
      <c r="L504" t="n">
        <v>0</v>
      </c>
      <c r="M504" t="n">
        <v>190.7603</v>
      </c>
      <c r="N504" t="n">
        <v>598</v>
      </c>
      <c r="O504" t="n">
        <v>40442795</v>
      </c>
    </row>
    <row r="505">
      <c r="B505" t="inlineStr">
        <is>
          <t>SP</t>
        </is>
      </c>
      <c r="C505" t="n">
        <v>2006</v>
      </c>
      <c r="D505" t="n">
        <v>14</v>
      </c>
      <c r="E505" t="n">
        <v>1.58</v>
      </c>
      <c r="F505" t="n">
        <v>8.656599999999999</v>
      </c>
      <c r="G505" t="n">
        <v>6.477</v>
      </c>
      <c r="H505" t="n">
        <v>19550</v>
      </c>
      <c r="I505" t="n">
        <v>9.880699999999999</v>
      </c>
      <c r="J505" t="n">
        <v>10.23</v>
      </c>
      <c r="K505" t="n">
        <v>0</v>
      </c>
      <c r="L505" t="n">
        <v>0</v>
      </c>
      <c r="M505" t="n">
        <v>190.7603</v>
      </c>
      <c r="N505" t="n">
        <v>1248</v>
      </c>
      <c r="O505" t="n">
        <v>41055734</v>
      </c>
    </row>
    <row r="506">
      <c r="B506" t="inlineStr">
        <is>
          <t>SP</t>
        </is>
      </c>
      <c r="C506" t="n">
        <v>2007</v>
      </c>
      <c r="D506" t="n">
        <v>10.37</v>
      </c>
      <c r="E506" t="n">
        <v>2.3</v>
      </c>
      <c r="F506" t="n">
        <v>8.325799999999999</v>
      </c>
      <c r="G506" t="n">
        <v>6.82</v>
      </c>
      <c r="H506" t="n">
        <v>22667</v>
      </c>
      <c r="I506" t="n">
        <v>10.0287</v>
      </c>
      <c r="J506" t="n">
        <v>9.52</v>
      </c>
      <c r="K506" t="n">
        <v>0</v>
      </c>
      <c r="L506" t="n">
        <v>0</v>
      </c>
      <c r="M506" t="n">
        <v>190.7603</v>
      </c>
      <c r="N506" t="n">
        <v>2164</v>
      </c>
      <c r="O506" t="n">
        <v>39827690</v>
      </c>
    </row>
    <row r="507">
      <c r="B507" t="inlineStr">
        <is>
          <t>SP</t>
        </is>
      </c>
      <c r="C507" t="n">
        <v>2008</v>
      </c>
      <c r="D507" t="n">
        <v>9.42</v>
      </c>
      <c r="E507" t="n">
        <v>3.15</v>
      </c>
      <c r="F507" t="n">
        <v>8.2597</v>
      </c>
      <c r="G507" t="n">
        <v>7.1632</v>
      </c>
      <c r="H507" t="n">
        <v>24457</v>
      </c>
      <c r="I507" t="n">
        <v>10.1047</v>
      </c>
      <c r="J507" t="n">
        <v>8.19</v>
      </c>
      <c r="K507" t="n">
        <v>0</v>
      </c>
      <c r="L507" t="n">
        <v>0</v>
      </c>
      <c r="M507" t="n">
        <v>190.7603</v>
      </c>
      <c r="N507" t="n">
        <v>3455</v>
      </c>
      <c r="O507" t="n">
        <v>41011638</v>
      </c>
    </row>
    <row r="508">
      <c r="B508" t="inlineStr">
        <is>
          <t>SP</t>
        </is>
      </c>
      <c r="C508" t="n">
        <v>2009</v>
      </c>
      <c r="D508" t="n">
        <v>9.26</v>
      </c>
      <c r="E508" t="n">
        <v>6.39</v>
      </c>
      <c r="F508" t="n">
        <v>8.2509</v>
      </c>
      <c r="G508" t="n">
        <v>7.8808</v>
      </c>
      <c r="H508" t="n">
        <v>26202</v>
      </c>
      <c r="I508" t="n">
        <v>10.1736</v>
      </c>
      <c r="J508" t="n">
        <v>9.800000000000001</v>
      </c>
      <c r="K508" t="n">
        <v>0</v>
      </c>
      <c r="L508" t="n">
        <v>0</v>
      </c>
      <c r="M508" t="n">
        <v>190.7603</v>
      </c>
      <c r="N508" t="n">
        <v>6101</v>
      </c>
      <c r="O508" t="n">
        <v>41384039</v>
      </c>
    </row>
    <row r="509">
      <c r="B509" t="inlineStr">
        <is>
          <t>SP</t>
        </is>
      </c>
      <c r="C509" t="n">
        <v>2010</v>
      </c>
      <c r="D509" t="n">
        <v>8.32</v>
      </c>
      <c r="E509" t="n">
        <v>6.35</v>
      </c>
      <c r="F509" t="n">
        <v>8.141500000000001</v>
      </c>
      <c r="G509" t="n">
        <v>7.8709</v>
      </c>
      <c r="H509" t="n">
        <v>31377</v>
      </c>
      <c r="I509" t="n">
        <v>10.3538</v>
      </c>
      <c r="J509" t="n">
        <v>8.48</v>
      </c>
      <c r="K509" t="n">
        <v>0</v>
      </c>
      <c r="L509" t="n">
        <v>0</v>
      </c>
      <c r="M509" t="n">
        <v>190.7603</v>
      </c>
      <c r="N509" t="n">
        <v>8721</v>
      </c>
      <c r="O509" t="n">
        <v>41262199</v>
      </c>
    </row>
    <row r="510">
      <c r="B510" t="inlineStr">
        <is>
          <t>SP</t>
        </is>
      </c>
      <c r="C510" t="n">
        <v>2011</v>
      </c>
      <c r="D510" t="n">
        <v>7.77</v>
      </c>
      <c r="E510" t="n">
        <v>5.91</v>
      </c>
      <c r="F510" t="n">
        <v>8.080500000000001</v>
      </c>
      <c r="G510" t="n">
        <v>7.8067</v>
      </c>
      <c r="H510" t="n">
        <v>34546</v>
      </c>
      <c r="I510" t="n">
        <v>10.45</v>
      </c>
      <c r="J510" t="n">
        <v>7.15</v>
      </c>
      <c r="K510" t="n">
        <v>0</v>
      </c>
      <c r="L510" t="n">
        <v>0</v>
      </c>
      <c r="M510" t="n">
        <v>190.7603</v>
      </c>
      <c r="N510" t="n">
        <v>11178</v>
      </c>
      <c r="O510" t="n">
        <v>41587182</v>
      </c>
    </row>
    <row r="511">
      <c r="B511" t="inlineStr">
        <is>
          <t>SP</t>
        </is>
      </c>
      <c r="C511" t="n">
        <v>2012</v>
      </c>
      <c r="D511" t="n">
        <v>9.119999999999999</v>
      </c>
      <c r="E511" t="n">
        <v>4.86</v>
      </c>
      <c r="F511" t="n">
        <v>8.2483</v>
      </c>
      <c r="G511" t="n">
        <v>7.6187</v>
      </c>
      <c r="H511" t="n">
        <v>37207</v>
      </c>
      <c r="I511" t="n">
        <v>10.5243</v>
      </c>
      <c r="J511" t="n">
        <v>6.37</v>
      </c>
      <c r="K511" t="n">
        <v>0</v>
      </c>
      <c r="L511" t="n">
        <v>0</v>
      </c>
      <c r="M511" t="n">
        <v>190.7603</v>
      </c>
      <c r="N511" t="n">
        <v>13214</v>
      </c>
      <c r="O511" t="n">
        <v>41901219</v>
      </c>
    </row>
    <row r="512">
      <c r="B512" t="inlineStr">
        <is>
          <t>SP</t>
        </is>
      </c>
      <c r="C512" t="n">
        <v>2013</v>
      </c>
      <c r="D512" t="n">
        <v>7.81</v>
      </c>
      <c r="E512" t="n">
        <v>3.08</v>
      </c>
      <c r="F512" t="n">
        <v>8.133900000000001</v>
      </c>
      <c r="G512" t="n">
        <v>7.2034</v>
      </c>
      <c r="H512" t="n">
        <v>39283</v>
      </c>
      <c r="I512" t="n">
        <v>10.5785</v>
      </c>
      <c r="J512" t="n">
        <v>6.67</v>
      </c>
      <c r="K512" t="n">
        <v>0</v>
      </c>
      <c r="L512" t="n">
        <v>0</v>
      </c>
      <c r="M512" t="n">
        <v>190.7603</v>
      </c>
      <c r="N512" t="n">
        <v>14558</v>
      </c>
      <c r="O512" t="n">
        <v>43663669</v>
      </c>
    </row>
    <row r="513">
      <c r="B513" t="inlineStr">
        <is>
          <t>SP</t>
        </is>
      </c>
      <c r="C513" t="n">
        <v>2014</v>
      </c>
      <c r="D513" t="n">
        <v>8.029999999999999</v>
      </c>
      <c r="E513" t="n">
        <v>1.52</v>
      </c>
      <c r="F513" t="n">
        <v>8.1708</v>
      </c>
      <c r="G513" t="n">
        <v>6.5073</v>
      </c>
      <c r="H513" t="n">
        <v>42198</v>
      </c>
      <c r="I513" t="n">
        <v>10.6501</v>
      </c>
      <c r="J513" t="n">
        <v>7.9</v>
      </c>
      <c r="K513" t="n">
        <v>0</v>
      </c>
      <c r="L513" t="n">
        <v>0</v>
      </c>
      <c r="M513" t="n">
        <v>190.7603</v>
      </c>
      <c r="N513" t="n">
        <v>15228</v>
      </c>
      <c r="O513" t="n">
        <v>44035304</v>
      </c>
    </row>
    <row r="514">
      <c r="B514" t="inlineStr">
        <is>
          <t>SP</t>
        </is>
      </c>
      <c r="C514" t="n">
        <v>2015</v>
      </c>
      <c r="D514" t="n">
        <v>6.91</v>
      </c>
      <c r="E514" t="n">
        <v>2.14</v>
      </c>
      <c r="F514" t="n">
        <v>8.0281</v>
      </c>
      <c r="G514" t="n">
        <v>6.8575</v>
      </c>
      <c r="H514" t="n">
        <v>43695</v>
      </c>
      <c r="I514" t="n">
        <v>10.685</v>
      </c>
      <c r="J514" t="n">
        <v>9.4</v>
      </c>
      <c r="K514" t="n">
        <v>0</v>
      </c>
      <c r="L514" t="n">
        <v>0</v>
      </c>
      <c r="M514" t="n">
        <v>190.7603</v>
      </c>
      <c r="N514" t="n">
        <v>16179</v>
      </c>
      <c r="O514" t="n">
        <v>44396484</v>
      </c>
    </row>
    <row r="515">
      <c r="B515" t="inlineStr">
        <is>
          <t>SP</t>
        </is>
      </c>
      <c r="C515" t="n">
        <v>2016</v>
      </c>
      <c r="D515" t="n">
        <v>6.01</v>
      </c>
      <c r="E515" t="n">
        <v>4.46</v>
      </c>
      <c r="F515" t="n">
        <v>7.8973</v>
      </c>
      <c r="G515" t="n">
        <v>7.5979</v>
      </c>
      <c r="H515" t="n">
        <v>45559</v>
      </c>
      <c r="I515" t="n">
        <v>10.7268</v>
      </c>
      <c r="J515" t="n">
        <v>12.5</v>
      </c>
      <c r="K515" t="n">
        <v>0</v>
      </c>
      <c r="L515" t="n">
        <v>0</v>
      </c>
      <c r="M515" t="n">
        <v>190.7603</v>
      </c>
      <c r="N515" t="n">
        <v>18173</v>
      </c>
      <c r="O515" t="n">
        <v>44749699</v>
      </c>
    </row>
    <row r="516">
      <c r="B516" t="inlineStr">
        <is>
          <t>SP</t>
        </is>
      </c>
      <c r="C516" t="n">
        <v>2017</v>
      </c>
      <c r="D516" t="n">
        <v>5.52</v>
      </c>
      <c r="E516" t="n">
        <v>7.2</v>
      </c>
      <c r="F516" t="n">
        <v>7.82</v>
      </c>
      <c r="G516" t="n">
        <v>8.085800000000001</v>
      </c>
      <c r="H516" t="n">
        <v>47029</v>
      </c>
      <c r="I516" t="n">
        <v>10.7585</v>
      </c>
      <c r="J516" t="n">
        <v>13.5</v>
      </c>
      <c r="K516" t="n">
        <v>0</v>
      </c>
      <c r="L516" t="n">
        <v>0</v>
      </c>
      <c r="M516" t="n">
        <v>190.7603</v>
      </c>
      <c r="N516" t="n">
        <v>21421</v>
      </c>
      <c r="O516" t="n">
        <v>45094866</v>
      </c>
    </row>
    <row r="517">
      <c r="B517" t="inlineStr">
        <is>
          <t>SP</t>
        </is>
      </c>
      <c r="C517" t="n">
        <v>2018</v>
      </c>
      <c r="D517" t="n">
        <v>4.32</v>
      </c>
      <c r="E517" t="n">
        <v>10.01</v>
      </c>
      <c r="F517" t="n">
        <v>7.5838</v>
      </c>
      <c r="G517" t="n">
        <v>8.424899999999999</v>
      </c>
      <c r="H517" t="n">
        <v>48542</v>
      </c>
      <c r="I517" t="n">
        <v>10.7902</v>
      </c>
      <c r="J517" t="n">
        <v>13.4</v>
      </c>
      <c r="K517" t="n">
        <v>0</v>
      </c>
      <c r="L517" t="n">
        <v>0</v>
      </c>
      <c r="M517" t="n">
        <v>190.7603</v>
      </c>
      <c r="N517" t="n">
        <v>25980</v>
      </c>
      <c r="O517" t="n">
        <v>45538936</v>
      </c>
    </row>
    <row r="518">
      <c r="B518" t="inlineStr">
        <is>
          <t>SP</t>
        </is>
      </c>
      <c r="C518" t="n">
        <v>2019</v>
      </c>
      <c r="D518" t="n">
        <v>3.75</v>
      </c>
      <c r="E518" t="n">
        <v>53.87</v>
      </c>
      <c r="F518" t="n">
        <v>7.4507</v>
      </c>
      <c r="G518" t="n">
        <v>10.1161</v>
      </c>
      <c r="H518" t="n">
        <v>51141</v>
      </c>
      <c r="I518" t="n">
        <v>10.8423</v>
      </c>
      <c r="J518" t="n">
        <v>12.6</v>
      </c>
      <c r="K518" t="n">
        <v>0</v>
      </c>
      <c r="L518" t="n">
        <v>0</v>
      </c>
      <c r="M518" t="n">
        <v>190.7603</v>
      </c>
      <c r="N518" t="n">
        <v>50717</v>
      </c>
      <c r="O518" t="n">
        <v>45919049</v>
      </c>
    </row>
    <row r="519">
      <c r="B519" t="inlineStr">
        <is>
          <t>SP</t>
        </is>
      </c>
      <c r="C519" t="n">
        <v>2020</v>
      </c>
      <c r="D519" t="n">
        <v>3.81</v>
      </c>
      <c r="E519" t="n">
        <v>50.59</v>
      </c>
      <c r="F519" t="n">
        <v>7.4742</v>
      </c>
      <c r="G519" t="n">
        <v>10.0612</v>
      </c>
      <c r="H519" t="n">
        <v>51365</v>
      </c>
      <c r="I519" t="n">
        <v>10.8467</v>
      </c>
      <c r="J519" t="n">
        <v>14.1</v>
      </c>
      <c r="K519" t="n">
        <v>0</v>
      </c>
      <c r="L519" t="n">
        <v>1</v>
      </c>
      <c r="M519" t="n">
        <v>190.7603</v>
      </c>
      <c r="N519" t="n">
        <v>74133</v>
      </c>
      <c r="O519" t="n">
        <v>46289333</v>
      </c>
    </row>
    <row r="520">
      <c r="B520" t="inlineStr">
        <is>
          <t>SP</t>
        </is>
      </c>
      <c r="C520" t="n">
        <v>2021</v>
      </c>
      <c r="D520" t="n">
        <v>3.48</v>
      </c>
      <c r="E520" t="n">
        <v>129.04</v>
      </c>
      <c r="F520" t="n">
        <v>7.3914</v>
      </c>
      <c r="G520" t="n">
        <v>11.0053</v>
      </c>
      <c r="H520" t="n">
        <v>58302</v>
      </c>
      <c r="I520" t="n">
        <v>10.9734</v>
      </c>
      <c r="J520" t="n">
        <v>13.5</v>
      </c>
      <c r="K520" t="n">
        <v>0</v>
      </c>
      <c r="L520" t="n">
        <v>1</v>
      </c>
      <c r="M520" t="n">
        <v>190.7603</v>
      </c>
      <c r="N520" t="n">
        <v>134327</v>
      </c>
      <c r="O520" t="n">
        <v>46649132</v>
      </c>
    </row>
    <row r="521">
      <c r="B521" t="inlineStr">
        <is>
          <t>SP</t>
        </is>
      </c>
      <c r="C521" t="n">
        <v>2022</v>
      </c>
      <c r="D521" t="n">
        <v>3.71</v>
      </c>
      <c r="E521" t="n">
        <v>190.76</v>
      </c>
      <c r="F521" t="n">
        <v>7.4079</v>
      </c>
      <c r="G521" t="n">
        <v>11.3471</v>
      </c>
      <c r="H521" t="n">
        <v>70485</v>
      </c>
      <c r="I521" t="n">
        <v>11.1632</v>
      </c>
      <c r="J521" t="n">
        <v>9.1</v>
      </c>
      <c r="K521" t="n">
        <v>0</v>
      </c>
      <c r="L521" t="n">
        <v>0</v>
      </c>
      <c r="M521" t="n">
        <v>190.7603</v>
      </c>
      <c r="N521" t="n">
        <v>219046</v>
      </c>
      <c r="O521" t="n">
        <v>44411238</v>
      </c>
    </row>
    <row r="522">
      <c r="B522" t="inlineStr">
        <is>
          <t>SP</t>
        </is>
      </c>
      <c r="C522" t="n">
        <v>2023</v>
      </c>
      <c r="D522" t="n">
        <v>3.29</v>
      </c>
      <c r="E522" t="n">
        <v>0.44</v>
      </c>
      <c r="F522" t="n">
        <v>7.2876</v>
      </c>
      <c r="G522" t="n">
        <v>5.2781</v>
      </c>
      <c r="H522" t="n">
        <v>77566</v>
      </c>
      <c r="I522" t="n">
        <v>11.2589</v>
      </c>
      <c r="J522" t="n">
        <v>7.6</v>
      </c>
      <c r="K522" t="n">
        <v>1</v>
      </c>
      <c r="L522" t="n">
        <v>0</v>
      </c>
      <c r="M522" t="n">
        <v>190.7603</v>
      </c>
      <c r="N522" t="n">
        <v>219242</v>
      </c>
      <c r="O522" t="n">
        <v>44411238</v>
      </c>
    </row>
    <row r="523">
      <c r="B523" t="inlineStr">
        <is>
          <t>SP</t>
        </is>
      </c>
      <c r="C523" t="n">
        <v>2024</v>
      </c>
      <c r="D523" t="n">
        <v>3.13</v>
      </c>
      <c r="E523" t="n">
        <v>59.74</v>
      </c>
      <c r="F523" t="n">
        <v>7.2724</v>
      </c>
      <c r="G523" t="n">
        <v>10.2206</v>
      </c>
      <c r="H523" t="n">
        <v>82767</v>
      </c>
      <c r="I523" t="n">
        <v>11.3238</v>
      </c>
      <c r="J523" t="n">
        <v>6.5</v>
      </c>
      <c r="K523" t="n">
        <v>1</v>
      </c>
      <c r="L523" t="n">
        <v>0</v>
      </c>
      <c r="M523" t="n">
        <v>190.7603</v>
      </c>
      <c r="N523" t="n">
        <v>246705</v>
      </c>
      <c r="O523" t="n">
        <v>45973194</v>
      </c>
    </row>
    <row r="524">
      <c r="B524" t="inlineStr">
        <is>
          <t>TO</t>
        </is>
      </c>
      <c r="C524" t="n">
        <v>2005</v>
      </c>
      <c r="D524" t="n">
        <v>6.28</v>
      </c>
      <c r="E524" t="n">
        <v>1.38</v>
      </c>
      <c r="F524" t="n">
        <v>4.4067</v>
      </c>
      <c r="G524" t="n">
        <v>2.8904</v>
      </c>
      <c r="H524" t="n">
        <v>6939</v>
      </c>
      <c r="I524" t="n">
        <v>8.844900000000001</v>
      </c>
      <c r="J524" t="n">
        <v>7.1</v>
      </c>
      <c r="K524" t="n">
        <v>0</v>
      </c>
      <c r="L524" t="n">
        <v>0</v>
      </c>
      <c r="M524" t="n">
        <v>202.1886</v>
      </c>
      <c r="N524" t="n">
        <v>18</v>
      </c>
      <c r="O524" t="n">
        <v>1305728</v>
      </c>
    </row>
    <row r="525">
      <c r="B525" t="inlineStr">
        <is>
          <t>TO</t>
        </is>
      </c>
      <c r="C525" t="n">
        <v>2006</v>
      </c>
      <c r="D525" t="n">
        <v>6.68</v>
      </c>
      <c r="E525" t="n">
        <v>1.65</v>
      </c>
      <c r="F525" t="n">
        <v>4.4886</v>
      </c>
      <c r="G525" t="n">
        <v>3.091</v>
      </c>
      <c r="H525" t="n">
        <v>7209</v>
      </c>
      <c r="I525" t="n">
        <v>8.883100000000001</v>
      </c>
      <c r="J525" t="n">
        <v>6.91</v>
      </c>
      <c r="K525" t="n">
        <v>0</v>
      </c>
      <c r="L525" t="n">
        <v>0</v>
      </c>
      <c r="M525" t="n">
        <v>202.1886</v>
      </c>
      <c r="N525" t="n">
        <v>40</v>
      </c>
      <c r="O525" t="n">
        <v>1332441</v>
      </c>
    </row>
    <row r="526">
      <c r="B526" t="inlineStr">
        <is>
          <t>TO</t>
        </is>
      </c>
      <c r="C526" t="n">
        <v>2007</v>
      </c>
      <c r="D526" t="n">
        <v>6.83</v>
      </c>
      <c r="E526" t="n">
        <v>1.05</v>
      </c>
      <c r="F526" t="n">
        <v>4.4427</v>
      </c>
      <c r="G526" t="n">
        <v>2.5649</v>
      </c>
      <c r="H526" t="n">
        <v>8921</v>
      </c>
      <c r="I526" t="n">
        <v>9.0962</v>
      </c>
      <c r="J526" t="n">
        <v>6.83</v>
      </c>
      <c r="K526" t="n">
        <v>0</v>
      </c>
      <c r="L526" t="n">
        <v>0</v>
      </c>
      <c r="M526" t="n">
        <v>202.1886</v>
      </c>
      <c r="N526" t="n">
        <v>53</v>
      </c>
      <c r="O526" t="n">
        <v>1243627</v>
      </c>
    </row>
    <row r="527">
      <c r="B527" t="inlineStr">
        <is>
          <t>TO</t>
        </is>
      </c>
      <c r="C527" t="n">
        <v>2008</v>
      </c>
      <c r="D527" t="n">
        <v>7.34</v>
      </c>
      <c r="E527" t="n">
        <v>0.7</v>
      </c>
      <c r="F527" t="n">
        <v>4.5433</v>
      </c>
      <c r="G527" t="n">
        <v>2.1972</v>
      </c>
      <c r="H527" t="n">
        <v>10222</v>
      </c>
      <c r="I527" t="n">
        <v>9.2323</v>
      </c>
      <c r="J527" t="n">
        <v>6.49</v>
      </c>
      <c r="K527" t="n">
        <v>0</v>
      </c>
      <c r="L527" t="n">
        <v>0</v>
      </c>
      <c r="M527" t="n">
        <v>202.1886</v>
      </c>
      <c r="N527" t="n">
        <v>62</v>
      </c>
      <c r="O527" t="n">
        <v>1280513</v>
      </c>
    </row>
    <row r="528">
      <c r="B528" t="inlineStr">
        <is>
          <t>TO</t>
        </is>
      </c>
      <c r="C528" t="n">
        <v>2009</v>
      </c>
      <c r="D528" t="n">
        <v>9.52</v>
      </c>
      <c r="E528" t="n">
        <v>0.93</v>
      </c>
      <c r="F528" t="n">
        <v>4.8122</v>
      </c>
      <c r="G528" t="n">
        <v>2.4849</v>
      </c>
      <c r="H528" t="n">
        <v>11277</v>
      </c>
      <c r="I528" t="n">
        <v>9.330500000000001</v>
      </c>
      <c r="J528" t="n">
        <v>7.88</v>
      </c>
      <c r="K528" t="n">
        <v>0</v>
      </c>
      <c r="L528" t="n">
        <v>0</v>
      </c>
      <c r="M528" t="n">
        <v>202.1886</v>
      </c>
      <c r="N528" t="n">
        <v>74</v>
      </c>
      <c r="O528" t="n">
        <v>1292051</v>
      </c>
    </row>
    <row r="529">
      <c r="B529" t="inlineStr">
        <is>
          <t>TO</t>
        </is>
      </c>
      <c r="C529" t="n">
        <v>2010</v>
      </c>
      <c r="D529" t="n">
        <v>9.039999999999999</v>
      </c>
      <c r="E529" t="n">
        <v>1.73</v>
      </c>
      <c r="F529" t="n">
        <v>4.8283</v>
      </c>
      <c r="G529" t="n">
        <v>3.1781</v>
      </c>
      <c r="H529" t="n">
        <v>11858</v>
      </c>
      <c r="I529" t="n">
        <v>9.380800000000001</v>
      </c>
      <c r="J529" t="n">
        <v>7.61</v>
      </c>
      <c r="K529" t="n">
        <v>0</v>
      </c>
      <c r="L529" t="n">
        <v>0</v>
      </c>
      <c r="M529" t="n">
        <v>202.1886</v>
      </c>
      <c r="N529" t="n">
        <v>98</v>
      </c>
      <c r="O529" t="n">
        <v>1383445</v>
      </c>
    </row>
    <row r="530">
      <c r="B530" t="inlineStr">
        <is>
          <t>TO</t>
        </is>
      </c>
      <c r="C530" t="n">
        <v>2011</v>
      </c>
      <c r="D530" t="n">
        <v>11.21</v>
      </c>
      <c r="E530" t="n">
        <v>2.64</v>
      </c>
      <c r="F530" t="n">
        <v>5.0562</v>
      </c>
      <c r="G530" t="n">
        <v>3.6109</v>
      </c>
      <c r="H530" t="n">
        <v>13096</v>
      </c>
      <c r="I530" t="n">
        <v>9.4801</v>
      </c>
      <c r="J530" t="n">
        <v>7.33</v>
      </c>
      <c r="K530" t="n">
        <v>0</v>
      </c>
      <c r="L530" t="n">
        <v>0</v>
      </c>
      <c r="M530" t="n">
        <v>202.1886</v>
      </c>
      <c r="N530" t="n">
        <v>135</v>
      </c>
      <c r="O530" t="n">
        <v>1400892</v>
      </c>
    </row>
    <row r="531">
      <c r="B531" t="inlineStr">
        <is>
          <t>TO</t>
        </is>
      </c>
      <c r="C531" t="n">
        <v>2012</v>
      </c>
      <c r="D531" t="n">
        <v>12.13</v>
      </c>
      <c r="E531" t="n">
        <v>3.1</v>
      </c>
      <c r="F531" t="n">
        <v>5.1475</v>
      </c>
      <c r="G531" t="n">
        <v>3.7842</v>
      </c>
      <c r="H531" t="n">
        <v>14590</v>
      </c>
      <c r="I531" t="n">
        <v>9.588100000000001</v>
      </c>
      <c r="J531" t="n">
        <v>6.47</v>
      </c>
      <c r="K531" t="n">
        <v>0</v>
      </c>
      <c r="L531" t="n">
        <v>0</v>
      </c>
      <c r="M531" t="n">
        <v>202.1886</v>
      </c>
      <c r="N531" t="n">
        <v>179</v>
      </c>
      <c r="O531" t="n">
        <v>1417694</v>
      </c>
    </row>
    <row r="532">
      <c r="B532" t="inlineStr">
        <is>
          <t>TO</t>
        </is>
      </c>
      <c r="C532" t="n">
        <v>2013</v>
      </c>
      <c r="D532" t="n">
        <v>9.470000000000001</v>
      </c>
      <c r="E532" t="n">
        <v>1.56</v>
      </c>
      <c r="F532" t="n">
        <v>4.9416</v>
      </c>
      <c r="G532" t="n">
        <v>3.1355</v>
      </c>
      <c r="H532" t="n">
        <v>16099</v>
      </c>
      <c r="I532" t="n">
        <v>9.686500000000001</v>
      </c>
      <c r="J532" t="n">
        <v>7.06</v>
      </c>
      <c r="K532" t="n">
        <v>0</v>
      </c>
      <c r="L532" t="n">
        <v>0</v>
      </c>
      <c r="M532" t="n">
        <v>202.1886</v>
      </c>
      <c r="N532" t="n">
        <v>202</v>
      </c>
      <c r="O532" t="n">
        <v>1478164</v>
      </c>
    </row>
    <row r="533">
      <c r="B533" t="inlineStr">
        <is>
          <t>TO</t>
        </is>
      </c>
      <c r="C533" t="n">
        <v>2014</v>
      </c>
      <c r="D533" t="n">
        <v>10.96</v>
      </c>
      <c r="E533" t="n">
        <v>1.14</v>
      </c>
      <c r="F533" t="n">
        <v>5.0999</v>
      </c>
      <c r="G533" t="n">
        <v>2.8332</v>
      </c>
      <c r="H533" t="n">
        <v>17496</v>
      </c>
      <c r="I533" t="n">
        <v>9.7697</v>
      </c>
      <c r="J533" t="n">
        <v>6.44</v>
      </c>
      <c r="K533" t="n">
        <v>0</v>
      </c>
      <c r="L533" t="n">
        <v>0</v>
      </c>
      <c r="M533" t="n">
        <v>202.1886</v>
      </c>
      <c r="N533" t="n">
        <v>219</v>
      </c>
      <c r="O533" t="n">
        <v>1496880</v>
      </c>
    </row>
    <row r="534">
      <c r="B534" t="inlineStr">
        <is>
          <t>TO</t>
        </is>
      </c>
      <c r="C534" t="n">
        <v>2015</v>
      </c>
      <c r="D534" t="n">
        <v>17.75</v>
      </c>
      <c r="E534" t="n">
        <v>0.53</v>
      </c>
      <c r="F534" t="n">
        <v>5.5947</v>
      </c>
      <c r="G534" t="n">
        <v>2.0794</v>
      </c>
      <c r="H534" t="n">
        <v>19094</v>
      </c>
      <c r="I534" t="n">
        <v>9.857100000000001</v>
      </c>
      <c r="J534" t="n">
        <v>8.699999999999999</v>
      </c>
      <c r="K534" t="n">
        <v>0</v>
      </c>
      <c r="L534" t="n">
        <v>0</v>
      </c>
      <c r="M534" t="n">
        <v>202.1886</v>
      </c>
      <c r="N534" t="n">
        <v>227</v>
      </c>
      <c r="O534" t="n">
        <v>1515126</v>
      </c>
    </row>
    <row r="535">
      <c r="B535" t="inlineStr">
        <is>
          <t>TO</t>
        </is>
      </c>
      <c r="C535" t="n">
        <v>2016</v>
      </c>
      <c r="D535" t="n">
        <v>19.77</v>
      </c>
      <c r="E535" t="n">
        <v>3.85</v>
      </c>
      <c r="F535" t="n">
        <v>5.7137</v>
      </c>
      <c r="G535" t="n">
        <v>4.0775</v>
      </c>
      <c r="H535" t="n">
        <v>20605</v>
      </c>
      <c r="I535" t="n">
        <v>9.933299999999999</v>
      </c>
      <c r="J535" t="n">
        <v>11.5</v>
      </c>
      <c r="K535" t="n">
        <v>0</v>
      </c>
      <c r="L535" t="n">
        <v>0</v>
      </c>
      <c r="M535" t="n">
        <v>202.1886</v>
      </c>
      <c r="N535" t="n">
        <v>286</v>
      </c>
      <c r="O535" t="n">
        <v>1532902</v>
      </c>
    </row>
    <row r="536">
      <c r="B536" t="inlineStr">
        <is>
          <t>TO</t>
        </is>
      </c>
      <c r="C536" t="n">
        <v>2017</v>
      </c>
      <c r="D536" t="n">
        <v>20.71</v>
      </c>
      <c r="E536" t="n">
        <v>3.74</v>
      </c>
      <c r="F536" t="n">
        <v>5.7714</v>
      </c>
      <c r="G536" t="n">
        <v>4.0604</v>
      </c>
      <c r="H536" t="n">
        <v>22002</v>
      </c>
      <c r="I536" t="n">
        <v>9.998900000000001</v>
      </c>
      <c r="J536" t="n">
        <v>11.7</v>
      </c>
      <c r="K536" t="n">
        <v>0</v>
      </c>
      <c r="L536" t="n">
        <v>0</v>
      </c>
      <c r="M536" t="n">
        <v>202.1886</v>
      </c>
      <c r="N536" t="n">
        <v>344</v>
      </c>
      <c r="O536" t="n">
        <v>1550194</v>
      </c>
    </row>
    <row r="537">
      <c r="B537" t="inlineStr">
        <is>
          <t>TO</t>
        </is>
      </c>
      <c r="C537" t="n">
        <v>2018</v>
      </c>
      <c r="D537" t="n">
        <v>19.74</v>
      </c>
      <c r="E537" t="n">
        <v>6.62</v>
      </c>
      <c r="F537" t="n">
        <v>5.7268</v>
      </c>
      <c r="G537" t="n">
        <v>4.6347</v>
      </c>
      <c r="H537" t="n">
        <v>22933</v>
      </c>
      <c r="I537" t="n">
        <v>10.0403</v>
      </c>
      <c r="J537" t="n">
        <v>10.7</v>
      </c>
      <c r="K537" t="n">
        <v>0</v>
      </c>
      <c r="L537" t="n">
        <v>0</v>
      </c>
      <c r="M537" t="n">
        <v>202.1886</v>
      </c>
      <c r="N537" t="n">
        <v>447</v>
      </c>
      <c r="O537" t="n">
        <v>1555229</v>
      </c>
    </row>
    <row r="538">
      <c r="B538" t="inlineStr">
        <is>
          <t>TO</t>
        </is>
      </c>
      <c r="C538" t="n">
        <v>2019</v>
      </c>
      <c r="D538" t="n">
        <v>15.7</v>
      </c>
      <c r="E538" t="n">
        <v>27.47</v>
      </c>
      <c r="F538" t="n">
        <v>5.5094</v>
      </c>
      <c r="G538" t="n">
        <v>6.0684</v>
      </c>
      <c r="H538" t="n">
        <v>25022</v>
      </c>
      <c r="I538" t="n">
        <v>10.1275</v>
      </c>
      <c r="J538" t="n">
        <v>11</v>
      </c>
      <c r="K538" t="n">
        <v>0</v>
      </c>
      <c r="L538" t="n">
        <v>0</v>
      </c>
      <c r="M538" t="n">
        <v>202.1886</v>
      </c>
      <c r="N538" t="n">
        <v>879</v>
      </c>
      <c r="O538" t="n">
        <v>1572866</v>
      </c>
    </row>
    <row r="539">
      <c r="B539" t="inlineStr">
        <is>
          <t>TO</t>
        </is>
      </c>
      <c r="C539" t="n">
        <v>2020</v>
      </c>
      <c r="D539" t="n">
        <v>17.29</v>
      </c>
      <c r="E539" t="n">
        <v>47.35</v>
      </c>
      <c r="F539" t="n">
        <v>5.6168</v>
      </c>
      <c r="G539" t="n">
        <v>6.6241</v>
      </c>
      <c r="H539" t="n">
        <v>27448</v>
      </c>
      <c r="I539" t="n">
        <v>10.22</v>
      </c>
      <c r="J539" t="n">
        <v>12.1</v>
      </c>
      <c r="K539" t="n">
        <v>0</v>
      </c>
      <c r="L539" t="n">
        <v>1</v>
      </c>
      <c r="M539" t="n">
        <v>202.1886</v>
      </c>
      <c r="N539" t="n">
        <v>1632</v>
      </c>
      <c r="O539" t="n">
        <v>1590248</v>
      </c>
    </row>
    <row r="540">
      <c r="B540" t="inlineStr">
        <is>
          <t>TO</t>
        </is>
      </c>
      <c r="C540" t="n">
        <v>2021</v>
      </c>
      <c r="D540" t="n">
        <v>15.62</v>
      </c>
      <c r="E540" t="n">
        <v>100.91</v>
      </c>
      <c r="F540" t="n">
        <v>5.5255</v>
      </c>
      <c r="G540" t="n">
        <v>7.3914</v>
      </c>
      <c r="H540" t="n">
        <v>32215</v>
      </c>
      <c r="I540" t="n">
        <v>10.3802</v>
      </c>
      <c r="J540" t="n">
        <v>13.4</v>
      </c>
      <c r="K540" t="n">
        <v>0</v>
      </c>
      <c r="L540" t="n">
        <v>1</v>
      </c>
      <c r="M540" t="n">
        <v>202.1886</v>
      </c>
      <c r="N540" t="n">
        <v>3254</v>
      </c>
      <c r="O540" t="n">
        <v>1607363</v>
      </c>
    </row>
    <row r="541">
      <c r="B541" t="inlineStr">
        <is>
          <t>TO</t>
        </is>
      </c>
      <c r="C541" t="n">
        <v>2022</v>
      </c>
      <c r="D541" t="n">
        <v>16.41</v>
      </c>
      <c r="E541" t="n">
        <v>202.19</v>
      </c>
      <c r="F541" t="n">
        <v>5.5134</v>
      </c>
      <c r="G541" t="n">
        <v>8.024900000000001</v>
      </c>
      <c r="H541" t="n">
        <v>38512</v>
      </c>
      <c r="I541" t="n">
        <v>10.5587</v>
      </c>
      <c r="J541" t="n">
        <v>6.4</v>
      </c>
      <c r="K541" t="n">
        <v>0</v>
      </c>
      <c r="L541" t="n">
        <v>0</v>
      </c>
      <c r="M541" t="n">
        <v>202.1886</v>
      </c>
      <c r="N541" t="n">
        <v>6310</v>
      </c>
      <c r="O541" t="n">
        <v>1511460</v>
      </c>
    </row>
    <row r="542">
      <c r="B542" t="inlineStr">
        <is>
          <t>TO</t>
        </is>
      </c>
      <c r="C542" t="n">
        <v>2023</v>
      </c>
      <c r="D542" t="n">
        <v>17.67</v>
      </c>
      <c r="E542" t="n">
        <v>0.33</v>
      </c>
      <c r="F542" t="n">
        <v>5.5872</v>
      </c>
      <c r="G542" t="n">
        <v>1.6094</v>
      </c>
      <c r="H542" t="n">
        <v>42553</v>
      </c>
      <c r="I542" t="n">
        <v>10.6585</v>
      </c>
      <c r="J542" t="n">
        <v>6.1</v>
      </c>
      <c r="K542" t="n">
        <v>1</v>
      </c>
      <c r="L542" t="n">
        <v>0</v>
      </c>
      <c r="M542" t="n">
        <v>202.1886</v>
      </c>
      <c r="N542" t="n">
        <v>6315</v>
      </c>
      <c r="O542" t="n">
        <v>1511460</v>
      </c>
    </row>
    <row r="543">
      <c r="B543" t="inlineStr">
        <is>
          <t>TO</t>
        </is>
      </c>
      <c r="C543" t="n">
        <v>2024</v>
      </c>
      <c r="D543" t="n">
        <v>8.619999999999999</v>
      </c>
      <c r="E543" t="n">
        <v>41.34</v>
      </c>
      <c r="F543" t="n">
        <v>4.9127</v>
      </c>
      <c r="G543" t="n">
        <v>6.48</v>
      </c>
      <c r="H543" t="n">
        <v>45296</v>
      </c>
      <c r="I543" t="n">
        <v>10.721</v>
      </c>
      <c r="J543" t="n">
        <v>5.4</v>
      </c>
      <c r="K543" t="n">
        <v>1</v>
      </c>
      <c r="L543" t="n">
        <v>0</v>
      </c>
      <c r="M543" t="n">
        <v>202.1886</v>
      </c>
      <c r="N543" t="n">
        <v>6967</v>
      </c>
      <c r="O543" t="n">
        <v>1577342</v>
      </c>
    </row>
    <row r="544">
      <c r="B544" t="inlineStr">
        <is>
          <t>INT_i = CRs emitidos em 2022 / pop_2022 × 100.000 (intensidade de tratamento — fixo por UF, pré-determinado). POST_2023 = 1 se ano ≥ 2023. D_pandemia = 1 para 2020–2021. ln_* = logaritmo natural (ln_CRs ausente quando CRs=0). Estoque_CRs = CRs acumulados desde 2005 até o ano t por UF. Variáveis prontas para estimação OLS/FE com R/Python/Stata.</t>
        </is>
      </c>
    </row>
  </sheetData>
  <mergeCells count="3">
    <mergeCell ref="B2:M2"/>
    <mergeCell ref="B544:O544"/>
    <mergeCell ref="B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:L1"/>
    </sheetView>
  </sheetViews>
  <sheetFormatPr baseColWidth="8" defaultColWidth="8.6328125" defaultRowHeight="14.5"/>
  <cols>
    <col width="7" customWidth="1" style="186" min="1" max="2"/>
    <col width="10" customWidth="1" style="186" min="3" max="6"/>
    <col width="13" customWidth="1" style="186" min="7" max="7"/>
    <col width="10" customWidth="1" style="186" min="8" max="9"/>
    <col width="8" customWidth="1" style="186" min="10" max="11"/>
    <col width="10" customWidth="1" style="186" min="12" max="12"/>
    <col width="14" customWidth="1" style="186" min="13" max="13"/>
  </cols>
  <sheetData>
    <row r="1" ht="19.5" customHeight="1" s="186">
      <c r="A1" s="192" t="inlineStr">
        <is>
          <t>painel — Variáveis para Estimação (flat, Python-ready) | 27 UFs × 8 Anos (2016–2023)</t>
        </is>
      </c>
    </row>
    <row r="2" ht="12.75" customHeight="1" s="186">
      <c r="A2" s="191" t="inlineStr">
        <is>
          <t>Importar com: pd.read_excel(..., sheet_name='painel', header=2) → df.set_index(['uf','ano'])</t>
        </is>
      </c>
    </row>
    <row r="3" ht="19.5" customHeight="1" s="186">
      <c r="A3" s="1" t="inlineStr">
        <is>
          <t>uf</t>
        </is>
      </c>
      <c r="B3" s="1" t="inlineStr">
        <is>
          <t>ano</t>
        </is>
      </c>
      <c r="C3" s="41" t="inlineStr">
        <is>
          <t>hom100</t>
        </is>
      </c>
      <c r="D3" s="2" t="inlineStr">
        <is>
          <t>crs100</t>
        </is>
      </c>
      <c r="E3" s="41" t="inlineStr">
        <is>
          <t>ln_hom</t>
        </is>
      </c>
      <c r="F3" s="2" t="inlineStr">
        <is>
          <t>ln_crs</t>
        </is>
      </c>
      <c r="G3" s="54" t="inlineStr">
        <is>
          <t>pibpc</t>
        </is>
      </c>
      <c r="H3" s="54" t="inlineStr">
        <is>
          <t>ln_pibpc</t>
        </is>
      </c>
      <c r="I3" s="84" t="inlineStr">
        <is>
          <t>desemp</t>
        </is>
      </c>
      <c r="J3" s="40" t="inlineStr">
        <is>
          <t>post</t>
        </is>
      </c>
      <c r="K3" s="84" t="inlineStr">
        <is>
          <t>d_pan</t>
        </is>
      </c>
      <c r="L3" s="39" t="inlineStr">
        <is>
          <t>int_i</t>
        </is>
      </c>
      <c r="M3" s="62" t="inlineStr">
        <is>
          <t>pop</t>
        </is>
      </c>
    </row>
    <row r="4" ht="27.75" customHeight="1" s="186">
      <c r="A4" s="116" t="inlineStr">
        <is>
          <t>UF (2 letras)</t>
        </is>
      </c>
      <c r="B4" s="116" t="inlineStr">
        <is>
          <t>Ano (2016–2023)</t>
        </is>
      </c>
      <c r="C4" s="116" t="inlineStr">
        <is>
          <t>Hom. arma/100mil hab.</t>
        </is>
      </c>
      <c r="D4" s="116" t="inlineStr">
        <is>
          <t>CRs CAC/100mil hab.</t>
        </is>
      </c>
      <c r="E4" s="116" t="inlineStr">
        <is>
          <t>ln(homicídios abs.)</t>
        </is>
      </c>
      <c r="F4" s="116" t="inlineStr">
        <is>
          <t>ln(CRs abs.) — 0 se missing</t>
        </is>
      </c>
      <c r="G4" s="116" t="inlineStr">
        <is>
          <t>PIB per capita R$ corr.</t>
        </is>
      </c>
      <c r="H4" s="116" t="inlineStr">
        <is>
          <t>ln(PIBpc)</t>
        </is>
      </c>
      <c r="I4" s="116" t="inlineStr">
        <is>
          <t>Tx desocupação anual %</t>
        </is>
      </c>
      <c r="J4" s="116" t="inlineStr">
        <is>
          <t>1 se ano ≥ 2023</t>
        </is>
      </c>
      <c r="K4" s="116" t="inlineStr">
        <is>
          <t>1 se ano ∈ {2020,2021}</t>
        </is>
      </c>
      <c r="L4" s="116" t="inlineStr">
        <is>
          <t>CRs_2022/pop_2022×100mil</t>
        </is>
      </c>
      <c r="M4" s="116" t="inlineStr">
        <is>
          <t>População residente (hab.)</t>
        </is>
      </c>
    </row>
    <row r="5" ht="13.5" customHeight="1" s="186">
      <c r="A5" s="97" t="inlineStr">
        <is>
          <t>AC</t>
        </is>
      </c>
      <c r="B5" s="117" t="n">
        <v>2016</v>
      </c>
      <c r="C5" s="98" t="n">
        <v>27.55</v>
      </c>
      <c r="D5" s="99" t="n">
        <v>1.22</v>
      </c>
      <c r="E5" s="100" t="n">
        <v>5.4161</v>
      </c>
      <c r="F5" s="101" t="n">
        <v>2.3026</v>
      </c>
      <c r="G5" s="77" t="n">
        <v>16842</v>
      </c>
      <c r="H5" s="102" t="n">
        <v>9.7316</v>
      </c>
      <c r="I5" s="85" t="n">
        <v>10.9</v>
      </c>
      <c r="J5" s="117" t="n">
        <v>0</v>
      </c>
      <c r="K5" s="117" t="n">
        <v>0</v>
      </c>
      <c r="L5" s="101" t="n">
        <v>72.89</v>
      </c>
      <c r="M5" s="118" t="n">
        <v>816687</v>
      </c>
    </row>
    <row r="6" ht="13.5" customHeight="1" s="186">
      <c r="A6" s="105" t="inlineStr">
        <is>
          <t>AC</t>
        </is>
      </c>
      <c r="B6" s="119" t="n">
        <v>2017</v>
      </c>
      <c r="C6" s="106" t="n">
        <v>45.92</v>
      </c>
      <c r="D6" s="120" t="n">
        <v>2.77</v>
      </c>
      <c r="E6" s="108" t="n">
        <v>5.9428</v>
      </c>
      <c r="F6" s="121" t="n">
        <v>3.1355</v>
      </c>
      <c r="G6" s="122" t="n">
        <v>17204</v>
      </c>
      <c r="H6" s="123" t="n">
        <v>9.7529</v>
      </c>
      <c r="I6" s="89" t="n">
        <v>14.2</v>
      </c>
      <c r="J6" s="119" t="n">
        <v>0</v>
      </c>
      <c r="K6" s="119" t="n">
        <v>0</v>
      </c>
      <c r="L6" s="109" t="n">
        <v>72.89</v>
      </c>
      <c r="M6" s="124" t="n">
        <v>829619</v>
      </c>
    </row>
    <row r="7" ht="13.5" customHeight="1" s="186">
      <c r="A7" s="97" t="inlineStr">
        <is>
          <t>AC</t>
        </is>
      </c>
      <c r="B7" s="117" t="n">
        <v>2018</v>
      </c>
      <c r="C7" s="98" t="n">
        <v>35.55</v>
      </c>
      <c r="D7" s="99" t="n">
        <v>7.59</v>
      </c>
      <c r="E7" s="100" t="n">
        <v>5.7333</v>
      </c>
      <c r="F7" s="101" t="n">
        <v>4.1897</v>
      </c>
      <c r="G7" s="77" t="n">
        <v>17637</v>
      </c>
      <c r="H7" s="102" t="n">
        <v>9.777699999999999</v>
      </c>
      <c r="I7" s="85" t="n">
        <v>13.7</v>
      </c>
      <c r="J7" s="117" t="n">
        <v>0</v>
      </c>
      <c r="K7" s="117" t="n">
        <v>0</v>
      </c>
      <c r="L7" s="101" t="n">
        <v>72.89</v>
      </c>
      <c r="M7" s="118" t="n">
        <v>869265</v>
      </c>
    </row>
    <row r="8" ht="13.5" customHeight="1" s="186">
      <c r="A8" s="105" t="inlineStr">
        <is>
          <t>AC</t>
        </is>
      </c>
      <c r="B8" s="119" t="n">
        <v>2019</v>
      </c>
      <c r="C8" s="106" t="n">
        <v>24.95</v>
      </c>
      <c r="D8" s="120" t="n">
        <v>18.03</v>
      </c>
      <c r="E8" s="108" t="n">
        <v>5.3936</v>
      </c>
      <c r="F8" s="121" t="n">
        <v>5.0689</v>
      </c>
      <c r="G8" s="122" t="n">
        <v>17722</v>
      </c>
      <c r="H8" s="123" t="n">
        <v>9.7826</v>
      </c>
      <c r="I8" s="89" t="n">
        <v>14.7</v>
      </c>
      <c r="J8" s="119" t="n">
        <v>0</v>
      </c>
      <c r="K8" s="119" t="n">
        <v>0</v>
      </c>
      <c r="L8" s="109" t="n">
        <v>72.89</v>
      </c>
      <c r="M8" s="124" t="n">
        <v>881935</v>
      </c>
    </row>
    <row r="9" ht="13.5" customHeight="1" s="186">
      <c r="A9" s="97" t="inlineStr">
        <is>
          <t>AC</t>
        </is>
      </c>
      <c r="B9" s="117" t="n">
        <v>2020</v>
      </c>
      <c r="C9" s="98" t="n">
        <v>25.15</v>
      </c>
      <c r="D9" s="99" t="n">
        <v>37.68</v>
      </c>
      <c r="E9" s="100" t="n">
        <v>5.4161</v>
      </c>
      <c r="F9" s="101" t="n">
        <v>5.8201</v>
      </c>
      <c r="G9" s="77" t="n">
        <v>18420</v>
      </c>
      <c r="H9" s="102" t="n">
        <v>9.821199999999999</v>
      </c>
      <c r="I9" s="85" t="n">
        <v>15.2</v>
      </c>
      <c r="J9" s="117" t="n">
        <v>0</v>
      </c>
      <c r="K9" s="125" t="n">
        <v>1</v>
      </c>
      <c r="L9" s="101" t="n">
        <v>72.89</v>
      </c>
      <c r="M9" s="118" t="n">
        <v>894470</v>
      </c>
    </row>
    <row r="10" ht="13.5" customHeight="1" s="186">
      <c r="A10" s="105" t="inlineStr">
        <is>
          <t>AC</t>
        </is>
      </c>
      <c r="B10" s="119" t="n">
        <v>2021</v>
      </c>
      <c r="C10" s="106" t="n">
        <v>13.01</v>
      </c>
      <c r="D10" s="120" t="n">
        <v>59.99</v>
      </c>
      <c r="E10" s="108" t="n">
        <v>4.7707</v>
      </c>
      <c r="F10" s="121" t="n">
        <v>6.2989</v>
      </c>
      <c r="G10" s="122" t="n">
        <v>23569</v>
      </c>
      <c r="H10" s="123" t="n">
        <v>10.0677</v>
      </c>
      <c r="I10" s="89" t="n">
        <v>15.3</v>
      </c>
      <c r="J10" s="119" t="n">
        <v>0</v>
      </c>
      <c r="K10" s="125" t="n">
        <v>1</v>
      </c>
      <c r="L10" s="109" t="n">
        <v>72.89</v>
      </c>
      <c r="M10" s="124" t="n">
        <v>906876</v>
      </c>
    </row>
    <row r="11" ht="13.5" customHeight="1" s="186">
      <c r="A11" s="97" t="inlineStr">
        <is>
          <t>AC</t>
        </is>
      </c>
      <c r="B11" s="117" t="n">
        <v>2022</v>
      </c>
      <c r="C11" s="98" t="n">
        <v>17.23</v>
      </c>
      <c r="D11" s="99" t="n">
        <v>72.89</v>
      </c>
      <c r="E11" s="100" t="n">
        <v>4.9628</v>
      </c>
      <c r="F11" s="101" t="n">
        <v>6.4052</v>
      </c>
      <c r="G11" s="77" t="n">
        <v>28525</v>
      </c>
      <c r="H11" s="102" t="n">
        <v>10.2585</v>
      </c>
      <c r="I11" s="85" t="n">
        <v>11.6</v>
      </c>
      <c r="J11" s="117" t="n">
        <v>0</v>
      </c>
      <c r="K11" s="117" t="n">
        <v>0</v>
      </c>
      <c r="L11" s="101" t="n">
        <v>72.89</v>
      </c>
      <c r="M11" s="118" t="n">
        <v>830018</v>
      </c>
    </row>
    <row r="12" ht="13.5" customHeight="1" s="186">
      <c r="A12" s="105" t="inlineStr">
        <is>
          <t>AC</t>
        </is>
      </c>
      <c r="B12" s="119" t="n">
        <v>2023</v>
      </c>
      <c r="C12" s="106" t="n">
        <v>15.66</v>
      </c>
      <c r="D12" s="120" t="n">
        <v>0.12</v>
      </c>
      <c r="E12" s="108" t="n">
        <v>4.8675</v>
      </c>
      <c r="F12" s="121" t="n">
        <v>0</v>
      </c>
      <c r="G12" s="122" t="n">
        <v>31676</v>
      </c>
      <c r="H12" s="123" t="n">
        <v>10.3633</v>
      </c>
      <c r="I12" s="89" t="n">
        <v>7.9</v>
      </c>
      <c r="J12" s="126" t="n">
        <v>1</v>
      </c>
      <c r="K12" s="119" t="n">
        <v>0</v>
      </c>
      <c r="L12" s="109" t="n">
        <v>72.89</v>
      </c>
      <c r="M12" s="124" t="n">
        <v>830018</v>
      </c>
    </row>
    <row r="13" ht="13.5" customHeight="1" s="186">
      <c r="A13" s="97" t="inlineStr">
        <is>
          <t>AL</t>
        </is>
      </c>
      <c r="B13" s="117" t="n">
        <v>2016</v>
      </c>
      <c r="C13" s="98" t="n">
        <v>46.03</v>
      </c>
      <c r="D13" s="99" t="n">
        <v>0.8</v>
      </c>
      <c r="E13" s="100" t="n">
        <v>7.3434</v>
      </c>
      <c r="F13" s="101" t="n">
        <v>3.2958</v>
      </c>
      <c r="G13" s="77" t="n">
        <v>14727</v>
      </c>
      <c r="H13" s="102" t="n">
        <v>9.5975</v>
      </c>
      <c r="I13" s="85" t="n">
        <v>14.2</v>
      </c>
      <c r="J13" s="117" t="n">
        <v>0</v>
      </c>
      <c r="K13" s="117" t="n">
        <v>0</v>
      </c>
      <c r="L13" s="101" t="n">
        <v>111.5203</v>
      </c>
      <c r="M13" s="118" t="n">
        <v>3358963</v>
      </c>
    </row>
    <row r="14" ht="13.5" customHeight="1" s="186">
      <c r="A14" s="105" t="inlineStr">
        <is>
          <t>AL</t>
        </is>
      </c>
      <c r="B14" s="119" t="n">
        <v>2017</v>
      </c>
      <c r="C14" s="106" t="n">
        <v>45.56</v>
      </c>
      <c r="D14" s="120" t="n">
        <v>2.28</v>
      </c>
      <c r="E14" s="108" t="n">
        <v>7.3382</v>
      </c>
      <c r="F14" s="121" t="n">
        <v>4.3438</v>
      </c>
      <c r="G14" s="122" t="n">
        <v>15656</v>
      </c>
      <c r="H14" s="123" t="n">
        <v>9.6586</v>
      </c>
      <c r="I14" s="89" t="n">
        <v>16.9</v>
      </c>
      <c r="J14" s="119" t="n">
        <v>0</v>
      </c>
      <c r="K14" s="119" t="n">
        <v>0</v>
      </c>
      <c r="L14" s="109" t="n">
        <v>111.5203</v>
      </c>
      <c r="M14" s="124" t="n">
        <v>3375823</v>
      </c>
    </row>
    <row r="15" ht="13.5" customHeight="1" s="186">
      <c r="A15" s="97" t="inlineStr">
        <is>
          <t>AL</t>
        </is>
      </c>
      <c r="B15" s="117" t="n">
        <v>2018</v>
      </c>
      <c r="C15" s="98" t="n">
        <v>36.08</v>
      </c>
      <c r="D15" s="99" t="n">
        <v>3.64</v>
      </c>
      <c r="E15" s="100" t="n">
        <v>7.0892</v>
      </c>
      <c r="F15" s="101" t="n">
        <v>4.7958</v>
      </c>
      <c r="G15" s="77" t="n">
        <v>16376</v>
      </c>
      <c r="H15" s="102" t="n">
        <v>9.7035</v>
      </c>
      <c r="I15" s="85" t="n">
        <v>17.3</v>
      </c>
      <c r="J15" s="117" t="n">
        <v>0</v>
      </c>
      <c r="K15" s="117" t="n">
        <v>0</v>
      </c>
      <c r="L15" s="101" t="n">
        <v>111.5203</v>
      </c>
      <c r="M15" s="118" t="n">
        <v>3322820</v>
      </c>
    </row>
    <row r="16" ht="13.5" customHeight="1" s="186">
      <c r="A16" s="105" t="inlineStr">
        <is>
          <t>AL</t>
        </is>
      </c>
      <c r="B16" s="119" t="n">
        <v>2019</v>
      </c>
      <c r="C16" s="106" t="n">
        <v>25.68</v>
      </c>
      <c r="D16" s="120" t="n">
        <v>21.63</v>
      </c>
      <c r="E16" s="108" t="n">
        <v>6.7534</v>
      </c>
      <c r="F16" s="121" t="n">
        <v>6.582</v>
      </c>
      <c r="G16" s="122" t="n">
        <v>17668</v>
      </c>
      <c r="H16" s="123" t="n">
        <v>9.779500000000001</v>
      </c>
      <c r="I16" s="89" t="n">
        <v>15.1</v>
      </c>
      <c r="J16" s="119" t="n">
        <v>0</v>
      </c>
      <c r="K16" s="119" t="n">
        <v>0</v>
      </c>
      <c r="L16" s="109" t="n">
        <v>111.5203</v>
      </c>
      <c r="M16" s="124" t="n">
        <v>3337357</v>
      </c>
    </row>
    <row r="17" ht="13.5" customHeight="1" s="186">
      <c r="A17" s="97" t="inlineStr">
        <is>
          <t>AL</t>
        </is>
      </c>
      <c r="B17" s="117" t="n">
        <v>2020</v>
      </c>
      <c r="C17" s="98" t="n">
        <v>25.78</v>
      </c>
      <c r="D17" s="99" t="n">
        <v>37.62</v>
      </c>
      <c r="E17" s="100" t="n">
        <v>6.7616</v>
      </c>
      <c r="F17" s="101" t="n">
        <v>7.1397</v>
      </c>
      <c r="G17" s="77" t="n">
        <v>18858</v>
      </c>
      <c r="H17" s="102" t="n">
        <v>9.8447</v>
      </c>
      <c r="I17" s="85" t="n">
        <v>19.1</v>
      </c>
      <c r="J17" s="117" t="n">
        <v>0</v>
      </c>
      <c r="K17" s="125" t="n">
        <v>1</v>
      </c>
      <c r="L17" s="101" t="n">
        <v>111.5203</v>
      </c>
      <c r="M17" s="118" t="n">
        <v>3351543</v>
      </c>
    </row>
    <row r="18" ht="13.5" customHeight="1" s="186">
      <c r="A18" s="105" t="inlineStr">
        <is>
          <t>AL</t>
        </is>
      </c>
      <c r="B18" s="119" t="n">
        <v>2021</v>
      </c>
      <c r="C18" s="106" t="n">
        <v>21.78</v>
      </c>
      <c r="D18" s="120" t="n">
        <v>76.87</v>
      </c>
      <c r="E18" s="108" t="n">
        <v>6.5971</v>
      </c>
      <c r="F18" s="121" t="n">
        <v>7.8583</v>
      </c>
      <c r="G18" s="122" t="n">
        <v>22662</v>
      </c>
      <c r="H18" s="123" t="n">
        <v>10.0284</v>
      </c>
      <c r="I18" s="89" t="n">
        <v>17.8</v>
      </c>
      <c r="J18" s="119" t="n">
        <v>0</v>
      </c>
      <c r="K18" s="125" t="n">
        <v>1</v>
      </c>
      <c r="L18" s="109" t="n">
        <v>111.5203</v>
      </c>
      <c r="M18" s="124" t="n">
        <v>3365351</v>
      </c>
    </row>
    <row r="19" ht="13.5" customHeight="1" s="186">
      <c r="A19" s="97" t="inlineStr">
        <is>
          <t>AL</t>
        </is>
      </c>
      <c r="B19" s="117" t="n">
        <v>2022</v>
      </c>
      <c r="C19" s="98" t="n">
        <v>26.47</v>
      </c>
      <c r="D19" s="99" t="n">
        <v>111.52</v>
      </c>
      <c r="E19" s="100" t="n">
        <v>6.719</v>
      </c>
      <c r="F19" s="101" t="n">
        <v>8.1571</v>
      </c>
      <c r="G19" s="77" t="n">
        <v>24320</v>
      </c>
      <c r="H19" s="102" t="n">
        <v>10.0991</v>
      </c>
      <c r="I19" s="85" t="n">
        <v>11.2</v>
      </c>
      <c r="J19" s="117" t="n">
        <v>0</v>
      </c>
      <c r="K19" s="117" t="n">
        <v>0</v>
      </c>
      <c r="L19" s="101" t="n">
        <v>111.5203</v>
      </c>
      <c r="M19" s="118" t="n">
        <v>3127683</v>
      </c>
    </row>
    <row r="20" ht="13.5" customHeight="1" s="186">
      <c r="A20" s="105" t="inlineStr">
        <is>
          <t>AL</t>
        </is>
      </c>
      <c r="B20" s="119" t="n">
        <v>2023</v>
      </c>
      <c r="C20" s="106" t="n">
        <v>28.46</v>
      </c>
      <c r="D20" s="120" t="n">
        <v>0.13</v>
      </c>
      <c r="E20" s="108" t="n">
        <v>6.7912</v>
      </c>
      <c r="F20" s="121" t="n">
        <v>1.3863</v>
      </c>
      <c r="G20" s="122" t="n">
        <v>28676</v>
      </c>
      <c r="H20" s="123" t="n">
        <v>10.2638</v>
      </c>
      <c r="I20" s="89" t="n">
        <v>9.6</v>
      </c>
      <c r="J20" s="126" t="n">
        <v>1</v>
      </c>
      <c r="K20" s="119" t="n">
        <v>0</v>
      </c>
      <c r="L20" s="109" t="n">
        <v>111.5203</v>
      </c>
      <c r="M20" s="124" t="n">
        <v>3127683</v>
      </c>
    </row>
    <row r="21" ht="13.5" customHeight="1" s="186">
      <c r="A21" s="97" t="inlineStr">
        <is>
          <t>AM</t>
        </is>
      </c>
      <c r="B21" s="117" t="n">
        <v>2016</v>
      </c>
      <c r="C21" s="98" t="n">
        <v>19.79</v>
      </c>
      <c r="D21" s="99" t="n">
        <v>0.5</v>
      </c>
      <c r="E21" s="100" t="n">
        <v>6.6746</v>
      </c>
      <c r="F21" s="101" t="n">
        <v>2.9957</v>
      </c>
      <c r="G21" s="77" t="n">
        <v>22251</v>
      </c>
      <c r="H21" s="102" t="n">
        <v>10.0101</v>
      </c>
      <c r="I21" s="85" t="n">
        <v>13.8</v>
      </c>
      <c r="J21" s="117" t="n">
        <v>0</v>
      </c>
      <c r="K21" s="117" t="n">
        <v>0</v>
      </c>
      <c r="L21" s="101" t="n">
        <v>101.6081</v>
      </c>
      <c r="M21" s="118" t="n">
        <v>4001667</v>
      </c>
    </row>
    <row r="22" ht="13.5" customHeight="1" s="186">
      <c r="A22" s="105" t="inlineStr">
        <is>
          <t>AM</t>
        </is>
      </c>
      <c r="B22" s="119" t="n">
        <v>2017</v>
      </c>
      <c r="C22" s="106" t="n">
        <v>23.85</v>
      </c>
      <c r="D22" s="120" t="n">
        <v>2.17</v>
      </c>
      <c r="E22" s="108" t="n">
        <v>6.8763</v>
      </c>
      <c r="F22" s="121" t="n">
        <v>4.4773</v>
      </c>
      <c r="G22" s="122" t="n">
        <v>22945</v>
      </c>
      <c r="H22" s="123" t="n">
        <v>10.0409</v>
      </c>
      <c r="I22" s="89" t="n">
        <v>15.9</v>
      </c>
      <c r="J22" s="119" t="n">
        <v>0</v>
      </c>
      <c r="K22" s="119" t="n">
        <v>0</v>
      </c>
      <c r="L22" s="109" t="n">
        <v>101.6081</v>
      </c>
      <c r="M22" s="124" t="n">
        <v>4063614</v>
      </c>
    </row>
    <row r="23" ht="13.5" customHeight="1" s="186">
      <c r="A23" s="97" t="inlineStr">
        <is>
          <t>AM</t>
        </is>
      </c>
      <c r="B23" s="117" t="n">
        <v>2018</v>
      </c>
      <c r="C23" s="98" t="n">
        <v>23.43</v>
      </c>
      <c r="D23" s="99" t="n">
        <v>4.71</v>
      </c>
      <c r="E23" s="100" t="n">
        <v>6.8628</v>
      </c>
      <c r="F23" s="101" t="n">
        <v>5.2575</v>
      </c>
      <c r="G23" s="77" t="n">
        <v>24533</v>
      </c>
      <c r="H23" s="102" t="n">
        <v>10.1078</v>
      </c>
      <c r="I23" s="85" t="n">
        <v>14</v>
      </c>
      <c r="J23" s="117" t="n">
        <v>0</v>
      </c>
      <c r="K23" s="117" t="n">
        <v>0</v>
      </c>
      <c r="L23" s="101" t="n">
        <v>101.6081</v>
      </c>
      <c r="M23" s="118" t="n">
        <v>4080611</v>
      </c>
    </row>
    <row r="24" ht="13.5" customHeight="1" s="186">
      <c r="A24" s="105" t="inlineStr">
        <is>
          <t>AM</t>
        </is>
      </c>
      <c r="B24" s="119" t="n">
        <v>2019</v>
      </c>
      <c r="C24" s="106" t="n">
        <v>23.65</v>
      </c>
      <c r="D24" s="120" t="n">
        <v>9.58</v>
      </c>
      <c r="E24" s="108" t="n">
        <v>6.8876</v>
      </c>
      <c r="F24" s="121" t="n">
        <v>5.9839</v>
      </c>
      <c r="G24" s="122" t="n">
        <v>26102</v>
      </c>
      <c r="H24" s="123" t="n">
        <v>10.1698</v>
      </c>
      <c r="I24" s="89" t="n">
        <v>14.2</v>
      </c>
      <c r="J24" s="119" t="n">
        <v>0</v>
      </c>
      <c r="K24" s="119" t="n">
        <v>0</v>
      </c>
      <c r="L24" s="109" t="n">
        <v>101.6081</v>
      </c>
      <c r="M24" s="124" t="n">
        <v>4144597</v>
      </c>
    </row>
    <row r="25" ht="13.5" customHeight="1" s="186">
      <c r="A25" s="97" t="inlineStr">
        <is>
          <t>AM</t>
        </is>
      </c>
      <c r="B25" s="117" t="n">
        <v>2020</v>
      </c>
      <c r="C25" s="98" t="n">
        <v>18.58</v>
      </c>
      <c r="D25" s="99" t="n">
        <v>25.36</v>
      </c>
      <c r="E25" s="100" t="n">
        <v>6.6619</v>
      </c>
      <c r="F25" s="101" t="n">
        <v>6.9726</v>
      </c>
      <c r="G25" s="77" t="n">
        <v>27573</v>
      </c>
      <c r="H25" s="102" t="n">
        <v>10.2246</v>
      </c>
      <c r="I25" s="85" t="n">
        <v>16</v>
      </c>
      <c r="J25" s="117" t="n">
        <v>0</v>
      </c>
      <c r="K25" s="125" t="n">
        <v>1</v>
      </c>
      <c r="L25" s="101" t="n">
        <v>101.6081</v>
      </c>
      <c r="M25" s="118" t="n">
        <v>4207714</v>
      </c>
    </row>
    <row r="26" ht="13.5" customHeight="1" s="186">
      <c r="A26" s="105" t="inlineStr">
        <is>
          <t>AM</t>
        </is>
      </c>
      <c r="B26" s="119" t="n">
        <v>2021</v>
      </c>
      <c r="C26" s="106" t="n">
        <v>29.93</v>
      </c>
      <c r="D26" s="120" t="n">
        <v>50.16</v>
      </c>
      <c r="E26" s="108" t="n">
        <v>7.1531</v>
      </c>
      <c r="F26" s="121" t="n">
        <v>7.6695</v>
      </c>
      <c r="G26" s="122" t="n">
        <v>30804</v>
      </c>
      <c r="H26" s="123" t="n">
        <v>10.3354</v>
      </c>
      <c r="I26" s="89" t="n">
        <v>15</v>
      </c>
      <c r="J26" s="119" t="n">
        <v>0</v>
      </c>
      <c r="K26" s="125" t="n">
        <v>1</v>
      </c>
      <c r="L26" s="109" t="n">
        <v>101.6081</v>
      </c>
      <c r="M26" s="124" t="n">
        <v>4269995</v>
      </c>
    </row>
    <row r="27" ht="13.5" customHeight="1" s="186">
      <c r="A27" s="97" t="inlineStr">
        <is>
          <t>AM</t>
        </is>
      </c>
      <c r="B27" s="117" t="n">
        <v>2022</v>
      </c>
      <c r="C27" s="98" t="n">
        <v>30.32</v>
      </c>
      <c r="D27" s="99" t="n">
        <v>101.61</v>
      </c>
      <c r="E27" s="100" t="n">
        <v>7.0859</v>
      </c>
      <c r="F27" s="101" t="n">
        <v>8.295299999999999</v>
      </c>
      <c r="G27" s="77" t="n">
        <v>36823</v>
      </c>
      <c r="H27" s="102" t="n">
        <v>10.5139</v>
      </c>
      <c r="I27" s="85" t="n">
        <v>10.8</v>
      </c>
      <c r="J27" s="117" t="n">
        <v>0</v>
      </c>
      <c r="K27" s="117" t="n">
        <v>0</v>
      </c>
      <c r="L27" s="101" t="n">
        <v>101.6081</v>
      </c>
      <c r="M27" s="118" t="n">
        <v>3941613</v>
      </c>
    </row>
    <row r="28" ht="13.5" customHeight="1" s="186">
      <c r="A28" s="105" t="inlineStr">
        <is>
          <t>AM</t>
        </is>
      </c>
      <c r="B28" s="119" t="n">
        <v>2023</v>
      </c>
      <c r="C28" s="106" t="n">
        <v>26.69</v>
      </c>
      <c r="D28" s="120" t="n">
        <v>0.41</v>
      </c>
      <c r="E28" s="108" t="n">
        <v>6.9584</v>
      </c>
      <c r="F28" s="121" t="n">
        <v>2.7726</v>
      </c>
      <c r="G28" s="122" t="n">
        <v>41048</v>
      </c>
      <c r="H28" s="123" t="n">
        <v>10.6225</v>
      </c>
      <c r="I28" s="89" t="n">
        <v>9.699999999999999</v>
      </c>
      <c r="J28" s="126" t="n">
        <v>1</v>
      </c>
      <c r="K28" s="119" t="n">
        <v>0</v>
      </c>
      <c r="L28" s="109" t="n">
        <v>101.6081</v>
      </c>
      <c r="M28" s="124" t="n">
        <v>3941613</v>
      </c>
    </row>
    <row r="29" ht="13.5" customHeight="1" s="186">
      <c r="A29" s="97" t="inlineStr">
        <is>
          <t>AP</t>
        </is>
      </c>
      <c r="B29" s="117" t="n">
        <v>2016</v>
      </c>
      <c r="C29" s="98" t="n">
        <v>27.61</v>
      </c>
      <c r="D29" s="99" t="n">
        <v>0</v>
      </c>
      <c r="E29" s="100" t="n">
        <v>5.3753</v>
      </c>
      <c r="F29" s="101" t="n"/>
      <c r="G29" s="77" t="n">
        <v>18333</v>
      </c>
      <c r="H29" s="102" t="n">
        <v>9.8165</v>
      </c>
      <c r="I29" s="85" t="n">
        <v>15.8</v>
      </c>
      <c r="J29" s="117" t="n">
        <v>0</v>
      </c>
      <c r="K29" s="117" t="n">
        <v>0</v>
      </c>
      <c r="L29" s="101" t="n">
        <v>75.0928</v>
      </c>
      <c r="M29" s="118" t="n">
        <v>782295</v>
      </c>
    </row>
    <row r="30" ht="13.5" customHeight="1" s="186">
      <c r="A30" s="105" t="inlineStr">
        <is>
          <t>AP</t>
        </is>
      </c>
      <c r="B30" s="119" t="n">
        <v>2017</v>
      </c>
      <c r="C30" s="106" t="n">
        <v>22.31</v>
      </c>
      <c r="D30" s="120" t="n">
        <v>2.76</v>
      </c>
      <c r="E30" s="108" t="n">
        <v>5.1818</v>
      </c>
      <c r="F30" s="121" t="n">
        <v>3.091</v>
      </c>
      <c r="G30" s="122" t="n">
        <v>19408</v>
      </c>
      <c r="H30" s="123" t="n">
        <v>9.8734</v>
      </c>
      <c r="I30" s="89" t="n">
        <v>18.1</v>
      </c>
      <c r="J30" s="119" t="n">
        <v>0</v>
      </c>
      <c r="K30" s="119" t="n">
        <v>0</v>
      </c>
      <c r="L30" s="109" t="n">
        <v>75.0928</v>
      </c>
      <c r="M30" s="124" t="n">
        <v>797722</v>
      </c>
    </row>
    <row r="31" ht="13.5" customHeight="1" s="186">
      <c r="A31" s="97" t="inlineStr">
        <is>
          <t>AP</t>
        </is>
      </c>
      <c r="B31" s="117" t="n">
        <v>2018</v>
      </c>
      <c r="C31" s="98" t="n">
        <v>28.81</v>
      </c>
      <c r="D31" s="99" t="n">
        <v>2.53</v>
      </c>
      <c r="E31" s="100" t="n">
        <v>5.4765</v>
      </c>
      <c r="F31" s="101" t="n">
        <v>3.0445</v>
      </c>
      <c r="G31" s="77" t="n">
        <v>20248</v>
      </c>
      <c r="H31" s="102" t="n">
        <v>9.915800000000001</v>
      </c>
      <c r="I31" s="85" t="n">
        <v>20.4</v>
      </c>
      <c r="J31" s="117" t="n">
        <v>0</v>
      </c>
      <c r="K31" s="117" t="n">
        <v>0</v>
      </c>
      <c r="L31" s="101" t="n">
        <v>75.0928</v>
      </c>
      <c r="M31" s="118" t="n">
        <v>829494</v>
      </c>
    </row>
    <row r="32" ht="13.5" customHeight="1" s="186">
      <c r="A32" s="105" t="inlineStr">
        <is>
          <t>AP</t>
        </is>
      </c>
      <c r="B32" s="119" t="n">
        <v>2019</v>
      </c>
      <c r="C32" s="106" t="n">
        <v>27.43</v>
      </c>
      <c r="D32" s="120" t="n">
        <v>13.12</v>
      </c>
      <c r="E32" s="108" t="n">
        <v>5.4467</v>
      </c>
      <c r="F32" s="121" t="n">
        <v>4.7095</v>
      </c>
      <c r="G32" s="122" t="n">
        <v>20688</v>
      </c>
      <c r="H32" s="123" t="n">
        <v>9.9373</v>
      </c>
      <c r="I32" s="89" t="n">
        <v>17.6</v>
      </c>
      <c r="J32" s="119" t="n">
        <v>0</v>
      </c>
      <c r="K32" s="119" t="n">
        <v>0</v>
      </c>
      <c r="L32" s="109" t="n">
        <v>75.0928</v>
      </c>
      <c r="M32" s="124" t="n">
        <v>845731</v>
      </c>
    </row>
    <row r="33" ht="13.5" customHeight="1" s="186">
      <c r="A33" s="97" t="inlineStr">
        <is>
          <t>AP</t>
        </is>
      </c>
      <c r="B33" s="117" t="n">
        <v>2020</v>
      </c>
      <c r="C33" s="98" t="n">
        <v>25.76</v>
      </c>
      <c r="D33" s="99" t="n">
        <v>26.23</v>
      </c>
      <c r="E33" s="100" t="n">
        <v>5.4027</v>
      </c>
      <c r="F33" s="101" t="n">
        <v>5.4205</v>
      </c>
      <c r="G33" s="77" t="n">
        <v>21432</v>
      </c>
      <c r="H33" s="102" t="n">
        <v>9.9726</v>
      </c>
      <c r="I33" s="85" t="n">
        <v>15</v>
      </c>
      <c r="J33" s="117" t="n">
        <v>0</v>
      </c>
      <c r="K33" s="125" t="n">
        <v>1</v>
      </c>
      <c r="L33" s="101" t="n">
        <v>75.0928</v>
      </c>
      <c r="M33" s="118" t="n">
        <v>861773</v>
      </c>
    </row>
    <row r="34" ht="13.5" customHeight="1" s="186">
      <c r="A34" s="105" t="inlineStr">
        <is>
          <t>AP</t>
        </is>
      </c>
      <c r="B34" s="119" t="n">
        <v>2021</v>
      </c>
      <c r="C34" s="106" t="n">
        <v>35.44</v>
      </c>
      <c r="D34" s="120" t="n">
        <v>40.45</v>
      </c>
      <c r="E34" s="108" t="n">
        <v>5.7398</v>
      </c>
      <c r="F34" s="121" t="n">
        <v>5.8721</v>
      </c>
      <c r="G34" s="122" t="n">
        <v>22903</v>
      </c>
      <c r="H34" s="123" t="n">
        <v>10.039</v>
      </c>
      <c r="I34" s="89" t="n">
        <v>16.6</v>
      </c>
      <c r="J34" s="119" t="n">
        <v>0</v>
      </c>
      <c r="K34" s="125" t="n">
        <v>1</v>
      </c>
      <c r="L34" s="109" t="n">
        <v>75.0928</v>
      </c>
      <c r="M34" s="124" t="n">
        <v>877613</v>
      </c>
    </row>
    <row r="35" ht="13.5" customHeight="1" s="186">
      <c r="A35" s="97" t="inlineStr">
        <is>
          <t>AP</t>
        </is>
      </c>
      <c r="B35" s="117" t="n">
        <v>2022</v>
      </c>
      <c r="C35" s="98" t="n">
        <v>32.03</v>
      </c>
      <c r="D35" s="99" t="n">
        <v>75.09</v>
      </c>
      <c r="E35" s="100" t="n">
        <v>5.4596</v>
      </c>
      <c r="F35" s="101" t="n">
        <v>6.3117</v>
      </c>
      <c r="G35" s="77" t="n">
        <v>32183</v>
      </c>
      <c r="H35" s="102" t="n">
        <v>10.3792</v>
      </c>
      <c r="I35" s="85" t="n">
        <v>12.5</v>
      </c>
      <c r="J35" s="117" t="n">
        <v>0</v>
      </c>
      <c r="K35" s="117" t="n">
        <v>0</v>
      </c>
      <c r="L35" s="101" t="n">
        <v>75.0928</v>
      </c>
      <c r="M35" s="118" t="n">
        <v>733759</v>
      </c>
    </row>
    <row r="36" ht="13.5" customHeight="1" s="186">
      <c r="A36" s="105" t="inlineStr">
        <is>
          <t>AP</t>
        </is>
      </c>
      <c r="B36" s="119" t="n">
        <v>2023</v>
      </c>
      <c r="C36" s="106" t="n">
        <v>41.29</v>
      </c>
      <c r="D36" s="120" t="n">
        <v>5.59</v>
      </c>
      <c r="E36" s="108" t="n">
        <v>5.7137</v>
      </c>
      <c r="F36" s="121" t="n">
        <v>3.7136</v>
      </c>
      <c r="G36" s="122" t="n">
        <v>38187</v>
      </c>
      <c r="H36" s="123" t="n">
        <v>10.5503</v>
      </c>
      <c r="I36" s="89" t="n">
        <v>12.8</v>
      </c>
      <c r="J36" s="126" t="n">
        <v>1</v>
      </c>
      <c r="K36" s="119" t="n">
        <v>0</v>
      </c>
      <c r="L36" s="109" t="n">
        <v>75.0928</v>
      </c>
      <c r="M36" s="124" t="n">
        <v>733759</v>
      </c>
    </row>
    <row r="37" ht="13.5" customHeight="1" s="186">
      <c r="A37" s="97" t="inlineStr">
        <is>
          <t>BA</t>
        </is>
      </c>
      <c r="B37" s="117" t="n">
        <v>2016</v>
      </c>
      <c r="C37" s="98" t="n">
        <v>35.62</v>
      </c>
      <c r="D37" s="99" t="n">
        <v>1.6</v>
      </c>
      <c r="E37" s="100" t="n">
        <v>8.601900000000001</v>
      </c>
      <c r="F37" s="101" t="n">
        <v>5.5013</v>
      </c>
      <c r="G37" s="77" t="n">
        <v>16937</v>
      </c>
      <c r="H37" s="102" t="n">
        <v>9.737299999999999</v>
      </c>
      <c r="I37" s="85" t="n">
        <v>16</v>
      </c>
      <c r="J37" s="117" t="n">
        <v>0</v>
      </c>
      <c r="K37" s="117" t="n">
        <v>0</v>
      </c>
      <c r="L37" s="101" t="n">
        <v>83.59010000000001</v>
      </c>
      <c r="M37" s="118" t="n">
        <v>15276566</v>
      </c>
    </row>
    <row r="38" ht="13.5" customHeight="1" s="186">
      <c r="A38" s="105" t="inlineStr">
        <is>
          <t>BA</t>
        </is>
      </c>
      <c r="B38" s="119" t="n">
        <v>2017</v>
      </c>
      <c r="C38" s="106" t="n">
        <v>35.3</v>
      </c>
      <c r="D38" s="120" t="n">
        <v>2.97</v>
      </c>
      <c r="E38" s="108" t="n">
        <v>8.597099999999999</v>
      </c>
      <c r="F38" s="121" t="n">
        <v>6.1203</v>
      </c>
      <c r="G38" s="122" t="n">
        <v>17513</v>
      </c>
      <c r="H38" s="123" t="n">
        <v>9.7707</v>
      </c>
      <c r="I38" s="89" t="n">
        <v>17.1</v>
      </c>
      <c r="J38" s="119" t="n">
        <v>0</v>
      </c>
      <c r="K38" s="119" t="n">
        <v>0</v>
      </c>
      <c r="L38" s="109" t="n">
        <v>83.59010000000001</v>
      </c>
      <c r="M38" s="124" t="n">
        <v>15344447</v>
      </c>
    </row>
    <row r="39" ht="13.5" customHeight="1" s="186">
      <c r="A39" s="97" t="inlineStr">
        <is>
          <t>BA</t>
        </is>
      </c>
      <c r="B39" s="117" t="n">
        <v>2018</v>
      </c>
      <c r="C39" s="98" t="n">
        <v>33.47</v>
      </c>
      <c r="D39" s="99" t="n">
        <v>5.33</v>
      </c>
      <c r="E39" s="100" t="n">
        <v>8.508800000000001</v>
      </c>
      <c r="F39" s="101" t="n">
        <v>6.672</v>
      </c>
      <c r="G39" s="77" t="n">
        <v>19324</v>
      </c>
      <c r="H39" s="102" t="n">
        <v>9.8691</v>
      </c>
      <c r="I39" s="85" t="n">
        <v>17.2</v>
      </c>
      <c r="J39" s="117" t="n">
        <v>0</v>
      </c>
      <c r="K39" s="117" t="n">
        <v>0</v>
      </c>
      <c r="L39" s="101" t="n">
        <v>83.59010000000001</v>
      </c>
      <c r="M39" s="118" t="n">
        <v>14812617</v>
      </c>
    </row>
    <row r="40" ht="13.5" customHeight="1" s="186">
      <c r="A40" s="105" t="inlineStr">
        <is>
          <t>BA</t>
        </is>
      </c>
      <c r="B40" s="119" t="n">
        <v>2019</v>
      </c>
      <c r="C40" s="106" t="n">
        <v>30.83</v>
      </c>
      <c r="D40" s="120" t="n">
        <v>19.63</v>
      </c>
      <c r="E40" s="108" t="n">
        <v>8.4308</v>
      </c>
      <c r="F40" s="121" t="n">
        <v>7.9793</v>
      </c>
      <c r="G40" s="122" t="n">
        <v>19716</v>
      </c>
      <c r="H40" s="123" t="n">
        <v>9.889200000000001</v>
      </c>
      <c r="I40" s="89" t="n">
        <v>17.4</v>
      </c>
      <c r="J40" s="119" t="n">
        <v>0</v>
      </c>
      <c r="K40" s="119" t="n">
        <v>0</v>
      </c>
      <c r="L40" s="109" t="n">
        <v>83.59010000000001</v>
      </c>
      <c r="M40" s="124" t="n">
        <v>14873064</v>
      </c>
    </row>
    <row r="41" ht="13.5" customHeight="1" s="186">
      <c r="A41" s="97" t="inlineStr">
        <is>
          <t>BA</t>
        </is>
      </c>
      <c r="B41" s="117" t="n">
        <v>2020</v>
      </c>
      <c r="C41" s="98" t="n">
        <v>34.04</v>
      </c>
      <c r="D41" s="99" t="n">
        <v>41.26</v>
      </c>
      <c r="E41" s="100" t="n">
        <v>8.5335</v>
      </c>
      <c r="F41" s="101" t="n">
        <v>8.726000000000001</v>
      </c>
      <c r="G41" s="77" t="n">
        <v>20449</v>
      </c>
      <c r="H41" s="102" t="n">
        <v>9.925700000000001</v>
      </c>
      <c r="I41" s="85" t="n">
        <v>20.2</v>
      </c>
      <c r="J41" s="117" t="n">
        <v>0</v>
      </c>
      <c r="K41" s="125" t="n">
        <v>1</v>
      </c>
      <c r="L41" s="101" t="n">
        <v>83.59010000000001</v>
      </c>
      <c r="M41" s="118" t="n">
        <v>14930634</v>
      </c>
    </row>
    <row r="42" ht="13.5" customHeight="1" s="186">
      <c r="A42" s="105" t="inlineStr">
        <is>
          <t>BA</t>
        </is>
      </c>
      <c r="B42" s="119" t="n">
        <v>2021</v>
      </c>
      <c r="C42" s="106" t="n">
        <v>35.3</v>
      </c>
      <c r="D42" s="120" t="n">
        <v>56.73</v>
      </c>
      <c r="E42" s="108" t="n">
        <v>8.573600000000001</v>
      </c>
      <c r="F42" s="121" t="n">
        <v>9.0479</v>
      </c>
      <c r="G42" s="122" t="n">
        <v>23531</v>
      </c>
      <c r="H42" s="123" t="n">
        <v>10.0661</v>
      </c>
      <c r="I42" s="89" t="n">
        <v>19.5</v>
      </c>
      <c r="J42" s="119" t="n">
        <v>0</v>
      </c>
      <c r="K42" s="125" t="n">
        <v>1</v>
      </c>
      <c r="L42" s="109" t="n">
        <v>83.59010000000001</v>
      </c>
      <c r="M42" s="124" t="n">
        <v>14985284</v>
      </c>
    </row>
    <row r="43" ht="13.5" customHeight="1" s="186">
      <c r="A43" s="97" t="inlineStr">
        <is>
          <t>BA</t>
        </is>
      </c>
      <c r="B43" s="117" t="n">
        <v>2022</v>
      </c>
      <c r="C43" s="98" t="n">
        <v>34.12</v>
      </c>
      <c r="D43" s="99" t="n">
        <v>83.59</v>
      </c>
      <c r="E43" s="100" t="n">
        <v>8.4816</v>
      </c>
      <c r="F43" s="101" t="n">
        <v>9.377599999999999</v>
      </c>
      <c r="G43" s="77" t="n">
        <v>28472</v>
      </c>
      <c r="H43" s="102" t="n">
        <v>10.2567</v>
      </c>
      <c r="I43" s="85" t="n">
        <v>15.3</v>
      </c>
      <c r="J43" s="117" t="n">
        <v>0</v>
      </c>
      <c r="K43" s="117" t="n">
        <v>0</v>
      </c>
      <c r="L43" s="101" t="n">
        <v>83.59010000000001</v>
      </c>
      <c r="M43" s="118" t="n">
        <v>14141626</v>
      </c>
    </row>
    <row r="44" ht="13.5" customHeight="1" s="186">
      <c r="A44" s="105" t="inlineStr">
        <is>
          <t>BA</t>
        </is>
      </c>
      <c r="B44" s="119" t="n">
        <v>2023</v>
      </c>
      <c r="C44" s="106" t="n">
        <v>33.58</v>
      </c>
      <c r="D44" s="120" t="n">
        <v>0.51</v>
      </c>
      <c r="E44" s="108" t="n">
        <v>8.4657</v>
      </c>
      <c r="F44" s="121" t="n">
        <v>4.2767</v>
      </c>
      <c r="G44" s="122" t="n">
        <v>30477</v>
      </c>
      <c r="H44" s="123" t="n">
        <v>10.3247</v>
      </c>
      <c r="I44" s="89" t="n">
        <v>13.4</v>
      </c>
      <c r="J44" s="126" t="n">
        <v>1</v>
      </c>
      <c r="K44" s="119" t="n">
        <v>0</v>
      </c>
      <c r="L44" s="109" t="n">
        <v>83.59010000000001</v>
      </c>
      <c r="M44" s="124" t="n">
        <v>14141626</v>
      </c>
    </row>
    <row r="45" ht="13.5" customHeight="1" s="186">
      <c r="A45" s="97" t="inlineStr">
        <is>
          <t>CE</t>
        </is>
      </c>
      <c r="B45" s="117" t="n">
        <v>2016</v>
      </c>
      <c r="C45" s="98" t="n">
        <v>32.26</v>
      </c>
      <c r="D45" s="99" t="n">
        <v>4.33</v>
      </c>
      <c r="E45" s="100" t="n">
        <v>7.9697</v>
      </c>
      <c r="F45" s="101" t="n">
        <v>5.961</v>
      </c>
      <c r="G45" s="77" t="n">
        <v>15443</v>
      </c>
      <c r="H45" s="102" t="n">
        <v>9.6449</v>
      </c>
      <c r="I45" s="85" t="n">
        <v>12.1</v>
      </c>
      <c r="J45" s="117" t="n">
        <v>0</v>
      </c>
      <c r="K45" s="117" t="n">
        <v>0</v>
      </c>
      <c r="L45" s="101" t="n">
        <v>73.20099999999999</v>
      </c>
      <c r="M45" s="118" t="n">
        <v>8963663</v>
      </c>
    </row>
    <row r="46" ht="13.5" customHeight="1" s="186">
      <c r="A46" s="105" t="inlineStr">
        <is>
          <t>CE</t>
        </is>
      </c>
      <c r="B46" s="119" t="n">
        <v>2017</v>
      </c>
      <c r="C46" s="106" t="n">
        <v>52.05</v>
      </c>
      <c r="D46" s="120" t="n">
        <v>7.67</v>
      </c>
      <c r="E46" s="108" t="n">
        <v>8.4543</v>
      </c>
      <c r="F46" s="121" t="n">
        <v>6.5396</v>
      </c>
      <c r="G46" s="122" t="n">
        <v>16398</v>
      </c>
      <c r="H46" s="123" t="n">
        <v>9.7049</v>
      </c>
      <c r="I46" s="89" t="n">
        <v>12.7</v>
      </c>
      <c r="J46" s="119" t="n">
        <v>0</v>
      </c>
      <c r="K46" s="119" t="n">
        <v>0</v>
      </c>
      <c r="L46" s="109" t="n">
        <v>73.20099999999999</v>
      </c>
      <c r="M46" s="124" t="n">
        <v>9020460</v>
      </c>
    </row>
    <row r="47" ht="13.5" customHeight="1" s="186">
      <c r="A47" s="97" t="inlineStr">
        <is>
          <t>CE</t>
        </is>
      </c>
      <c r="B47" s="117" t="n">
        <v>2018</v>
      </c>
      <c r="C47" s="98" t="n">
        <v>46.5</v>
      </c>
      <c r="D47" s="99" t="n">
        <v>10.94</v>
      </c>
      <c r="E47" s="100" t="n">
        <v>8.3476</v>
      </c>
      <c r="F47" s="101" t="n">
        <v>6.9007</v>
      </c>
      <c r="G47" s="77" t="n">
        <v>17178</v>
      </c>
      <c r="H47" s="102" t="n">
        <v>9.7514</v>
      </c>
      <c r="I47" s="85" t="n">
        <v>11.4</v>
      </c>
      <c r="J47" s="117" t="n">
        <v>0</v>
      </c>
      <c r="K47" s="117" t="n">
        <v>0</v>
      </c>
      <c r="L47" s="101" t="n">
        <v>73.20099999999999</v>
      </c>
      <c r="M47" s="118" t="n">
        <v>9075649</v>
      </c>
    </row>
    <row r="48" ht="13.5" customHeight="1" s="186">
      <c r="A48" s="105" t="inlineStr">
        <is>
          <t>CE</t>
        </is>
      </c>
      <c r="B48" s="119" t="n">
        <v>2019</v>
      </c>
      <c r="C48" s="106" t="n">
        <v>20.64</v>
      </c>
      <c r="D48" s="120" t="n">
        <v>23.02</v>
      </c>
      <c r="E48" s="108" t="n">
        <v>7.5417</v>
      </c>
      <c r="F48" s="121" t="n">
        <v>7.6506</v>
      </c>
      <c r="G48" s="122" t="n">
        <v>17912</v>
      </c>
      <c r="H48" s="123" t="n">
        <v>9.793200000000001</v>
      </c>
      <c r="I48" s="89" t="n">
        <v>11.1</v>
      </c>
      <c r="J48" s="119" t="n">
        <v>0</v>
      </c>
      <c r="K48" s="119" t="n">
        <v>0</v>
      </c>
      <c r="L48" s="109" t="n">
        <v>73.20099999999999</v>
      </c>
      <c r="M48" s="124" t="n">
        <v>9132078</v>
      </c>
    </row>
    <row r="49" ht="13.5" customHeight="1" s="186">
      <c r="A49" s="97" t="inlineStr">
        <is>
          <t>CE</t>
        </is>
      </c>
      <c r="B49" s="117" t="n">
        <v>2020</v>
      </c>
      <c r="C49" s="98" t="n">
        <v>37.38</v>
      </c>
      <c r="D49" s="99" t="n">
        <v>33.93</v>
      </c>
      <c r="E49" s="100" t="n">
        <v>8.141500000000001</v>
      </c>
      <c r="F49" s="101" t="n">
        <v>8.044600000000001</v>
      </c>
      <c r="G49" s="77" t="n">
        <v>18168</v>
      </c>
      <c r="H49" s="102" t="n">
        <v>9.807399999999999</v>
      </c>
      <c r="I49" s="85" t="n">
        <v>13.3</v>
      </c>
      <c r="J49" s="117" t="n">
        <v>0</v>
      </c>
      <c r="K49" s="125" t="n">
        <v>1</v>
      </c>
      <c r="L49" s="101" t="n">
        <v>73.20099999999999</v>
      </c>
      <c r="M49" s="118" t="n">
        <v>9187103</v>
      </c>
    </row>
    <row r="50" ht="13.5" customHeight="1" s="186">
      <c r="A50" s="105" t="inlineStr">
        <is>
          <t>CE</t>
        </is>
      </c>
      <c r="B50" s="119" t="n">
        <v>2021</v>
      </c>
      <c r="C50" s="106" t="n">
        <v>32.1</v>
      </c>
      <c r="D50" s="120" t="n">
        <v>66.87</v>
      </c>
      <c r="E50" s="108" t="n">
        <v>7.995</v>
      </c>
      <c r="F50" s="121" t="n">
        <v>8.728899999999999</v>
      </c>
      <c r="G50" s="122" t="n">
        <v>21090</v>
      </c>
      <c r="H50" s="123" t="n">
        <v>9.9566</v>
      </c>
      <c r="I50" s="89" t="n">
        <v>13.4</v>
      </c>
      <c r="J50" s="119" t="n">
        <v>0</v>
      </c>
      <c r="K50" s="125" t="n">
        <v>1</v>
      </c>
      <c r="L50" s="109" t="n">
        <v>73.20099999999999</v>
      </c>
      <c r="M50" s="124" t="n">
        <v>9240580</v>
      </c>
    </row>
    <row r="51" ht="13.5" customHeight="1" s="186">
      <c r="A51" s="97" t="inlineStr">
        <is>
          <t>CE</t>
        </is>
      </c>
      <c r="B51" s="117" t="n">
        <v>2022</v>
      </c>
      <c r="C51" s="98" t="n">
        <v>28.13</v>
      </c>
      <c r="D51" s="99" t="n">
        <v>73.2</v>
      </c>
      <c r="E51" s="100" t="n">
        <v>7.8136</v>
      </c>
      <c r="F51" s="101" t="n">
        <v>8.77</v>
      </c>
      <c r="G51" s="77" t="n">
        <v>24287</v>
      </c>
      <c r="H51" s="102" t="n">
        <v>10.0977</v>
      </c>
      <c r="I51" s="85" t="n">
        <v>9.5</v>
      </c>
      <c r="J51" s="117" t="n">
        <v>0</v>
      </c>
      <c r="K51" s="117" t="n">
        <v>0</v>
      </c>
      <c r="L51" s="101" t="n">
        <v>73.20099999999999</v>
      </c>
      <c r="M51" s="118" t="n">
        <v>8794957</v>
      </c>
    </row>
    <row r="52" ht="13.5" customHeight="1" s="186">
      <c r="A52" s="105" t="inlineStr">
        <is>
          <t>CE</t>
        </is>
      </c>
      <c r="B52" s="119" t="n">
        <v>2023</v>
      </c>
      <c r="C52" s="106" t="n">
        <v>28.57</v>
      </c>
      <c r="D52" s="120" t="n">
        <v>0.2</v>
      </c>
      <c r="E52" s="108" t="n">
        <v>7.8292</v>
      </c>
      <c r="F52" s="121" t="n">
        <v>2.8904</v>
      </c>
      <c r="G52" s="122" t="n">
        <v>26406</v>
      </c>
      <c r="H52" s="123" t="n">
        <v>10.1813</v>
      </c>
      <c r="I52" s="89" t="n">
        <v>9.1</v>
      </c>
      <c r="J52" s="126" t="n">
        <v>1</v>
      </c>
      <c r="K52" s="119" t="n">
        <v>0</v>
      </c>
      <c r="L52" s="109" t="n">
        <v>73.20099999999999</v>
      </c>
      <c r="M52" s="124" t="n">
        <v>8794957</v>
      </c>
    </row>
    <row r="53" ht="13.5" customHeight="1" s="186">
      <c r="A53" s="97" t="inlineStr">
        <is>
          <t>DF</t>
        </is>
      </c>
      <c r="B53" s="117" t="n">
        <v>2016</v>
      </c>
      <c r="C53" s="98" t="n">
        <v>18.17</v>
      </c>
      <c r="D53" s="99" t="n">
        <v>6.35</v>
      </c>
      <c r="E53" s="100" t="n">
        <v>6.2934</v>
      </c>
      <c r="F53" s="101" t="n">
        <v>5.2417</v>
      </c>
      <c r="G53" s="77" t="n">
        <v>79114</v>
      </c>
      <c r="H53" s="102" t="n">
        <v>11.2786</v>
      </c>
      <c r="I53" s="85" t="n">
        <v>12.1</v>
      </c>
      <c r="J53" s="117" t="n">
        <v>0</v>
      </c>
      <c r="K53" s="117" t="n">
        <v>0</v>
      </c>
      <c r="L53" s="101" t="n">
        <v>385.4999</v>
      </c>
      <c r="M53" s="118" t="n">
        <v>2977216</v>
      </c>
    </row>
    <row r="54" ht="13.5" customHeight="1" s="186">
      <c r="A54" s="105" t="inlineStr">
        <is>
          <t>DF</t>
        </is>
      </c>
      <c r="B54" s="119" t="n">
        <v>2017</v>
      </c>
      <c r="C54" s="106" t="n">
        <v>13.32</v>
      </c>
      <c r="D54" s="120" t="n">
        <v>10.5</v>
      </c>
      <c r="E54" s="108" t="n">
        <v>6.0039</v>
      </c>
      <c r="F54" s="121" t="n">
        <v>5.7652</v>
      </c>
      <c r="G54" s="122" t="n">
        <v>80515</v>
      </c>
      <c r="H54" s="123" t="n">
        <v>11.2962</v>
      </c>
      <c r="I54" s="89" t="n">
        <v>13.3</v>
      </c>
      <c r="J54" s="119" t="n">
        <v>0</v>
      </c>
      <c r="K54" s="119" t="n">
        <v>0</v>
      </c>
      <c r="L54" s="109" t="n">
        <v>385.4999</v>
      </c>
      <c r="M54" s="124" t="n">
        <v>3039444</v>
      </c>
    </row>
    <row r="55" ht="13.5" customHeight="1" s="186">
      <c r="A55" s="97" t="inlineStr">
        <is>
          <t>DF</t>
        </is>
      </c>
      <c r="B55" s="117" t="n">
        <v>2018</v>
      </c>
      <c r="C55" s="98" t="n">
        <v>11.43</v>
      </c>
      <c r="D55" s="99" t="n">
        <v>16.81</v>
      </c>
      <c r="E55" s="100" t="n">
        <v>5.8289</v>
      </c>
      <c r="F55" s="101" t="n">
        <v>6.2146</v>
      </c>
      <c r="G55" s="77" t="n">
        <v>85661</v>
      </c>
      <c r="H55" s="102" t="n">
        <v>11.3582</v>
      </c>
      <c r="I55" s="85" t="n">
        <v>12.8</v>
      </c>
      <c r="J55" s="117" t="n">
        <v>0</v>
      </c>
      <c r="K55" s="117" t="n">
        <v>0</v>
      </c>
      <c r="L55" s="101" t="n">
        <v>385.4999</v>
      </c>
      <c r="M55" s="118" t="n">
        <v>2974703</v>
      </c>
    </row>
    <row r="56" ht="13.5" customHeight="1" s="186">
      <c r="A56" s="105" t="inlineStr">
        <is>
          <t>DF</t>
        </is>
      </c>
      <c r="B56" s="119" t="n">
        <v>2019</v>
      </c>
      <c r="C56" s="106" t="n">
        <v>8.85</v>
      </c>
      <c r="D56" s="120" t="n">
        <v>82.34999999999999</v>
      </c>
      <c r="E56" s="108" t="n">
        <v>5.5872</v>
      </c>
      <c r="F56" s="121" t="n">
        <v>7.8172</v>
      </c>
      <c r="G56" s="122" t="n">
        <v>90743</v>
      </c>
      <c r="H56" s="123" t="n">
        <v>11.4158</v>
      </c>
      <c r="I56" s="89" t="n">
        <v>13.4</v>
      </c>
      <c r="J56" s="119" t="n">
        <v>0</v>
      </c>
      <c r="K56" s="119" t="n">
        <v>0</v>
      </c>
      <c r="L56" s="109" t="n">
        <v>385.4999</v>
      </c>
      <c r="M56" s="124" t="n">
        <v>3015268</v>
      </c>
    </row>
    <row r="57" ht="13.5" customHeight="1" s="186">
      <c r="A57" s="97" t="inlineStr">
        <is>
          <t>DF</t>
        </is>
      </c>
      <c r="B57" s="117" t="n">
        <v>2020</v>
      </c>
      <c r="C57" s="98" t="n">
        <v>8.279999999999999</v>
      </c>
      <c r="D57" s="99" t="n">
        <v>165.13</v>
      </c>
      <c r="E57" s="100" t="n">
        <v>5.5334</v>
      </c>
      <c r="F57" s="101" t="n">
        <v>8.526199999999999</v>
      </c>
      <c r="G57" s="77" t="n">
        <v>87016</v>
      </c>
      <c r="H57" s="102" t="n">
        <v>11.3738</v>
      </c>
      <c r="I57" s="85" t="n">
        <v>14.8</v>
      </c>
      <c r="J57" s="117" t="n">
        <v>0</v>
      </c>
      <c r="K57" s="125" t="n">
        <v>1</v>
      </c>
      <c r="L57" s="101" t="n">
        <v>385.4999</v>
      </c>
      <c r="M57" s="118" t="n">
        <v>3055149</v>
      </c>
    </row>
    <row r="58" ht="13.5" customHeight="1" s="186">
      <c r="A58" s="105" t="inlineStr">
        <is>
          <t>DF</t>
        </is>
      </c>
      <c r="B58" s="119" t="n">
        <v>2021</v>
      </c>
      <c r="C58" s="106" t="n">
        <v>6.24</v>
      </c>
      <c r="D58" s="120" t="n">
        <v>267.88</v>
      </c>
      <c r="E58" s="108" t="n">
        <v>5.2627</v>
      </c>
      <c r="F58" s="121" t="n">
        <v>9.0227</v>
      </c>
      <c r="G58" s="122" t="n">
        <v>92732</v>
      </c>
      <c r="H58" s="123" t="n">
        <v>11.4375</v>
      </c>
      <c r="I58" s="89" t="n">
        <v>14</v>
      </c>
      <c r="J58" s="119" t="n">
        <v>0</v>
      </c>
      <c r="K58" s="125" t="n">
        <v>1</v>
      </c>
      <c r="L58" s="109" t="n">
        <v>385.4999</v>
      </c>
      <c r="M58" s="124" t="n">
        <v>3094325</v>
      </c>
    </row>
    <row r="59" ht="13.5" customHeight="1" s="186">
      <c r="A59" s="97" t="inlineStr">
        <is>
          <t>DF</t>
        </is>
      </c>
      <c r="B59" s="117" t="n">
        <v>2022</v>
      </c>
      <c r="C59" s="98" t="n">
        <v>6.35</v>
      </c>
      <c r="D59" s="99" t="n">
        <v>385.5</v>
      </c>
      <c r="E59" s="100" t="n">
        <v>5.1874</v>
      </c>
      <c r="F59" s="101" t="n">
        <v>9.292899999999999</v>
      </c>
      <c r="G59" s="77" t="n">
        <v>116700</v>
      </c>
      <c r="H59" s="102" t="n">
        <v>11.6674</v>
      </c>
      <c r="I59" s="85" t="n">
        <v>11.4</v>
      </c>
      <c r="J59" s="117" t="n">
        <v>0</v>
      </c>
      <c r="K59" s="117" t="n">
        <v>0</v>
      </c>
      <c r="L59" s="101" t="n">
        <v>385.4999</v>
      </c>
      <c r="M59" s="118" t="n">
        <v>2817381</v>
      </c>
    </row>
    <row r="60" ht="13.5" customHeight="1" s="186">
      <c r="A60" s="105" t="inlineStr">
        <is>
          <t>DF</t>
        </is>
      </c>
      <c r="B60" s="119" t="n">
        <v>2023</v>
      </c>
      <c r="C60" s="106" t="n">
        <v>4.69</v>
      </c>
      <c r="D60" s="120" t="n">
        <v>0.64</v>
      </c>
      <c r="E60" s="108" t="n">
        <v>4.8828</v>
      </c>
      <c r="F60" s="121" t="n">
        <v>2.8904</v>
      </c>
      <c r="G60" s="122" t="n">
        <v>129790</v>
      </c>
      <c r="H60" s="123" t="n">
        <v>11.7737</v>
      </c>
      <c r="I60" s="89" t="n">
        <v>9.800000000000001</v>
      </c>
      <c r="J60" s="126" t="n">
        <v>1</v>
      </c>
      <c r="K60" s="119" t="n">
        <v>0</v>
      </c>
      <c r="L60" s="109" t="n">
        <v>385.4999</v>
      </c>
      <c r="M60" s="124" t="n">
        <v>2817381</v>
      </c>
    </row>
    <row r="61" ht="13.5" customHeight="1" s="186">
      <c r="A61" s="97" t="inlineStr">
        <is>
          <t>ES</t>
        </is>
      </c>
      <c r="B61" s="117" t="n">
        <v>2016</v>
      </c>
      <c r="C61" s="98" t="n">
        <v>24.28</v>
      </c>
      <c r="D61" s="99" t="n">
        <v>1.01</v>
      </c>
      <c r="E61" s="100" t="n">
        <v>6.8721</v>
      </c>
      <c r="F61" s="101" t="n">
        <v>3.6889</v>
      </c>
      <c r="G61" s="77" t="n">
        <v>27497</v>
      </c>
      <c r="H61" s="102" t="n">
        <v>10.2218</v>
      </c>
      <c r="I61" s="85" t="n">
        <v>12.4</v>
      </c>
      <c r="J61" s="117" t="n">
        <v>0</v>
      </c>
      <c r="K61" s="117" t="n">
        <v>0</v>
      </c>
      <c r="L61" s="101" t="n">
        <v>78.6444</v>
      </c>
      <c r="M61" s="118" t="n">
        <v>3973697</v>
      </c>
    </row>
    <row r="62" ht="13.5" customHeight="1" s="186">
      <c r="A62" s="105" t="inlineStr">
        <is>
          <t>ES</t>
        </is>
      </c>
      <c r="B62" s="119" t="n">
        <v>2017</v>
      </c>
      <c r="C62" s="106" t="n">
        <v>30.72</v>
      </c>
      <c r="D62" s="120" t="n">
        <v>3.36</v>
      </c>
      <c r="E62" s="108" t="n">
        <v>7.118</v>
      </c>
      <c r="F62" s="121" t="n">
        <v>4.9053</v>
      </c>
      <c r="G62" s="122" t="n">
        <v>28235</v>
      </c>
      <c r="H62" s="123" t="n">
        <v>10.2483</v>
      </c>
      <c r="I62" s="89" t="n">
        <v>13.3</v>
      </c>
      <c r="J62" s="119" t="n">
        <v>0</v>
      </c>
      <c r="K62" s="119" t="n">
        <v>0</v>
      </c>
      <c r="L62" s="109" t="n">
        <v>78.6444</v>
      </c>
      <c r="M62" s="124" t="n">
        <v>4016356</v>
      </c>
    </row>
    <row r="63" ht="13.5" customHeight="1" s="186">
      <c r="A63" s="97" t="inlineStr">
        <is>
          <t>ES</t>
        </is>
      </c>
      <c r="B63" s="117" t="n">
        <v>2018</v>
      </c>
      <c r="C63" s="98" t="n">
        <v>22.28</v>
      </c>
      <c r="D63" s="99" t="n">
        <v>8.08</v>
      </c>
      <c r="E63" s="100" t="n">
        <v>6.7856</v>
      </c>
      <c r="F63" s="101" t="n">
        <v>5.7714</v>
      </c>
      <c r="G63" s="77" t="n">
        <v>34493</v>
      </c>
      <c r="H63" s="102" t="n">
        <v>10.4485</v>
      </c>
      <c r="I63" s="85" t="n">
        <v>11.7</v>
      </c>
      <c r="J63" s="117" t="n">
        <v>0</v>
      </c>
      <c r="K63" s="117" t="n">
        <v>0</v>
      </c>
      <c r="L63" s="101" t="n">
        <v>78.6444</v>
      </c>
      <c r="M63" s="118" t="n">
        <v>3972388</v>
      </c>
    </row>
    <row r="64" ht="13.5" customHeight="1" s="186">
      <c r="A64" s="105" t="inlineStr">
        <is>
          <t>ES</t>
        </is>
      </c>
      <c r="B64" s="119" t="n">
        <v>2019</v>
      </c>
      <c r="C64" s="106" t="n">
        <v>19.33</v>
      </c>
      <c r="D64" s="120" t="n">
        <v>16.37</v>
      </c>
      <c r="E64" s="108" t="n">
        <v>6.6554</v>
      </c>
      <c r="F64" s="121" t="n">
        <v>6.4892</v>
      </c>
      <c r="G64" s="122" t="n">
        <v>34177</v>
      </c>
      <c r="H64" s="123" t="n">
        <v>10.4393</v>
      </c>
      <c r="I64" s="89" t="n">
        <v>11.2</v>
      </c>
      <c r="J64" s="119" t="n">
        <v>0</v>
      </c>
      <c r="K64" s="119" t="n">
        <v>0</v>
      </c>
      <c r="L64" s="109" t="n">
        <v>78.6444</v>
      </c>
      <c r="M64" s="124" t="n">
        <v>4018650</v>
      </c>
    </row>
    <row r="65" ht="13.5" customHeight="1" s="186">
      <c r="A65" s="97" t="inlineStr">
        <is>
          <t>ES</t>
        </is>
      </c>
      <c r="B65" s="117" t="n">
        <v>2020</v>
      </c>
      <c r="C65" s="98" t="n">
        <v>22.98</v>
      </c>
      <c r="D65" s="99" t="n">
        <v>18.45</v>
      </c>
      <c r="E65" s="100" t="n">
        <v>6.8395</v>
      </c>
      <c r="F65" s="101" t="n">
        <v>6.6201</v>
      </c>
      <c r="G65" s="77" t="n">
        <v>34066</v>
      </c>
      <c r="H65" s="102" t="n">
        <v>10.4361</v>
      </c>
      <c r="I65" s="85" t="n">
        <v>12.9</v>
      </c>
      <c r="J65" s="117" t="n">
        <v>0</v>
      </c>
      <c r="K65" s="125" t="n">
        <v>1</v>
      </c>
      <c r="L65" s="101" t="n">
        <v>78.6444</v>
      </c>
      <c r="M65" s="118" t="n">
        <v>4064052</v>
      </c>
    </row>
    <row r="66" ht="13.5" customHeight="1" s="186">
      <c r="A66" s="105" t="inlineStr">
        <is>
          <t>ES</t>
        </is>
      </c>
      <c r="B66" s="119" t="n">
        <v>2021</v>
      </c>
      <c r="C66" s="106" t="n">
        <v>22.1</v>
      </c>
      <c r="D66" s="120" t="n">
        <v>56.47</v>
      </c>
      <c r="E66" s="108" t="n">
        <v>6.8112</v>
      </c>
      <c r="F66" s="121" t="n">
        <v>7.7493</v>
      </c>
      <c r="G66" s="122" t="n">
        <v>45354</v>
      </c>
      <c r="H66" s="123" t="n">
        <v>10.7222</v>
      </c>
      <c r="I66" s="89" t="n">
        <v>11.2</v>
      </c>
      <c r="J66" s="119" t="n">
        <v>0</v>
      </c>
      <c r="K66" s="125" t="n">
        <v>1</v>
      </c>
      <c r="L66" s="109" t="n">
        <v>78.6444</v>
      </c>
      <c r="M66" s="124" t="n">
        <v>4108508</v>
      </c>
    </row>
    <row r="67" ht="13.5" customHeight="1" s="186">
      <c r="A67" s="97" t="inlineStr">
        <is>
          <t>ES</t>
        </is>
      </c>
      <c r="B67" s="117" t="n">
        <v>2022</v>
      </c>
      <c r="C67" s="98" t="n">
        <v>22.43</v>
      </c>
      <c r="D67" s="99" t="n">
        <v>78.64</v>
      </c>
      <c r="E67" s="100" t="n">
        <v>6.7569</v>
      </c>
      <c r="F67" s="101" t="n">
        <v>8.0114</v>
      </c>
      <c r="G67" s="77" t="n">
        <v>47617</v>
      </c>
      <c r="H67" s="102" t="n">
        <v>10.7709</v>
      </c>
      <c r="I67" s="85" t="n">
        <v>8</v>
      </c>
      <c r="J67" s="117" t="n">
        <v>0</v>
      </c>
      <c r="K67" s="117" t="n">
        <v>0</v>
      </c>
      <c r="L67" s="101" t="n">
        <v>78.6444</v>
      </c>
      <c r="M67" s="118" t="n">
        <v>3833712</v>
      </c>
    </row>
    <row r="68" ht="13.5" customHeight="1" s="186">
      <c r="A68" s="105" t="inlineStr">
        <is>
          <t>ES</t>
        </is>
      </c>
      <c r="B68" s="119" t="n">
        <v>2023</v>
      </c>
      <c r="C68" s="106" t="n">
        <v>21.96</v>
      </c>
      <c r="D68" s="120" t="n">
        <v>1.02</v>
      </c>
      <c r="E68" s="108" t="n">
        <v>6.7358</v>
      </c>
      <c r="F68" s="121" t="n">
        <v>3.6636</v>
      </c>
      <c r="G68" s="122" t="n">
        <v>54733</v>
      </c>
      <c r="H68" s="123" t="n">
        <v>10.9102</v>
      </c>
      <c r="I68" s="89" t="n">
        <v>6.1</v>
      </c>
      <c r="J68" s="126" t="n">
        <v>1</v>
      </c>
      <c r="K68" s="119" t="n">
        <v>0</v>
      </c>
      <c r="L68" s="109" t="n">
        <v>78.6444</v>
      </c>
      <c r="M68" s="124" t="n">
        <v>3833712</v>
      </c>
    </row>
    <row r="69" ht="13.5" customHeight="1" s="186">
      <c r="A69" s="97" t="inlineStr">
        <is>
          <t>GO</t>
        </is>
      </c>
      <c r="B69" s="117" t="n">
        <v>2016</v>
      </c>
      <c r="C69" s="98" t="n">
        <v>31.86</v>
      </c>
      <c r="D69" s="99" t="n">
        <v>1.72</v>
      </c>
      <c r="E69" s="100" t="n">
        <v>7.6653</v>
      </c>
      <c r="F69" s="101" t="n">
        <v>4.7449</v>
      </c>
      <c r="G69" s="77" t="n">
        <v>27145</v>
      </c>
      <c r="H69" s="102" t="n">
        <v>10.209</v>
      </c>
      <c r="I69" s="85" t="n">
        <v>10.7</v>
      </c>
      <c r="J69" s="117" t="n">
        <v>0</v>
      </c>
      <c r="K69" s="117" t="n">
        <v>0</v>
      </c>
      <c r="L69" s="101" t="n">
        <v>412.6553</v>
      </c>
      <c r="M69" s="118" t="n">
        <v>6695855</v>
      </c>
    </row>
    <row r="70" ht="13.5" customHeight="1" s="186">
      <c r="A70" s="105" t="inlineStr">
        <is>
          <t>GO</t>
        </is>
      </c>
      <c r="B70" s="119" t="n">
        <v>2017</v>
      </c>
      <c r="C70" s="106" t="n">
        <v>30.39</v>
      </c>
      <c r="D70" s="120" t="n">
        <v>4.44</v>
      </c>
      <c r="E70" s="108" t="n">
        <v>7.6305</v>
      </c>
      <c r="F70" s="121" t="n">
        <v>5.7071</v>
      </c>
      <c r="G70" s="122" t="n">
        <v>28316</v>
      </c>
      <c r="H70" s="123" t="n">
        <v>10.2512</v>
      </c>
      <c r="I70" s="89" t="n">
        <v>10.7</v>
      </c>
      <c r="J70" s="119" t="n">
        <v>0</v>
      </c>
      <c r="K70" s="119" t="n">
        <v>0</v>
      </c>
      <c r="L70" s="109" t="n">
        <v>412.6553</v>
      </c>
      <c r="M70" s="124" t="n">
        <v>6778772</v>
      </c>
    </row>
    <row r="71" ht="13.5" customHeight="1" s="186">
      <c r="A71" s="97" t="inlineStr">
        <is>
          <t>GO</t>
        </is>
      </c>
      <c r="B71" s="117" t="n">
        <v>2018</v>
      </c>
      <c r="C71" s="98" t="n">
        <v>27.24</v>
      </c>
      <c r="D71" s="99" t="n">
        <v>8.58</v>
      </c>
      <c r="E71" s="100" t="n">
        <v>7.5417</v>
      </c>
      <c r="F71" s="101" t="n">
        <v>6.3869</v>
      </c>
      <c r="G71" s="77" t="n">
        <v>28273</v>
      </c>
      <c r="H71" s="102" t="n">
        <v>10.2497</v>
      </c>
      <c r="I71" s="85" t="n">
        <v>9.300000000000001</v>
      </c>
      <c r="J71" s="117" t="n">
        <v>0</v>
      </c>
      <c r="K71" s="117" t="n">
        <v>0</v>
      </c>
      <c r="L71" s="101" t="n">
        <v>412.6553</v>
      </c>
      <c r="M71" s="118" t="n">
        <v>6921161</v>
      </c>
    </row>
    <row r="72" ht="13.5" customHeight="1" s="186">
      <c r="A72" s="105" t="inlineStr">
        <is>
          <t>GO</t>
        </is>
      </c>
      <c r="B72" s="119" t="n">
        <v>2019</v>
      </c>
      <c r="C72" s="106" t="n">
        <v>21.03</v>
      </c>
      <c r="D72" s="120" t="n">
        <v>43.4</v>
      </c>
      <c r="E72" s="108" t="n">
        <v>7.2971</v>
      </c>
      <c r="F72" s="121" t="n">
        <v>8.021599999999999</v>
      </c>
      <c r="G72" s="122" t="n">
        <v>29732</v>
      </c>
      <c r="H72" s="123" t="n">
        <v>10.3</v>
      </c>
      <c r="I72" s="89" t="n">
        <v>10.8</v>
      </c>
      <c r="J72" s="119" t="n">
        <v>0</v>
      </c>
      <c r="K72" s="119" t="n">
        <v>0</v>
      </c>
      <c r="L72" s="109" t="n">
        <v>412.6553</v>
      </c>
      <c r="M72" s="124" t="n">
        <v>7018354</v>
      </c>
    </row>
    <row r="73" ht="13.5" customHeight="1" s="186">
      <c r="A73" s="97" t="inlineStr">
        <is>
          <t>GO</t>
        </is>
      </c>
      <c r="B73" s="117" t="n">
        <v>2020</v>
      </c>
      <c r="C73" s="98" t="n">
        <v>19.86</v>
      </c>
      <c r="D73" s="99" t="n">
        <v>119.46</v>
      </c>
      <c r="E73" s="100" t="n">
        <v>7.2535</v>
      </c>
      <c r="F73" s="101" t="n">
        <v>9.047599999999999</v>
      </c>
      <c r="G73" s="77" t="n">
        <v>31507</v>
      </c>
      <c r="H73" s="102" t="n">
        <v>10.358</v>
      </c>
      <c r="I73" s="85" t="n">
        <v>12.8</v>
      </c>
      <c r="J73" s="117" t="n">
        <v>0</v>
      </c>
      <c r="K73" s="125" t="n">
        <v>1</v>
      </c>
      <c r="L73" s="101" t="n">
        <v>412.6553</v>
      </c>
      <c r="M73" s="118" t="n">
        <v>7113540</v>
      </c>
    </row>
    <row r="74" ht="13.5" customHeight="1" s="186">
      <c r="A74" s="105" t="inlineStr">
        <is>
          <t>GO</t>
        </is>
      </c>
      <c r="B74" s="119" t="n">
        <v>2021</v>
      </c>
      <c r="C74" s="106" t="n">
        <v>14.11</v>
      </c>
      <c r="D74" s="120" t="n">
        <v>305.83</v>
      </c>
      <c r="E74" s="108" t="n">
        <v>6.9246</v>
      </c>
      <c r="F74" s="121" t="n">
        <v>10.0006</v>
      </c>
      <c r="G74" s="122" t="n">
        <v>37414</v>
      </c>
      <c r="H74" s="123" t="n">
        <v>10.5298</v>
      </c>
      <c r="I74" s="89" t="n">
        <v>11.3</v>
      </c>
      <c r="J74" s="119" t="n">
        <v>0</v>
      </c>
      <c r="K74" s="125" t="n">
        <v>1</v>
      </c>
      <c r="L74" s="109" t="n">
        <v>412.6553</v>
      </c>
      <c r="M74" s="124" t="n">
        <v>7206589</v>
      </c>
    </row>
    <row r="75" ht="13.5" customHeight="1" s="186">
      <c r="A75" s="97" t="inlineStr">
        <is>
          <t>GO</t>
        </is>
      </c>
      <c r="B75" s="117" t="n">
        <v>2022</v>
      </c>
      <c r="C75" s="98" t="n">
        <v>13.41</v>
      </c>
      <c r="D75" s="99" t="n">
        <v>412.66</v>
      </c>
      <c r="E75" s="100" t="n">
        <v>6.8522</v>
      </c>
      <c r="F75" s="101" t="n">
        <v>10.2791</v>
      </c>
      <c r="G75" s="77" t="n">
        <v>45148</v>
      </c>
      <c r="H75" s="102" t="n">
        <v>10.7177</v>
      </c>
      <c r="I75" s="85" t="n">
        <v>7.2</v>
      </c>
      <c r="J75" s="117" t="n">
        <v>0</v>
      </c>
      <c r="K75" s="117" t="n">
        <v>0</v>
      </c>
      <c r="L75" s="101" t="n">
        <v>412.6553</v>
      </c>
      <c r="M75" s="118" t="n">
        <v>7056495</v>
      </c>
    </row>
    <row r="76" ht="13.5" customHeight="1" s="186">
      <c r="A76" s="105" t="inlineStr">
        <is>
          <t>GO</t>
        </is>
      </c>
      <c r="B76" s="119" t="n">
        <v>2023</v>
      </c>
      <c r="C76" s="106" t="n">
        <v>11.9</v>
      </c>
      <c r="D76" s="120" t="n">
        <v>0.74</v>
      </c>
      <c r="E76" s="108" t="n">
        <v>6.7334</v>
      </c>
      <c r="F76" s="121" t="n">
        <v>3.9512</v>
      </c>
      <c r="G76" s="122" t="n">
        <v>47722</v>
      </c>
      <c r="H76" s="123" t="n">
        <v>10.7731</v>
      </c>
      <c r="I76" s="89" t="n">
        <v>6.2</v>
      </c>
      <c r="J76" s="126" t="n">
        <v>1</v>
      </c>
      <c r="K76" s="119" t="n">
        <v>0</v>
      </c>
      <c r="L76" s="109" t="n">
        <v>412.6553</v>
      </c>
      <c r="M76" s="124" t="n">
        <v>7056495</v>
      </c>
    </row>
    <row r="77" ht="13.5" customHeight="1" s="186">
      <c r="A77" s="97" t="inlineStr">
        <is>
          <t>MA</t>
        </is>
      </c>
      <c r="B77" s="117" t="n">
        <v>2016</v>
      </c>
      <c r="C77" s="98" t="n">
        <v>23.37</v>
      </c>
      <c r="D77" s="99" t="n">
        <v>0.46</v>
      </c>
      <c r="E77" s="100" t="n">
        <v>7.3933</v>
      </c>
      <c r="F77" s="101" t="n">
        <v>3.4657</v>
      </c>
      <c r="G77" s="77" t="n">
        <v>12268</v>
      </c>
      <c r="H77" s="102" t="n">
        <v>9.4147</v>
      </c>
      <c r="I77" s="85" t="n">
        <v>12.1</v>
      </c>
      <c r="J77" s="117" t="n">
        <v>0</v>
      </c>
      <c r="K77" s="117" t="n">
        <v>0</v>
      </c>
      <c r="L77" s="101" t="n">
        <v>73.5314</v>
      </c>
      <c r="M77" s="118" t="n">
        <v>6954036</v>
      </c>
    </row>
    <row r="78" ht="13.5" customHeight="1" s="186">
      <c r="A78" s="105" t="inlineStr">
        <is>
          <t>MA</t>
        </is>
      </c>
      <c r="B78" s="119" t="n">
        <v>2017</v>
      </c>
      <c r="C78" s="106" t="n">
        <v>21.06</v>
      </c>
      <c r="D78" s="120" t="n">
        <v>1.29</v>
      </c>
      <c r="E78" s="108" t="n">
        <v>7.2957</v>
      </c>
      <c r="F78" s="121" t="n">
        <v>4.4998</v>
      </c>
      <c r="G78" s="122" t="n">
        <v>12791</v>
      </c>
      <c r="H78" s="123" t="n">
        <v>9.4565</v>
      </c>
      <c r="I78" s="89" t="n">
        <v>14.5</v>
      </c>
      <c r="J78" s="119" t="n">
        <v>0</v>
      </c>
      <c r="K78" s="119" t="n">
        <v>0</v>
      </c>
      <c r="L78" s="109" t="n">
        <v>73.5314</v>
      </c>
      <c r="M78" s="124" t="n">
        <v>7000229</v>
      </c>
    </row>
    <row r="79" ht="13.5" customHeight="1" s="186">
      <c r="A79" s="97" t="inlineStr">
        <is>
          <t>MA</t>
        </is>
      </c>
      <c r="B79" s="117" t="n">
        <v>2018</v>
      </c>
      <c r="C79" s="98" t="n">
        <v>17.87</v>
      </c>
      <c r="D79" s="99" t="n">
        <v>1.68</v>
      </c>
      <c r="E79" s="100" t="n">
        <v>7.1365</v>
      </c>
      <c r="F79" s="101" t="n">
        <v>4.7707</v>
      </c>
      <c r="G79" s="77" t="n">
        <v>13956</v>
      </c>
      <c r="H79" s="102" t="n">
        <v>9.5436</v>
      </c>
      <c r="I79" s="85" t="n">
        <v>14.7</v>
      </c>
      <c r="J79" s="117" t="n">
        <v>0</v>
      </c>
      <c r="K79" s="117" t="n">
        <v>0</v>
      </c>
      <c r="L79" s="101" t="n">
        <v>73.5314</v>
      </c>
      <c r="M79" s="118" t="n">
        <v>7035055</v>
      </c>
    </row>
    <row r="80" ht="13.5" customHeight="1" s="186">
      <c r="A80" s="105" t="inlineStr">
        <is>
          <t>MA</t>
        </is>
      </c>
      <c r="B80" s="119" t="n">
        <v>2019</v>
      </c>
      <c r="C80" s="106" t="n">
        <v>15</v>
      </c>
      <c r="D80" s="120" t="n">
        <v>8.99</v>
      </c>
      <c r="E80" s="108" t="n">
        <v>6.967</v>
      </c>
      <c r="F80" s="121" t="n">
        <v>6.4552</v>
      </c>
      <c r="G80" s="122" t="n">
        <v>13758</v>
      </c>
      <c r="H80" s="123" t="n">
        <v>9.529400000000001</v>
      </c>
      <c r="I80" s="89" t="n">
        <v>14.7</v>
      </c>
      <c r="J80" s="119" t="n">
        <v>0</v>
      </c>
      <c r="K80" s="119" t="n">
        <v>0</v>
      </c>
      <c r="L80" s="109" t="n">
        <v>73.5314</v>
      </c>
      <c r="M80" s="124" t="n">
        <v>7075181</v>
      </c>
    </row>
    <row r="81" ht="13.5" customHeight="1" s="186">
      <c r="A81" s="97" t="inlineStr">
        <is>
          <t>MA</t>
        </is>
      </c>
      <c r="B81" s="117" t="n">
        <v>2020</v>
      </c>
      <c r="C81" s="98" t="n">
        <v>20.04</v>
      </c>
      <c r="D81" s="99" t="n">
        <v>21.08</v>
      </c>
      <c r="E81" s="100" t="n">
        <v>7.2626</v>
      </c>
      <c r="F81" s="101" t="n">
        <v>7.3132</v>
      </c>
      <c r="G81" s="77" t="n">
        <v>15028</v>
      </c>
      <c r="H81" s="102" t="n">
        <v>9.617599999999999</v>
      </c>
      <c r="I81" s="85" t="n">
        <v>16.4</v>
      </c>
      <c r="J81" s="117" t="n">
        <v>0</v>
      </c>
      <c r="K81" s="125" t="n">
        <v>1</v>
      </c>
      <c r="L81" s="101" t="n">
        <v>73.5314</v>
      </c>
      <c r="M81" s="118" t="n">
        <v>7114598</v>
      </c>
    </row>
    <row r="82" ht="13.5" customHeight="1" s="186">
      <c r="A82" s="105" t="inlineStr">
        <is>
          <t>MA</t>
        </is>
      </c>
      <c r="B82" s="119" t="n">
        <v>2021</v>
      </c>
      <c r="C82" s="106" t="n">
        <v>20.12</v>
      </c>
      <c r="D82" s="120" t="n">
        <v>39.87</v>
      </c>
      <c r="E82" s="108" t="n">
        <v>7.2717</v>
      </c>
      <c r="F82" s="121" t="n">
        <v>7.9558</v>
      </c>
      <c r="G82" s="122" t="n">
        <v>17472</v>
      </c>
      <c r="H82" s="123" t="n">
        <v>9.7683</v>
      </c>
      <c r="I82" s="89" t="n">
        <v>16.1</v>
      </c>
      <c r="J82" s="119" t="n">
        <v>0</v>
      </c>
      <c r="K82" s="125" t="n">
        <v>1</v>
      </c>
      <c r="L82" s="109" t="n">
        <v>73.5314</v>
      </c>
      <c r="M82" s="124" t="n">
        <v>7153262</v>
      </c>
    </row>
    <row r="83" ht="13.5" customHeight="1" s="186">
      <c r="A83" s="97" t="inlineStr">
        <is>
          <t>MA</t>
        </is>
      </c>
      <c r="B83" s="117" t="n">
        <v>2022</v>
      </c>
      <c r="C83" s="98" t="n">
        <v>19.51</v>
      </c>
      <c r="D83" s="99" t="n">
        <v>73.53</v>
      </c>
      <c r="E83" s="100" t="n">
        <v>7.1869</v>
      </c>
      <c r="F83" s="101" t="n">
        <v>8.5138</v>
      </c>
      <c r="G83" s="77" t="n">
        <v>20628</v>
      </c>
      <c r="H83" s="102" t="n">
        <v>9.9344</v>
      </c>
      <c r="I83" s="85" t="n">
        <v>10.5</v>
      </c>
      <c r="J83" s="117" t="n">
        <v>0</v>
      </c>
      <c r="K83" s="117" t="n">
        <v>0</v>
      </c>
      <c r="L83" s="101" t="n">
        <v>73.5314</v>
      </c>
      <c r="M83" s="118" t="n">
        <v>6776699</v>
      </c>
    </row>
    <row r="84" ht="13.5" customHeight="1" s="186">
      <c r="A84" s="105" t="inlineStr">
        <is>
          <t>MA</t>
        </is>
      </c>
      <c r="B84" s="119" t="n">
        <v>2023</v>
      </c>
      <c r="C84" s="106" t="n">
        <v>21.21</v>
      </c>
      <c r="D84" s="120" t="n">
        <v>0.03</v>
      </c>
      <c r="E84" s="108" t="n">
        <v>7.2703</v>
      </c>
      <c r="F84" s="121" t="n">
        <v>0.6931</v>
      </c>
      <c r="G84" s="122" t="n">
        <v>22021</v>
      </c>
      <c r="H84" s="123" t="n">
        <v>9.999700000000001</v>
      </c>
      <c r="I84" s="89" t="n">
        <v>8.199999999999999</v>
      </c>
      <c r="J84" s="126" t="n">
        <v>1</v>
      </c>
      <c r="K84" s="119" t="n">
        <v>0</v>
      </c>
      <c r="L84" s="109" t="n">
        <v>73.5314</v>
      </c>
      <c r="M84" s="124" t="n">
        <v>6776699</v>
      </c>
    </row>
    <row r="85" ht="13.5" customHeight="1" s="186">
      <c r="A85" s="97" t="inlineStr">
        <is>
          <t>MG</t>
        </is>
      </c>
      <c r="B85" s="117" t="n">
        <v>2016</v>
      </c>
      <c r="C85" s="98" t="n">
        <v>15.76</v>
      </c>
      <c r="D85" s="99" t="n">
        <v>1.3</v>
      </c>
      <c r="E85" s="100" t="n">
        <v>8.104699999999999</v>
      </c>
      <c r="F85" s="101" t="n">
        <v>5.6058</v>
      </c>
      <c r="G85" s="77" t="n">
        <v>25946</v>
      </c>
      <c r="H85" s="102" t="n">
        <v>10.1638</v>
      </c>
      <c r="I85" s="85" t="n">
        <v>11.2</v>
      </c>
      <c r="J85" s="117" t="n">
        <v>0</v>
      </c>
      <c r="K85" s="117" t="n">
        <v>0</v>
      </c>
      <c r="L85" s="101" t="n">
        <v>178.189</v>
      </c>
      <c r="M85" s="118" t="n">
        <v>20997560</v>
      </c>
    </row>
    <row r="86" ht="13.5" customHeight="1" s="186">
      <c r="A86" s="105" t="inlineStr">
        <is>
          <t>MG</t>
        </is>
      </c>
      <c r="B86" s="119" t="n">
        <v>2017</v>
      </c>
      <c r="C86" s="106" t="n">
        <v>14.49</v>
      </c>
      <c r="D86" s="120" t="n">
        <v>2.32</v>
      </c>
      <c r="E86" s="108" t="n">
        <v>8.026199999999999</v>
      </c>
      <c r="F86" s="121" t="n">
        <v>6.1924</v>
      </c>
      <c r="G86" s="122" t="n">
        <v>27291</v>
      </c>
      <c r="H86" s="123" t="n">
        <v>10.2143</v>
      </c>
      <c r="I86" s="89" t="n">
        <v>12.2</v>
      </c>
      <c r="J86" s="119" t="n">
        <v>0</v>
      </c>
      <c r="K86" s="119" t="n">
        <v>0</v>
      </c>
      <c r="L86" s="109" t="n">
        <v>178.189</v>
      </c>
      <c r="M86" s="124" t="n">
        <v>21119536</v>
      </c>
    </row>
    <row r="87" ht="13.5" customHeight="1" s="186">
      <c r="A87" s="97" t="inlineStr">
        <is>
          <t>MG</t>
        </is>
      </c>
      <c r="B87" s="117" t="n">
        <v>2018</v>
      </c>
      <c r="C87" s="98" t="n">
        <v>10.62</v>
      </c>
      <c r="D87" s="99" t="n">
        <v>5.18</v>
      </c>
      <c r="E87" s="100" t="n">
        <v>7.7115</v>
      </c>
      <c r="F87" s="101" t="n">
        <v>6.993</v>
      </c>
      <c r="G87" s="77" t="n">
        <v>29223</v>
      </c>
      <c r="H87" s="102" t="n">
        <v>10.2827</v>
      </c>
      <c r="I87" s="85" t="n">
        <v>10.8</v>
      </c>
      <c r="J87" s="117" t="n">
        <v>0</v>
      </c>
      <c r="K87" s="117" t="n">
        <v>0</v>
      </c>
      <c r="L87" s="101" t="n">
        <v>178.189</v>
      </c>
      <c r="M87" s="118" t="n">
        <v>21040662</v>
      </c>
    </row>
    <row r="88" ht="13.5" customHeight="1" s="186">
      <c r="A88" s="105" t="inlineStr">
        <is>
          <t>MG</t>
        </is>
      </c>
      <c r="B88" s="119" t="n">
        <v>2019</v>
      </c>
      <c r="C88" s="106" t="n">
        <v>8.83</v>
      </c>
      <c r="D88" s="120" t="n">
        <v>31.14</v>
      </c>
      <c r="E88" s="108" t="n">
        <v>7.5332</v>
      </c>
      <c r="F88" s="121" t="n">
        <v>8.7935</v>
      </c>
      <c r="G88" s="122" t="n">
        <v>30794</v>
      </c>
      <c r="H88" s="123" t="n">
        <v>10.3351</v>
      </c>
      <c r="I88" s="89" t="n">
        <v>10.1</v>
      </c>
      <c r="J88" s="119" t="n">
        <v>0</v>
      </c>
      <c r="K88" s="119" t="n">
        <v>0</v>
      </c>
      <c r="L88" s="109" t="n">
        <v>178.189</v>
      </c>
      <c r="M88" s="124" t="n">
        <v>21168791</v>
      </c>
    </row>
    <row r="89" ht="13.5" customHeight="1" s="186">
      <c r="A89" s="97" t="inlineStr">
        <is>
          <t>MG</t>
        </is>
      </c>
      <c r="B89" s="117" t="n">
        <v>2020</v>
      </c>
      <c r="C89" s="98" t="n">
        <v>7.95</v>
      </c>
      <c r="D89" s="99" t="n">
        <v>47.49</v>
      </c>
      <c r="E89" s="100" t="n">
        <v>7.4337</v>
      </c>
      <c r="F89" s="101" t="n">
        <v>9.221399999999999</v>
      </c>
      <c r="G89" s="77" t="n">
        <v>32067</v>
      </c>
      <c r="H89" s="102" t="n">
        <v>10.3756</v>
      </c>
      <c r="I89" s="85" t="n">
        <v>12.8</v>
      </c>
      <c r="J89" s="117" t="n">
        <v>0</v>
      </c>
      <c r="K89" s="125" t="n">
        <v>1</v>
      </c>
      <c r="L89" s="101" t="n">
        <v>178.189</v>
      </c>
      <c r="M89" s="118" t="n">
        <v>21292666</v>
      </c>
    </row>
    <row r="90" ht="13.5" customHeight="1" s="186">
      <c r="A90" s="105" t="inlineStr">
        <is>
          <t>MG</t>
        </is>
      </c>
      <c r="B90" s="119" t="n">
        <v>2021</v>
      </c>
      <c r="C90" s="106" t="n">
        <v>7.42</v>
      </c>
      <c r="D90" s="120" t="n">
        <v>111.51</v>
      </c>
      <c r="E90" s="108" t="n">
        <v>7.3702</v>
      </c>
      <c r="F90" s="121" t="n">
        <v>10.0806</v>
      </c>
      <c r="G90" s="122" t="n">
        <v>40052</v>
      </c>
      <c r="H90" s="123" t="n">
        <v>10.5979</v>
      </c>
      <c r="I90" s="89" t="n">
        <v>11.7</v>
      </c>
      <c r="J90" s="119" t="n">
        <v>0</v>
      </c>
      <c r="K90" s="125" t="n">
        <v>1</v>
      </c>
      <c r="L90" s="109" t="n">
        <v>178.189</v>
      </c>
      <c r="M90" s="124" t="n">
        <v>21411923</v>
      </c>
    </row>
    <row r="91" ht="13.5" customHeight="1" s="186">
      <c r="A91" s="97" t="inlineStr">
        <is>
          <t>MG</t>
        </is>
      </c>
      <c r="B91" s="117" t="n">
        <v>2022</v>
      </c>
      <c r="C91" s="98" t="n">
        <v>8.460000000000001</v>
      </c>
      <c r="D91" s="99" t="n">
        <v>178.19</v>
      </c>
      <c r="E91" s="100" t="n">
        <v>7.4599</v>
      </c>
      <c r="F91" s="101" t="n">
        <v>10.5078</v>
      </c>
      <c r="G91" s="77" t="n">
        <v>44145</v>
      </c>
      <c r="H91" s="102" t="n">
        <v>10.6952</v>
      </c>
      <c r="I91" s="85" t="n">
        <v>7.2</v>
      </c>
      <c r="J91" s="117" t="n">
        <v>0</v>
      </c>
      <c r="K91" s="117" t="n">
        <v>0</v>
      </c>
      <c r="L91" s="101" t="n">
        <v>178.189</v>
      </c>
      <c r="M91" s="118" t="n">
        <v>20539989</v>
      </c>
    </row>
    <row r="92" ht="13.5" customHeight="1" s="186">
      <c r="A92" s="105" t="inlineStr">
        <is>
          <t>MG</t>
        </is>
      </c>
      <c r="B92" s="119" t="n">
        <v>2023</v>
      </c>
      <c r="C92" s="106" t="n">
        <v>8.52</v>
      </c>
      <c r="D92" s="120" t="n">
        <v>0.49</v>
      </c>
      <c r="E92" s="108" t="n">
        <v>7.4668</v>
      </c>
      <c r="F92" s="121" t="n">
        <v>4.6151</v>
      </c>
      <c r="G92" s="122" t="n">
        <v>47321</v>
      </c>
      <c r="H92" s="123" t="n">
        <v>10.7647</v>
      </c>
      <c r="I92" s="89" t="n">
        <v>6.1</v>
      </c>
      <c r="J92" s="126" t="n">
        <v>1</v>
      </c>
      <c r="K92" s="119" t="n">
        <v>0</v>
      </c>
      <c r="L92" s="109" t="n">
        <v>178.189</v>
      </c>
      <c r="M92" s="124" t="n">
        <v>20539989</v>
      </c>
    </row>
    <row r="93" ht="13.5" customHeight="1" s="186">
      <c r="A93" s="97" t="inlineStr">
        <is>
          <t>MS</t>
        </is>
      </c>
      <c r="B93" s="117" t="n">
        <v>2016</v>
      </c>
      <c r="C93" s="98" t="n">
        <v>12.23</v>
      </c>
      <c r="D93" s="99" t="n">
        <v>4.36</v>
      </c>
      <c r="E93" s="100" t="n">
        <v>5.793</v>
      </c>
      <c r="F93" s="101" t="n">
        <v>4.7622</v>
      </c>
      <c r="G93" s="77" t="n">
        <v>34258</v>
      </c>
      <c r="H93" s="102" t="n">
        <v>10.4417</v>
      </c>
      <c r="I93" s="85" t="n">
        <v>7.7</v>
      </c>
      <c r="J93" s="117" t="n">
        <v>0</v>
      </c>
      <c r="K93" s="117" t="n">
        <v>0</v>
      </c>
      <c r="L93" s="101" t="n">
        <v>325.6786</v>
      </c>
      <c r="M93" s="118" t="n">
        <v>2682386</v>
      </c>
    </row>
    <row r="94" ht="13.5" customHeight="1" s="186">
      <c r="A94" s="105" t="inlineStr">
        <is>
          <t>MS</t>
        </is>
      </c>
      <c r="B94" s="119" t="n">
        <v>2017</v>
      </c>
      <c r="C94" s="106" t="n">
        <v>11.72</v>
      </c>
      <c r="D94" s="120" t="n">
        <v>7</v>
      </c>
      <c r="E94" s="108" t="n">
        <v>5.7621</v>
      </c>
      <c r="F94" s="121" t="n">
        <v>5.247</v>
      </c>
      <c r="G94" s="122" t="n">
        <v>35529</v>
      </c>
      <c r="H94" s="123" t="n">
        <v>10.4781</v>
      </c>
      <c r="I94" s="89" t="n">
        <v>8.6</v>
      </c>
      <c r="J94" s="119" t="n">
        <v>0</v>
      </c>
      <c r="K94" s="119" t="n">
        <v>0</v>
      </c>
      <c r="L94" s="109" t="n">
        <v>325.6786</v>
      </c>
      <c r="M94" s="124" t="n">
        <v>2713147</v>
      </c>
    </row>
    <row r="95" ht="13.5" customHeight="1" s="186">
      <c r="A95" s="97" t="inlineStr">
        <is>
          <t>MS</t>
        </is>
      </c>
      <c r="B95" s="117" t="n">
        <v>2018</v>
      </c>
      <c r="C95" s="98" t="n">
        <v>8.949999999999999</v>
      </c>
      <c r="D95" s="99" t="n">
        <v>6.8</v>
      </c>
      <c r="E95" s="100" t="n">
        <v>5.5053</v>
      </c>
      <c r="F95" s="101" t="n">
        <v>5.2311</v>
      </c>
      <c r="G95" s="77" t="n">
        <v>38926</v>
      </c>
      <c r="H95" s="102" t="n">
        <v>10.5694</v>
      </c>
      <c r="I95" s="85" t="n">
        <v>7.6</v>
      </c>
      <c r="J95" s="117" t="n">
        <v>0</v>
      </c>
      <c r="K95" s="117" t="n">
        <v>0</v>
      </c>
      <c r="L95" s="101" t="n">
        <v>325.6786</v>
      </c>
      <c r="M95" s="118" t="n">
        <v>2748023</v>
      </c>
    </row>
    <row r="96" ht="13.5" customHeight="1" s="186">
      <c r="A96" s="105" t="inlineStr">
        <is>
          <t>MS</t>
        </is>
      </c>
      <c r="B96" s="119" t="n">
        <v>2019</v>
      </c>
      <c r="C96" s="106" t="n">
        <v>8.31</v>
      </c>
      <c r="D96" s="120" t="n">
        <v>37.89</v>
      </c>
      <c r="E96" s="108" t="n">
        <v>5.4424</v>
      </c>
      <c r="F96" s="121" t="n">
        <v>6.9594</v>
      </c>
      <c r="G96" s="122" t="n">
        <v>38483</v>
      </c>
      <c r="H96" s="123" t="n">
        <v>10.558</v>
      </c>
      <c r="I96" s="89" t="n">
        <v>8.1</v>
      </c>
      <c r="J96" s="119" t="n">
        <v>0</v>
      </c>
      <c r="K96" s="119" t="n">
        <v>0</v>
      </c>
      <c r="L96" s="109" t="n">
        <v>325.6786</v>
      </c>
      <c r="M96" s="124" t="n">
        <v>2778986</v>
      </c>
    </row>
    <row r="97" ht="13.5" customHeight="1" s="186">
      <c r="A97" s="97" t="inlineStr">
        <is>
          <t>MS</t>
        </is>
      </c>
      <c r="B97" s="117" t="n">
        <v>2020</v>
      </c>
      <c r="C97" s="98" t="n">
        <v>7.65</v>
      </c>
      <c r="D97" s="99" t="n">
        <v>84.15000000000001</v>
      </c>
      <c r="E97" s="100" t="n">
        <v>5.3706</v>
      </c>
      <c r="F97" s="101" t="n">
        <v>7.7681</v>
      </c>
      <c r="G97" s="77" t="n">
        <v>43649</v>
      </c>
      <c r="H97" s="102" t="n">
        <v>10.6839</v>
      </c>
      <c r="I97" s="85" t="n">
        <v>10.2</v>
      </c>
      <c r="J97" s="117" t="n">
        <v>0</v>
      </c>
      <c r="K97" s="125" t="n">
        <v>1</v>
      </c>
      <c r="L97" s="101" t="n">
        <v>325.6786</v>
      </c>
      <c r="M97" s="118" t="n">
        <v>2809394</v>
      </c>
    </row>
    <row r="98" ht="13.5" customHeight="1" s="186">
      <c r="A98" s="105" t="inlineStr">
        <is>
          <t>MS</t>
        </is>
      </c>
      <c r="B98" s="119" t="n">
        <v>2021</v>
      </c>
      <c r="C98" s="106" t="n">
        <v>9.470000000000001</v>
      </c>
      <c r="D98" s="120" t="n">
        <v>167.3</v>
      </c>
      <c r="E98" s="108" t="n">
        <v>5.5947</v>
      </c>
      <c r="F98" s="121" t="n">
        <v>8.4659</v>
      </c>
      <c r="G98" s="122" t="n">
        <v>50086</v>
      </c>
      <c r="H98" s="123" t="n">
        <v>10.8215</v>
      </c>
      <c r="I98" s="89" t="n">
        <v>8.699999999999999</v>
      </c>
      <c r="J98" s="119" t="n">
        <v>0</v>
      </c>
      <c r="K98" s="125" t="n">
        <v>1</v>
      </c>
      <c r="L98" s="109" t="n">
        <v>325.6786</v>
      </c>
      <c r="M98" s="124" t="n">
        <v>2839188</v>
      </c>
    </row>
    <row r="99" ht="13.5" customHeight="1" s="186">
      <c r="A99" s="97" t="inlineStr">
        <is>
          <t>MS</t>
        </is>
      </c>
      <c r="B99" s="117" t="n">
        <v>2022</v>
      </c>
      <c r="C99" s="98" t="n">
        <v>9.029999999999999</v>
      </c>
      <c r="D99" s="99" t="n">
        <v>325.68</v>
      </c>
      <c r="E99" s="100" t="n">
        <v>5.5175</v>
      </c>
      <c r="F99" s="101" t="n">
        <v>9.102600000000001</v>
      </c>
      <c r="G99" s="77" t="n">
        <v>60358</v>
      </c>
      <c r="H99" s="102" t="n">
        <v>11.008</v>
      </c>
      <c r="I99" s="85" t="n">
        <v>5</v>
      </c>
      <c r="J99" s="117" t="n">
        <v>0</v>
      </c>
      <c r="K99" s="117" t="n">
        <v>0</v>
      </c>
      <c r="L99" s="101" t="n">
        <v>325.6786</v>
      </c>
      <c r="M99" s="118" t="n">
        <v>2757013</v>
      </c>
    </row>
    <row r="100" ht="13.5" customHeight="1" s="186">
      <c r="A100" s="105" t="inlineStr">
        <is>
          <t>MS</t>
        </is>
      </c>
      <c r="B100" s="119" t="n">
        <v>2023</v>
      </c>
      <c r="C100" s="106" t="n">
        <v>8.23</v>
      </c>
      <c r="D100" s="120" t="n">
        <v>0.65</v>
      </c>
      <c r="E100" s="108" t="n">
        <v>5.425</v>
      </c>
      <c r="F100" s="121" t="n">
        <v>2.8904</v>
      </c>
      <c r="G100" s="122" t="n">
        <v>66885</v>
      </c>
      <c r="H100" s="123" t="n">
        <v>11.1107</v>
      </c>
      <c r="I100" s="89" t="n">
        <v>4.2</v>
      </c>
      <c r="J100" s="126" t="n">
        <v>1</v>
      </c>
      <c r="K100" s="119" t="n">
        <v>0</v>
      </c>
      <c r="L100" s="109" t="n">
        <v>325.6786</v>
      </c>
      <c r="M100" s="124" t="n">
        <v>2757013</v>
      </c>
    </row>
    <row r="101" ht="13.5" customHeight="1" s="186">
      <c r="A101" s="97" t="inlineStr">
        <is>
          <t>MT</t>
        </is>
      </c>
      <c r="B101" s="117" t="n">
        <v>2016</v>
      </c>
      <c r="C101" s="98" t="n">
        <v>22.9</v>
      </c>
      <c r="D101" s="99" t="n">
        <v>4.33</v>
      </c>
      <c r="E101" s="100" t="n">
        <v>6.6294</v>
      </c>
      <c r="F101" s="101" t="n">
        <v>4.9628</v>
      </c>
      <c r="G101" s="77" t="n">
        <v>37477</v>
      </c>
      <c r="H101" s="102" t="n">
        <v>10.5315</v>
      </c>
      <c r="I101" s="85" t="n">
        <v>9.5</v>
      </c>
      <c r="J101" s="117" t="n">
        <v>0</v>
      </c>
      <c r="K101" s="117" t="n">
        <v>0</v>
      </c>
      <c r="L101" s="101" t="n">
        <v>362.7569</v>
      </c>
      <c r="M101" s="118" t="n">
        <v>3305531</v>
      </c>
    </row>
    <row r="102" ht="13.5" customHeight="1" s="186">
      <c r="A102" s="105" t="inlineStr">
        <is>
          <t>MT</t>
        </is>
      </c>
      <c r="B102" s="119" t="n">
        <v>2017</v>
      </c>
      <c r="C102" s="106" t="n">
        <v>20.18</v>
      </c>
      <c r="D102" s="120" t="n">
        <v>6.76</v>
      </c>
      <c r="E102" s="108" t="n">
        <v>6.5147</v>
      </c>
      <c r="F102" s="121" t="n">
        <v>5.4205</v>
      </c>
      <c r="G102" s="122" t="n">
        <v>37926</v>
      </c>
      <c r="H102" s="123" t="n">
        <v>10.5434</v>
      </c>
      <c r="I102" s="89" t="n">
        <v>9.1</v>
      </c>
      <c r="J102" s="119" t="n">
        <v>0</v>
      </c>
      <c r="K102" s="119" t="n">
        <v>0</v>
      </c>
      <c r="L102" s="109" t="n">
        <v>362.7569</v>
      </c>
      <c r="M102" s="124" t="n">
        <v>3344544</v>
      </c>
    </row>
    <row r="103" ht="13.5" customHeight="1" s="186">
      <c r="A103" s="97" t="inlineStr">
        <is>
          <t>MT</t>
        </is>
      </c>
      <c r="B103" s="117" t="n">
        <v>2018</v>
      </c>
      <c r="C103" s="98" t="n">
        <v>16.33</v>
      </c>
      <c r="D103" s="99" t="n">
        <v>9.44</v>
      </c>
      <c r="E103" s="100" t="n">
        <v>6.3315</v>
      </c>
      <c r="F103" s="101" t="n">
        <v>5.7838</v>
      </c>
      <c r="G103" s="77" t="n">
        <v>39931</v>
      </c>
      <c r="H103" s="102" t="n">
        <v>10.5949</v>
      </c>
      <c r="I103" s="85" t="n">
        <v>8</v>
      </c>
      <c r="J103" s="117" t="n">
        <v>0</v>
      </c>
      <c r="K103" s="117" t="n">
        <v>0</v>
      </c>
      <c r="L103" s="101" t="n">
        <v>362.7569</v>
      </c>
      <c r="M103" s="118" t="n">
        <v>3441998</v>
      </c>
    </row>
    <row r="104" ht="13.5" customHeight="1" s="186">
      <c r="A104" s="105" t="inlineStr">
        <is>
          <t>MT</t>
        </is>
      </c>
      <c r="B104" s="119" t="n">
        <v>2019</v>
      </c>
      <c r="C104" s="106" t="n">
        <v>14.52</v>
      </c>
      <c r="D104" s="120" t="n">
        <v>47.47</v>
      </c>
      <c r="E104" s="108" t="n">
        <v>6.2265</v>
      </c>
      <c r="F104" s="121" t="n">
        <v>7.411</v>
      </c>
      <c r="G104" s="122" t="n">
        <v>40787</v>
      </c>
      <c r="H104" s="123" t="n">
        <v>10.6161</v>
      </c>
      <c r="I104" s="89" t="n">
        <v>8</v>
      </c>
      <c r="J104" s="119" t="n">
        <v>0</v>
      </c>
      <c r="K104" s="119" t="n">
        <v>0</v>
      </c>
      <c r="L104" s="109" t="n">
        <v>362.7569</v>
      </c>
      <c r="M104" s="124" t="n">
        <v>3484466</v>
      </c>
    </row>
    <row r="105" ht="13.5" customHeight="1" s="186">
      <c r="A105" s="97" t="inlineStr">
        <is>
          <t>MT</t>
        </is>
      </c>
      <c r="B105" s="117" t="n">
        <v>2020</v>
      </c>
      <c r="C105" s="98" t="n">
        <v>16.85</v>
      </c>
      <c r="D105" s="99" t="n">
        <v>64.34999999999999</v>
      </c>
      <c r="E105" s="100" t="n">
        <v>6.3869</v>
      </c>
      <c r="F105" s="101" t="n">
        <v>7.7271</v>
      </c>
      <c r="G105" s="77" t="n">
        <v>50663</v>
      </c>
      <c r="H105" s="102" t="n">
        <v>10.833</v>
      </c>
      <c r="I105" s="85" t="n">
        <v>9.9</v>
      </c>
      <c r="J105" s="117" t="n">
        <v>0</v>
      </c>
      <c r="K105" s="125" t="n">
        <v>1</v>
      </c>
      <c r="L105" s="101" t="n">
        <v>362.7569</v>
      </c>
      <c r="M105" s="118" t="n">
        <v>3526220</v>
      </c>
    </row>
    <row r="106" ht="13.5" customHeight="1" s="186">
      <c r="A106" s="105" t="inlineStr">
        <is>
          <t>MT</t>
        </is>
      </c>
      <c r="B106" s="119" t="n">
        <v>2021</v>
      </c>
      <c r="C106" s="106" t="n">
        <v>15.59</v>
      </c>
      <c r="D106" s="120" t="n">
        <v>169.43</v>
      </c>
      <c r="E106" s="108" t="n">
        <v>6.3208</v>
      </c>
      <c r="F106" s="121" t="n">
        <v>8.706799999999999</v>
      </c>
      <c r="G106" s="122" t="n">
        <v>65426</v>
      </c>
      <c r="H106" s="123" t="n">
        <v>11.0887</v>
      </c>
      <c r="I106" s="89" t="n">
        <v>8</v>
      </c>
      <c r="J106" s="119" t="n">
        <v>0</v>
      </c>
      <c r="K106" s="125" t="n">
        <v>1</v>
      </c>
      <c r="L106" s="109" t="n">
        <v>362.7569</v>
      </c>
      <c r="M106" s="124" t="n">
        <v>3567234</v>
      </c>
    </row>
    <row r="107" ht="13.5" customHeight="1" s="186">
      <c r="A107" s="97" t="inlineStr">
        <is>
          <t>MT</t>
        </is>
      </c>
      <c r="B107" s="117" t="n">
        <v>2022</v>
      </c>
      <c r="C107" s="98" t="n">
        <v>18.48</v>
      </c>
      <c r="D107" s="99" t="n">
        <v>362.76</v>
      </c>
      <c r="E107" s="100" t="n">
        <v>6.5162</v>
      </c>
      <c r="F107" s="101" t="n">
        <v>9.493399999999999</v>
      </c>
      <c r="G107" s="77" t="n">
        <v>69842</v>
      </c>
      <c r="H107" s="102" t="n">
        <v>11.154</v>
      </c>
      <c r="I107" s="85" t="n">
        <v>4.3</v>
      </c>
      <c r="J107" s="117" t="n">
        <v>0</v>
      </c>
      <c r="K107" s="117" t="n">
        <v>0</v>
      </c>
      <c r="L107" s="101" t="n">
        <v>362.7569</v>
      </c>
      <c r="M107" s="118" t="n">
        <v>3658649</v>
      </c>
    </row>
    <row r="108" ht="13.5" customHeight="1" s="186">
      <c r="A108" s="105" t="inlineStr">
        <is>
          <t>MT</t>
        </is>
      </c>
      <c r="B108" s="119" t="n">
        <v>2023</v>
      </c>
      <c r="C108" s="106" t="n">
        <v>20.91</v>
      </c>
      <c r="D108" s="120" t="n">
        <v>1.01</v>
      </c>
      <c r="E108" s="108" t="n">
        <v>6.6399</v>
      </c>
      <c r="F108" s="121" t="n">
        <v>3.6109</v>
      </c>
      <c r="G108" s="122" t="n">
        <v>74620</v>
      </c>
      <c r="H108" s="123" t="n">
        <v>11.2202</v>
      </c>
      <c r="I108" s="89" t="n">
        <v>3.5</v>
      </c>
      <c r="J108" s="126" t="n">
        <v>1</v>
      </c>
      <c r="K108" s="119" t="n">
        <v>0</v>
      </c>
      <c r="L108" s="109" t="n">
        <v>362.7569</v>
      </c>
      <c r="M108" s="124" t="n">
        <v>3658649</v>
      </c>
    </row>
    <row r="109" ht="13.5" customHeight="1" s="186">
      <c r="A109" s="97" t="inlineStr">
        <is>
          <t>PA</t>
        </is>
      </c>
      <c r="B109" s="117" t="n">
        <v>2016</v>
      </c>
      <c r="C109" s="98" t="n">
        <v>37</v>
      </c>
      <c r="D109" s="99" t="n">
        <v>0.62</v>
      </c>
      <c r="E109" s="100" t="n">
        <v>8.0265</v>
      </c>
      <c r="F109" s="101" t="n">
        <v>3.9318</v>
      </c>
      <c r="G109" s="77" t="n">
        <v>16694</v>
      </c>
      <c r="H109" s="102" t="n">
        <v>9.722799999999999</v>
      </c>
      <c r="I109" s="85" t="n">
        <v>11.2</v>
      </c>
      <c r="J109" s="117" t="n">
        <v>0</v>
      </c>
      <c r="K109" s="117" t="n">
        <v>0</v>
      </c>
      <c r="L109" s="101" t="n">
        <v>75.46680000000001</v>
      </c>
      <c r="M109" s="118" t="n">
        <v>8272724</v>
      </c>
    </row>
    <row r="110" ht="13.5" customHeight="1" s="186">
      <c r="A110" s="105" t="inlineStr">
        <is>
          <t>PA</t>
        </is>
      </c>
      <c r="B110" s="119" t="n">
        <v>2017</v>
      </c>
      <c r="C110" s="106" t="n">
        <v>40.37</v>
      </c>
      <c r="D110" s="120" t="n">
        <v>0.8100000000000001</v>
      </c>
      <c r="E110" s="108" t="n">
        <v>8.125</v>
      </c>
      <c r="F110" s="121" t="n">
        <v>4.2195</v>
      </c>
      <c r="G110" s="122" t="n">
        <v>18554</v>
      </c>
      <c r="H110" s="123" t="n">
        <v>9.8284</v>
      </c>
      <c r="I110" s="89" t="n">
        <v>11.8</v>
      </c>
      <c r="J110" s="119" t="n">
        <v>0</v>
      </c>
      <c r="K110" s="119" t="n">
        <v>0</v>
      </c>
      <c r="L110" s="109" t="n">
        <v>75.46680000000001</v>
      </c>
      <c r="M110" s="124" t="n">
        <v>8366628</v>
      </c>
    </row>
    <row r="111" ht="13.5" customHeight="1" s="186">
      <c r="A111" s="97" t="inlineStr">
        <is>
          <t>PA</t>
        </is>
      </c>
      <c r="B111" s="117" t="n">
        <v>2018</v>
      </c>
      <c r="C111" s="98" t="n">
        <v>40.65</v>
      </c>
      <c r="D111" s="99" t="n">
        <v>0.99</v>
      </c>
      <c r="E111" s="100" t="n">
        <v>8.1493</v>
      </c>
      <c r="F111" s="101" t="n">
        <v>4.4308</v>
      </c>
      <c r="G111" s="77" t="n">
        <v>18952</v>
      </c>
      <c r="H111" s="102" t="n">
        <v>9.8497</v>
      </c>
      <c r="I111" s="85" t="n">
        <v>11.2</v>
      </c>
      <c r="J111" s="117" t="n">
        <v>0</v>
      </c>
      <c r="K111" s="117" t="n">
        <v>0</v>
      </c>
      <c r="L111" s="101" t="n">
        <v>75.46680000000001</v>
      </c>
      <c r="M111" s="118" t="n">
        <v>8513497</v>
      </c>
    </row>
    <row r="112" ht="13.5" customHeight="1" s="186">
      <c r="A112" s="105" t="inlineStr">
        <is>
          <t>PA</t>
        </is>
      </c>
      <c r="B112" s="119" t="n">
        <v>2019</v>
      </c>
      <c r="C112" s="106" t="n">
        <v>27.39</v>
      </c>
      <c r="D112" s="120" t="n">
        <v>5.7</v>
      </c>
      <c r="E112" s="108" t="n">
        <v>7.7647</v>
      </c>
      <c r="F112" s="121" t="n">
        <v>6.1944</v>
      </c>
      <c r="G112" s="122" t="n">
        <v>20735</v>
      </c>
      <c r="H112" s="123" t="n">
        <v>9.9396</v>
      </c>
      <c r="I112" s="89" t="n">
        <v>10.8</v>
      </c>
      <c r="J112" s="119" t="n">
        <v>0</v>
      </c>
      <c r="K112" s="119" t="n">
        <v>0</v>
      </c>
      <c r="L112" s="109" t="n">
        <v>75.46680000000001</v>
      </c>
      <c r="M112" s="124" t="n">
        <v>8602865</v>
      </c>
    </row>
    <row r="113" ht="13.5" customHeight="1" s="186">
      <c r="A113" s="97" t="inlineStr">
        <is>
          <t>PA</t>
        </is>
      </c>
      <c r="B113" s="117" t="n">
        <v>2020</v>
      </c>
      <c r="C113" s="98" t="n">
        <v>21.85</v>
      </c>
      <c r="D113" s="99" t="n">
        <v>22.29</v>
      </c>
      <c r="E113" s="100" t="n">
        <v>7.5491</v>
      </c>
      <c r="F113" s="101" t="n">
        <v>7.5689</v>
      </c>
      <c r="G113" s="77" t="n">
        <v>24847</v>
      </c>
      <c r="H113" s="102" t="n">
        <v>10.1205</v>
      </c>
      <c r="I113" s="85" t="n">
        <v>10.5</v>
      </c>
      <c r="J113" s="117" t="n">
        <v>0</v>
      </c>
      <c r="K113" s="125" t="n">
        <v>1</v>
      </c>
      <c r="L113" s="101" t="n">
        <v>75.46680000000001</v>
      </c>
      <c r="M113" s="118" t="n">
        <v>8690745</v>
      </c>
    </row>
    <row r="114" ht="13.5" customHeight="1" s="186">
      <c r="A114" s="105" t="inlineStr">
        <is>
          <t>PA</t>
        </is>
      </c>
      <c r="B114" s="119" t="n">
        <v>2021</v>
      </c>
      <c r="C114" s="106" t="n">
        <v>22.32</v>
      </c>
      <c r="D114" s="120" t="n">
        <v>46.17</v>
      </c>
      <c r="E114" s="108" t="n">
        <v>7.5802</v>
      </c>
      <c r="F114" s="121" t="n">
        <v>8.307</v>
      </c>
      <c r="G114" s="122" t="n">
        <v>29953</v>
      </c>
      <c r="H114" s="123" t="n">
        <v>10.3074</v>
      </c>
      <c r="I114" s="89" t="n">
        <v>12.5</v>
      </c>
      <c r="J114" s="119" t="n">
        <v>0</v>
      </c>
      <c r="K114" s="125" t="n">
        <v>1</v>
      </c>
      <c r="L114" s="109" t="n">
        <v>75.46680000000001</v>
      </c>
      <c r="M114" s="124" t="n">
        <v>8777124</v>
      </c>
    </row>
    <row r="115" ht="13.5" customHeight="1" s="186">
      <c r="A115" s="97" t="inlineStr">
        <is>
          <t>PA</t>
        </is>
      </c>
      <c r="B115" s="117" t="n">
        <v>2022</v>
      </c>
      <c r="C115" s="98" t="n">
        <v>25.11</v>
      </c>
      <c r="D115" s="99" t="n">
        <v>75.47</v>
      </c>
      <c r="E115" s="100" t="n">
        <v>7.6202</v>
      </c>
      <c r="F115" s="101" t="n">
        <v>8.720599999999999</v>
      </c>
      <c r="G115" s="77" t="n">
        <v>29081</v>
      </c>
      <c r="H115" s="102" t="n">
        <v>10.2778</v>
      </c>
      <c r="I115" s="85" t="n">
        <v>9.6</v>
      </c>
      <c r="J115" s="117" t="n">
        <v>0</v>
      </c>
      <c r="K115" s="117" t="n">
        <v>0</v>
      </c>
      <c r="L115" s="101" t="n">
        <v>75.46680000000001</v>
      </c>
      <c r="M115" s="118" t="n">
        <v>8120131</v>
      </c>
    </row>
    <row r="116" ht="13.5" customHeight="1" s="186">
      <c r="A116" s="105" t="inlineStr">
        <is>
          <t>PA</t>
        </is>
      </c>
      <c r="B116" s="119" t="n">
        <v>2023</v>
      </c>
      <c r="C116" s="106" t="n">
        <v>21.74</v>
      </c>
      <c r="D116" s="120" t="n">
        <v>0.22</v>
      </c>
      <c r="E116" s="108" t="n">
        <v>7.4759</v>
      </c>
      <c r="F116" s="121" t="n">
        <v>2.8904</v>
      </c>
      <c r="G116" s="122" t="n">
        <v>31348</v>
      </c>
      <c r="H116" s="123" t="n">
        <v>10.3529</v>
      </c>
      <c r="I116" s="89" t="n">
        <v>8.5</v>
      </c>
      <c r="J116" s="126" t="n">
        <v>1</v>
      </c>
      <c r="K116" s="119" t="n">
        <v>0</v>
      </c>
      <c r="L116" s="109" t="n">
        <v>75.46680000000001</v>
      </c>
      <c r="M116" s="124" t="n">
        <v>8120131</v>
      </c>
    </row>
    <row r="117" ht="13.5" customHeight="1" s="186">
      <c r="A117" s="97" t="inlineStr">
        <is>
          <t>PB</t>
        </is>
      </c>
      <c r="B117" s="117" t="n">
        <v>2016</v>
      </c>
      <c r="C117" s="98" t="n">
        <v>26.6</v>
      </c>
      <c r="D117" s="99" t="n">
        <v>1.5</v>
      </c>
      <c r="E117" s="100" t="n">
        <v>6.9698</v>
      </c>
      <c r="F117" s="101" t="n">
        <v>4.0943</v>
      </c>
      <c r="G117" s="77" t="n">
        <v>14778</v>
      </c>
      <c r="H117" s="102" t="n">
        <v>9.600899999999999</v>
      </c>
      <c r="I117" s="85" t="n">
        <v>11.6</v>
      </c>
      <c r="J117" s="117" t="n">
        <v>0</v>
      </c>
      <c r="K117" s="117" t="n">
        <v>0</v>
      </c>
      <c r="L117" s="101" t="n">
        <v>93.39100000000001</v>
      </c>
      <c r="M117" s="118" t="n">
        <v>3999415</v>
      </c>
    </row>
    <row r="118" ht="13.5" customHeight="1" s="186">
      <c r="A118" s="105" t="inlineStr">
        <is>
          <t>PB</t>
        </is>
      </c>
      <c r="B118" s="119" t="n">
        <v>2017</v>
      </c>
      <c r="C118" s="106" t="n">
        <v>25.79</v>
      </c>
      <c r="D118" s="120" t="n">
        <v>2.58</v>
      </c>
      <c r="E118" s="108" t="n">
        <v>6.9451</v>
      </c>
      <c r="F118" s="121" t="n">
        <v>4.6444</v>
      </c>
      <c r="G118" s="122" t="n">
        <v>15500</v>
      </c>
      <c r="H118" s="123" t="n">
        <v>9.6486</v>
      </c>
      <c r="I118" s="89" t="n">
        <v>11.5</v>
      </c>
      <c r="J118" s="119" t="n">
        <v>0</v>
      </c>
      <c r="K118" s="119" t="n">
        <v>0</v>
      </c>
      <c r="L118" s="109" t="n">
        <v>93.39100000000001</v>
      </c>
      <c r="M118" s="124" t="n">
        <v>4025558</v>
      </c>
    </row>
    <row r="119" ht="13.5" customHeight="1" s="186">
      <c r="A119" s="97" t="inlineStr">
        <is>
          <t>PB</t>
        </is>
      </c>
      <c r="B119" s="117" t="n">
        <v>2018</v>
      </c>
      <c r="C119" s="98" t="n">
        <v>24.9</v>
      </c>
      <c r="D119" s="99" t="n">
        <v>15.99</v>
      </c>
      <c r="E119" s="100" t="n">
        <v>6.9027</v>
      </c>
      <c r="F119" s="101" t="n">
        <v>6.4599</v>
      </c>
      <c r="G119" s="77" t="n">
        <v>16108</v>
      </c>
      <c r="H119" s="102" t="n">
        <v>9.686999999999999</v>
      </c>
      <c r="I119" s="85" t="n">
        <v>11.3</v>
      </c>
      <c r="J119" s="117" t="n">
        <v>0</v>
      </c>
      <c r="K119" s="117" t="n">
        <v>0</v>
      </c>
      <c r="L119" s="101" t="n">
        <v>93.39100000000001</v>
      </c>
      <c r="M119" s="118" t="n">
        <v>3996496</v>
      </c>
    </row>
    <row r="120" ht="13.5" customHeight="1" s="186">
      <c r="A120" s="105" t="inlineStr">
        <is>
          <t>PB</t>
        </is>
      </c>
      <c r="B120" s="119" t="n">
        <v>2019</v>
      </c>
      <c r="C120" s="106" t="n">
        <v>17.87</v>
      </c>
      <c r="D120" s="120" t="n">
        <v>29.34</v>
      </c>
      <c r="E120" s="108" t="n">
        <v>6.5765</v>
      </c>
      <c r="F120" s="121" t="n">
        <v>7.0724</v>
      </c>
      <c r="G120" s="122" t="n">
        <v>16920</v>
      </c>
      <c r="H120" s="123" t="n">
        <v>9.7362</v>
      </c>
      <c r="I120" s="89" t="n">
        <v>11.8</v>
      </c>
      <c r="J120" s="119" t="n">
        <v>0</v>
      </c>
      <c r="K120" s="119" t="n">
        <v>0</v>
      </c>
      <c r="L120" s="109" t="n">
        <v>93.39100000000001</v>
      </c>
      <c r="M120" s="124" t="n">
        <v>4018127</v>
      </c>
    </row>
    <row r="121" ht="13.5" customHeight="1" s="186">
      <c r="A121" s="97" t="inlineStr">
        <is>
          <t>PB</t>
        </is>
      </c>
      <c r="B121" s="117" t="n">
        <v>2020</v>
      </c>
      <c r="C121" s="98" t="n">
        <v>22.85</v>
      </c>
      <c r="D121" s="99" t="n">
        <v>40.5</v>
      </c>
      <c r="E121" s="100" t="n">
        <v>6.8276</v>
      </c>
      <c r="F121" s="101" t="n">
        <v>7.4</v>
      </c>
      <c r="G121" s="77" t="n">
        <v>17402</v>
      </c>
      <c r="H121" s="102" t="n">
        <v>9.7643</v>
      </c>
      <c r="I121" s="85" t="n">
        <v>15</v>
      </c>
      <c r="J121" s="117" t="n">
        <v>0</v>
      </c>
      <c r="K121" s="125" t="n">
        <v>1</v>
      </c>
      <c r="L121" s="101" t="n">
        <v>93.39100000000001</v>
      </c>
      <c r="M121" s="118" t="n">
        <v>4039277</v>
      </c>
    </row>
    <row r="122" ht="13.5" customHeight="1" s="186">
      <c r="A122" s="105" t="inlineStr">
        <is>
          <t>PB</t>
        </is>
      </c>
      <c r="B122" s="119" t="n">
        <v>2021</v>
      </c>
      <c r="C122" s="106" t="n">
        <v>23.15</v>
      </c>
      <c r="D122" s="120" t="n">
        <v>71.75</v>
      </c>
      <c r="E122" s="108" t="n">
        <v>6.8459</v>
      </c>
      <c r="F122" s="121" t="n">
        <v>7.9769</v>
      </c>
      <c r="G122" s="122" t="n">
        <v>19082</v>
      </c>
      <c r="H122" s="123" t="n">
        <v>9.8565</v>
      </c>
      <c r="I122" s="89" t="n">
        <v>14.8</v>
      </c>
      <c r="J122" s="119" t="n">
        <v>0</v>
      </c>
      <c r="K122" s="125" t="n">
        <v>1</v>
      </c>
      <c r="L122" s="109" t="n">
        <v>93.39100000000001</v>
      </c>
      <c r="M122" s="124" t="n">
        <v>4059905</v>
      </c>
    </row>
    <row r="123" ht="13.5" customHeight="1" s="186">
      <c r="A123" s="97" t="inlineStr">
        <is>
          <t>PB</t>
        </is>
      </c>
      <c r="B123" s="117" t="n">
        <v>2022</v>
      </c>
      <c r="C123" s="98" t="n">
        <v>22.69</v>
      </c>
      <c r="D123" s="99" t="n">
        <v>93.39</v>
      </c>
      <c r="E123" s="100" t="n">
        <v>6.8046</v>
      </c>
      <c r="F123" s="101" t="n">
        <v>8.2193</v>
      </c>
      <c r="G123" s="77" t="n">
        <v>21661</v>
      </c>
      <c r="H123" s="102" t="n">
        <v>9.9833</v>
      </c>
      <c r="I123" s="85" t="n">
        <v>12</v>
      </c>
      <c r="J123" s="117" t="n">
        <v>0</v>
      </c>
      <c r="K123" s="117" t="n">
        <v>0</v>
      </c>
      <c r="L123" s="101" t="n">
        <v>93.39100000000001</v>
      </c>
      <c r="M123" s="118" t="n">
        <v>3974687</v>
      </c>
    </row>
    <row r="124" ht="13.5" customHeight="1" s="186">
      <c r="A124" s="105" t="inlineStr">
        <is>
          <t>PB</t>
        </is>
      </c>
      <c r="B124" s="119" t="n">
        <v>2023</v>
      </c>
      <c r="C124" s="106" t="n">
        <v>22.54</v>
      </c>
      <c r="D124" s="120" t="n">
        <v>0.1</v>
      </c>
      <c r="E124" s="108" t="n">
        <v>6.7979</v>
      </c>
      <c r="F124" s="121" t="n">
        <v>1.3863</v>
      </c>
      <c r="G124" s="122" t="n">
        <v>24395</v>
      </c>
      <c r="H124" s="123" t="n">
        <v>10.1021</v>
      </c>
      <c r="I124" s="89" t="n">
        <v>10.1</v>
      </c>
      <c r="J124" s="126" t="n">
        <v>1</v>
      </c>
      <c r="K124" s="119" t="n">
        <v>0</v>
      </c>
      <c r="L124" s="109" t="n">
        <v>93.39100000000001</v>
      </c>
      <c r="M124" s="124" t="n">
        <v>3974687</v>
      </c>
    </row>
    <row r="125" ht="13.5" customHeight="1" s="186">
      <c r="A125" s="97" t="inlineStr">
        <is>
          <t>PE</t>
        </is>
      </c>
      <c r="B125" s="117" t="n">
        <v>2016</v>
      </c>
      <c r="C125" s="98" t="n">
        <v>37.09</v>
      </c>
      <c r="D125" s="99" t="n">
        <v>1.33</v>
      </c>
      <c r="E125" s="100" t="n">
        <v>8.1577</v>
      </c>
      <c r="F125" s="101" t="n">
        <v>4.8283</v>
      </c>
      <c r="G125" s="77" t="n">
        <v>17783</v>
      </c>
      <c r="H125" s="102" t="n">
        <v>9.786</v>
      </c>
      <c r="I125" s="85" t="n">
        <v>14.8</v>
      </c>
      <c r="J125" s="117" t="n">
        <v>0</v>
      </c>
      <c r="K125" s="117" t="n">
        <v>0</v>
      </c>
      <c r="L125" s="101" t="n">
        <v>91.6996</v>
      </c>
      <c r="M125" s="118" t="n">
        <v>9410336</v>
      </c>
    </row>
    <row r="126" ht="13.5" customHeight="1" s="186">
      <c r="A126" s="105" t="inlineStr">
        <is>
          <t>PE</t>
        </is>
      </c>
      <c r="B126" s="119" t="n">
        <v>2017</v>
      </c>
      <c r="C126" s="106" t="n">
        <v>47.45</v>
      </c>
      <c r="D126" s="120" t="n">
        <v>3.02</v>
      </c>
      <c r="E126" s="108" t="n">
        <v>8.4107</v>
      </c>
      <c r="F126" s="121" t="n">
        <v>5.656</v>
      </c>
      <c r="G126" s="122" t="n">
        <v>19171</v>
      </c>
      <c r="H126" s="123" t="n">
        <v>9.8611</v>
      </c>
      <c r="I126" s="89" t="n">
        <v>17.9</v>
      </c>
      <c r="J126" s="119" t="n">
        <v>0</v>
      </c>
      <c r="K126" s="119" t="n">
        <v>0</v>
      </c>
      <c r="L126" s="109" t="n">
        <v>91.6996</v>
      </c>
      <c r="M126" s="124" t="n">
        <v>9473266</v>
      </c>
    </row>
    <row r="127" ht="13.5" customHeight="1" s="186">
      <c r="A127" s="97" t="inlineStr">
        <is>
          <t>PE</t>
        </is>
      </c>
      <c r="B127" s="117" t="n">
        <v>2018</v>
      </c>
      <c r="C127" s="98" t="n">
        <v>35.57</v>
      </c>
      <c r="D127" s="99" t="n">
        <v>4.04</v>
      </c>
      <c r="E127" s="100" t="n">
        <v>8.125</v>
      </c>
      <c r="F127" s="101" t="n">
        <v>5.9506</v>
      </c>
      <c r="G127" s="77" t="n">
        <v>19624</v>
      </c>
      <c r="H127" s="102" t="n">
        <v>9.884499999999999</v>
      </c>
      <c r="I127" s="85" t="n">
        <v>16.9</v>
      </c>
      <c r="J127" s="117" t="n">
        <v>0</v>
      </c>
      <c r="K127" s="117" t="n">
        <v>0</v>
      </c>
      <c r="L127" s="101" t="n">
        <v>91.6996</v>
      </c>
      <c r="M127" s="118" t="n">
        <v>9496294</v>
      </c>
    </row>
    <row r="128" ht="13.5" customHeight="1" s="186">
      <c r="A128" s="105" t="inlineStr">
        <is>
          <t>PE</t>
        </is>
      </c>
      <c r="B128" s="119" t="n">
        <v>2019</v>
      </c>
      <c r="C128" s="106" t="n">
        <v>28.24</v>
      </c>
      <c r="D128" s="120" t="n">
        <v>20.59</v>
      </c>
      <c r="E128" s="108" t="n">
        <v>7.9006</v>
      </c>
      <c r="F128" s="121" t="n">
        <v>7.5848</v>
      </c>
      <c r="G128" s="122" t="n">
        <v>20702</v>
      </c>
      <c r="H128" s="123" t="n">
        <v>9.938000000000001</v>
      </c>
      <c r="I128" s="89" t="n">
        <v>15.7</v>
      </c>
      <c r="J128" s="119" t="n">
        <v>0</v>
      </c>
      <c r="K128" s="119" t="n">
        <v>0</v>
      </c>
      <c r="L128" s="109" t="n">
        <v>91.6996</v>
      </c>
      <c r="M128" s="124" t="n">
        <v>9557071</v>
      </c>
    </row>
    <row r="129" ht="13.5" customHeight="1" s="186">
      <c r="A129" s="97" t="inlineStr">
        <is>
          <t>PE</t>
        </is>
      </c>
      <c r="B129" s="117" t="n">
        <v>2020</v>
      </c>
      <c r="C129" s="98" t="n">
        <v>31.85</v>
      </c>
      <c r="D129" s="99" t="n">
        <v>39.15</v>
      </c>
      <c r="E129" s="100" t="n">
        <v>8.027200000000001</v>
      </c>
      <c r="F129" s="101" t="n">
        <v>8.233499999999999</v>
      </c>
      <c r="G129" s="77" t="n">
        <v>20101</v>
      </c>
      <c r="H129" s="102" t="n">
        <v>9.9085</v>
      </c>
      <c r="I129" s="85" t="n">
        <v>17.2</v>
      </c>
      <c r="J129" s="117" t="n">
        <v>0</v>
      </c>
      <c r="K129" s="125" t="n">
        <v>1</v>
      </c>
      <c r="L129" s="101" t="n">
        <v>91.6996</v>
      </c>
      <c r="M129" s="118" t="n">
        <v>9616621</v>
      </c>
    </row>
    <row r="130" ht="13.5" customHeight="1" s="186">
      <c r="A130" s="105" t="inlineStr">
        <is>
          <t>PE</t>
        </is>
      </c>
      <c r="B130" s="119" t="n">
        <v>2021</v>
      </c>
      <c r="C130" s="106" t="n">
        <v>28.87</v>
      </c>
      <c r="D130" s="120" t="n">
        <v>65.48</v>
      </c>
      <c r="E130" s="108" t="n">
        <v>7.9349</v>
      </c>
      <c r="F130" s="121" t="n">
        <v>8.7538</v>
      </c>
      <c r="G130" s="122" t="n">
        <v>22824</v>
      </c>
      <c r="H130" s="123" t="n">
        <v>10.0355</v>
      </c>
      <c r="I130" s="89" t="n">
        <v>19.9</v>
      </c>
      <c r="J130" s="119" t="n">
        <v>0</v>
      </c>
      <c r="K130" s="125" t="n">
        <v>1</v>
      </c>
      <c r="L130" s="109" t="n">
        <v>91.6996</v>
      </c>
      <c r="M130" s="124" t="n">
        <v>9674793</v>
      </c>
    </row>
    <row r="131" ht="13.5" customHeight="1" s="186">
      <c r="A131" s="97" t="inlineStr">
        <is>
          <t>PE</t>
        </is>
      </c>
      <c r="B131" s="117" t="n">
        <v>2022</v>
      </c>
      <c r="C131" s="98" t="n">
        <v>30.53</v>
      </c>
      <c r="D131" s="99" t="n">
        <v>91.7</v>
      </c>
      <c r="E131" s="100" t="n">
        <v>7.9252</v>
      </c>
      <c r="F131" s="101" t="n">
        <v>9.024900000000001</v>
      </c>
      <c r="G131" s="77" t="n">
        <v>27137</v>
      </c>
      <c r="H131" s="102" t="n">
        <v>10.2086</v>
      </c>
      <c r="I131" s="85" t="n">
        <v>14.2</v>
      </c>
      <c r="J131" s="117" t="n">
        <v>0</v>
      </c>
      <c r="K131" s="117" t="n">
        <v>0</v>
      </c>
      <c r="L131" s="101" t="n">
        <v>91.6996</v>
      </c>
      <c r="M131" s="118" t="n">
        <v>9058931</v>
      </c>
    </row>
    <row r="132" ht="13.5" customHeight="1" s="186">
      <c r="A132" s="105" t="inlineStr">
        <is>
          <t>PE</t>
        </is>
      </c>
      <c r="B132" s="119" t="n">
        <v>2023</v>
      </c>
      <c r="C132" s="106" t="n">
        <v>33.08</v>
      </c>
      <c r="D132" s="120" t="n">
        <v>0.11</v>
      </c>
      <c r="E132" s="108" t="n">
        <v>8.0054</v>
      </c>
      <c r="F132" s="121" t="n">
        <v>2.3026</v>
      </c>
      <c r="G132" s="122" t="n">
        <v>29857</v>
      </c>
      <c r="H132" s="123" t="n">
        <v>10.3042</v>
      </c>
      <c r="I132" s="89" t="n">
        <v>13.4</v>
      </c>
      <c r="J132" s="126" t="n">
        <v>1</v>
      </c>
      <c r="K132" s="119" t="n">
        <v>0</v>
      </c>
      <c r="L132" s="109" t="n">
        <v>91.6996</v>
      </c>
      <c r="M132" s="124" t="n">
        <v>9058931</v>
      </c>
    </row>
    <row r="133" ht="13.5" customHeight="1" s="186">
      <c r="A133" s="97" t="inlineStr">
        <is>
          <t>PI</t>
        </is>
      </c>
      <c r="B133" s="117" t="n">
        <v>2016</v>
      </c>
      <c r="C133" s="98" t="n">
        <v>13.95</v>
      </c>
      <c r="D133" s="99" t="n">
        <v>1.15</v>
      </c>
      <c r="E133" s="100" t="n">
        <v>6.1048</v>
      </c>
      <c r="F133" s="101" t="n">
        <v>3.6109</v>
      </c>
      <c r="G133" s="77" t="n">
        <v>12894</v>
      </c>
      <c r="H133" s="102" t="n">
        <v>9.464499999999999</v>
      </c>
      <c r="I133" s="85" t="n">
        <v>9.6</v>
      </c>
      <c r="J133" s="117" t="n">
        <v>0</v>
      </c>
      <c r="K133" s="117" t="n">
        <v>0</v>
      </c>
      <c r="L133" s="101" t="n">
        <v>43.5926</v>
      </c>
      <c r="M133" s="118" t="n">
        <v>3212180</v>
      </c>
    </row>
    <row r="134" ht="13.5" customHeight="1" s="186">
      <c r="A134" s="105" t="inlineStr">
        <is>
          <t>PI</t>
        </is>
      </c>
      <c r="B134" s="119" t="n">
        <v>2017</v>
      </c>
      <c r="C134" s="106" t="n">
        <v>11.96</v>
      </c>
      <c r="D134" s="120" t="n">
        <v>3.48</v>
      </c>
      <c r="E134" s="108" t="n">
        <v>5.9532</v>
      </c>
      <c r="F134" s="121" t="n">
        <v>4.7185</v>
      </c>
      <c r="G134" s="122" t="n">
        <v>14092</v>
      </c>
      <c r="H134" s="123" t="n">
        <v>9.5534</v>
      </c>
      <c r="I134" s="89" t="n">
        <v>13</v>
      </c>
      <c r="J134" s="119" t="n">
        <v>0</v>
      </c>
      <c r="K134" s="119" t="n">
        <v>0</v>
      </c>
      <c r="L134" s="109" t="n">
        <v>43.5926</v>
      </c>
      <c r="M134" s="124" t="n">
        <v>3219257</v>
      </c>
    </row>
    <row r="135" ht="13.5" customHeight="1" s="186">
      <c r="A135" s="97" t="inlineStr">
        <is>
          <t>PI</t>
        </is>
      </c>
      <c r="B135" s="117" t="n">
        <v>2018</v>
      </c>
      <c r="C135" s="98" t="n">
        <v>11.79</v>
      </c>
      <c r="D135" s="99" t="n">
        <v>3.95</v>
      </c>
      <c r="E135" s="100" t="n">
        <v>5.9532</v>
      </c>
      <c r="F135" s="101" t="n">
        <v>4.8598</v>
      </c>
      <c r="G135" s="77" t="n">
        <v>15432</v>
      </c>
      <c r="H135" s="102" t="n">
        <v>9.6442</v>
      </c>
      <c r="I135" s="85" t="n">
        <v>12.9</v>
      </c>
      <c r="J135" s="117" t="n">
        <v>0</v>
      </c>
      <c r="K135" s="117" t="n">
        <v>0</v>
      </c>
      <c r="L135" s="101" t="n">
        <v>43.5926</v>
      </c>
      <c r="M135" s="118" t="n">
        <v>3264531</v>
      </c>
    </row>
    <row r="136" ht="13.5" customHeight="1" s="186">
      <c r="A136" s="105" t="inlineStr">
        <is>
          <t>PI</t>
        </is>
      </c>
      <c r="B136" s="119" t="n">
        <v>2019</v>
      </c>
      <c r="C136" s="106" t="n">
        <v>10.75</v>
      </c>
      <c r="D136" s="120" t="n">
        <v>8.800000000000001</v>
      </c>
      <c r="E136" s="108" t="n">
        <v>5.8636</v>
      </c>
      <c r="F136" s="121" t="n">
        <v>5.663</v>
      </c>
      <c r="G136" s="122" t="n">
        <v>16125</v>
      </c>
      <c r="H136" s="123" t="n">
        <v>9.6881</v>
      </c>
      <c r="I136" s="89" t="n">
        <v>13</v>
      </c>
      <c r="J136" s="119" t="n">
        <v>0</v>
      </c>
      <c r="K136" s="119" t="n">
        <v>0</v>
      </c>
      <c r="L136" s="109" t="n">
        <v>43.5926</v>
      </c>
      <c r="M136" s="124" t="n">
        <v>3273227</v>
      </c>
    </row>
    <row r="137" ht="13.5" customHeight="1" s="186">
      <c r="A137" s="97" t="inlineStr">
        <is>
          <t>PI</t>
        </is>
      </c>
      <c r="B137" s="117" t="n">
        <v>2020</v>
      </c>
      <c r="C137" s="98" t="n">
        <v>13.9</v>
      </c>
      <c r="D137" s="99" t="n">
        <v>14.08</v>
      </c>
      <c r="E137" s="100" t="n">
        <v>6.1225</v>
      </c>
      <c r="F137" s="101" t="n">
        <v>6.1356</v>
      </c>
      <c r="G137" s="77" t="n">
        <v>17185</v>
      </c>
      <c r="H137" s="102" t="n">
        <v>9.751799999999999</v>
      </c>
      <c r="I137" s="85" t="n">
        <v>13.3</v>
      </c>
      <c r="J137" s="117" t="n">
        <v>0</v>
      </c>
      <c r="K137" s="125" t="n">
        <v>1</v>
      </c>
      <c r="L137" s="101" t="n">
        <v>43.5926</v>
      </c>
      <c r="M137" s="118" t="n">
        <v>3281480</v>
      </c>
    </row>
    <row r="138" ht="13.5" customHeight="1" s="186">
      <c r="A138" s="105" t="inlineStr">
        <is>
          <t>PI</t>
        </is>
      </c>
      <c r="B138" s="119" t="n">
        <v>2021</v>
      </c>
      <c r="C138" s="106" t="n">
        <v>17.21</v>
      </c>
      <c r="D138" s="120" t="n">
        <v>36.76</v>
      </c>
      <c r="E138" s="108" t="n">
        <v>6.3386</v>
      </c>
      <c r="F138" s="121" t="n">
        <v>7.0975</v>
      </c>
      <c r="G138" s="122" t="n">
        <v>19466</v>
      </c>
      <c r="H138" s="123" t="n">
        <v>9.8764</v>
      </c>
      <c r="I138" s="89" t="n">
        <v>13.6</v>
      </c>
      <c r="J138" s="119" t="n">
        <v>0</v>
      </c>
      <c r="K138" s="125" t="n">
        <v>1</v>
      </c>
      <c r="L138" s="109" t="n">
        <v>43.5926</v>
      </c>
      <c r="M138" s="124" t="n">
        <v>3289290</v>
      </c>
    </row>
    <row r="139" ht="13.5" customHeight="1" s="186">
      <c r="A139" s="97" t="inlineStr">
        <is>
          <t>PI</t>
        </is>
      </c>
      <c r="B139" s="117" t="n">
        <v>2022</v>
      </c>
      <c r="C139" s="98" t="n">
        <v>18.56</v>
      </c>
      <c r="D139" s="99" t="n">
        <v>43.59</v>
      </c>
      <c r="E139" s="100" t="n">
        <v>6.4085</v>
      </c>
      <c r="F139" s="101" t="n">
        <v>7.2626</v>
      </c>
      <c r="G139" s="77" t="n">
        <v>22265</v>
      </c>
      <c r="H139" s="102" t="n">
        <v>10.0108</v>
      </c>
      <c r="I139" s="85" t="n">
        <v>10.2</v>
      </c>
      <c r="J139" s="117" t="n">
        <v>0</v>
      </c>
      <c r="K139" s="117" t="n">
        <v>0</v>
      </c>
      <c r="L139" s="101" t="n">
        <v>43.5926</v>
      </c>
      <c r="M139" s="118" t="n">
        <v>3271199</v>
      </c>
    </row>
    <row r="140" ht="13.5" customHeight="1" s="186">
      <c r="A140" s="105" t="inlineStr">
        <is>
          <t>PI</t>
        </is>
      </c>
      <c r="B140" s="119" t="n">
        <v>2023</v>
      </c>
      <c r="C140" s="106" t="n">
        <v>15.99</v>
      </c>
      <c r="D140" s="120" t="n">
        <v>0</v>
      </c>
      <c r="E140" s="108" t="n">
        <v>6.2596</v>
      </c>
      <c r="F140" s="121" t="n"/>
      <c r="G140" s="122" t="n">
        <v>24736</v>
      </c>
      <c r="H140" s="123" t="n">
        <v>10.116</v>
      </c>
      <c r="I140" s="89" t="n">
        <v>10.3</v>
      </c>
      <c r="J140" s="126" t="n">
        <v>1</v>
      </c>
      <c r="K140" s="119" t="n">
        <v>0</v>
      </c>
      <c r="L140" s="109" t="n">
        <v>43.5926</v>
      </c>
      <c r="M140" s="124" t="n">
        <v>3271199</v>
      </c>
    </row>
    <row r="141" ht="13.5" customHeight="1" s="186">
      <c r="A141" s="97" t="inlineStr">
        <is>
          <t>PR</t>
        </is>
      </c>
      <c r="B141" s="117" t="n">
        <v>2016</v>
      </c>
      <c r="C141" s="98" t="n">
        <v>18.95</v>
      </c>
      <c r="D141" s="99" t="n">
        <v>3.43</v>
      </c>
      <c r="E141" s="100" t="n">
        <v>7.6643</v>
      </c>
      <c r="F141" s="101" t="n">
        <v>5.9558</v>
      </c>
      <c r="G141" s="77" t="n">
        <v>35740</v>
      </c>
      <c r="H141" s="102" t="n">
        <v>10.484</v>
      </c>
      <c r="I141" s="85" t="n">
        <v>8.300000000000001</v>
      </c>
      <c r="J141" s="117" t="n">
        <v>0</v>
      </c>
      <c r="K141" s="117" t="n">
        <v>0</v>
      </c>
      <c r="L141" s="101" t="n">
        <v>339.4679</v>
      </c>
      <c r="M141" s="118" t="n">
        <v>11242720</v>
      </c>
    </row>
    <row r="142" ht="13.5" customHeight="1" s="186">
      <c r="A142" s="105" t="inlineStr">
        <is>
          <t>PR</t>
        </is>
      </c>
      <c r="B142" s="119" t="n">
        <v>2017</v>
      </c>
      <c r="C142" s="106" t="n">
        <v>16.23</v>
      </c>
      <c r="D142" s="120" t="n">
        <v>4.58</v>
      </c>
      <c r="E142" s="108" t="n">
        <v>7.5159</v>
      </c>
      <c r="F142" s="121" t="n">
        <v>6.25</v>
      </c>
      <c r="G142" s="122" t="n">
        <v>37232</v>
      </c>
      <c r="H142" s="123" t="n">
        <v>10.5249</v>
      </c>
      <c r="I142" s="89" t="n">
        <v>9</v>
      </c>
      <c r="J142" s="119" t="n">
        <v>0</v>
      </c>
      <c r="K142" s="119" t="n">
        <v>0</v>
      </c>
      <c r="L142" s="109" t="n">
        <v>339.4679</v>
      </c>
      <c r="M142" s="124" t="n">
        <v>11320892</v>
      </c>
    </row>
    <row r="143" ht="13.5" customHeight="1" s="186">
      <c r="A143" s="97" t="inlineStr">
        <is>
          <t>PR</t>
        </is>
      </c>
      <c r="B143" s="117" t="n">
        <v>2018</v>
      </c>
      <c r="C143" s="98" t="n">
        <v>13.45</v>
      </c>
      <c r="D143" s="99" t="n">
        <v>10.91</v>
      </c>
      <c r="E143" s="100" t="n">
        <v>7.3304</v>
      </c>
      <c r="F143" s="101" t="n">
        <v>7.1213</v>
      </c>
      <c r="G143" s="77" t="n">
        <v>38773</v>
      </c>
      <c r="H143" s="102" t="n">
        <v>10.5655</v>
      </c>
      <c r="I143" s="85" t="n">
        <v>8.800000000000001</v>
      </c>
      <c r="J143" s="117" t="n">
        <v>0</v>
      </c>
      <c r="K143" s="117" t="n">
        <v>0</v>
      </c>
      <c r="L143" s="101" t="n">
        <v>339.4679</v>
      </c>
      <c r="M143" s="118" t="n">
        <v>11348937</v>
      </c>
    </row>
    <row r="144" ht="13.5" customHeight="1" s="186">
      <c r="A144" s="105" t="inlineStr">
        <is>
          <t>PR</t>
        </is>
      </c>
      <c r="B144" s="119" t="n">
        <v>2019</v>
      </c>
      <c r="C144" s="106" t="n">
        <v>10.34</v>
      </c>
      <c r="D144" s="120" t="n">
        <v>64.2</v>
      </c>
      <c r="E144" s="108" t="n">
        <v>7.075</v>
      </c>
      <c r="F144" s="121" t="n">
        <v>8.901199999999999</v>
      </c>
      <c r="G144" s="122" t="n">
        <v>40789</v>
      </c>
      <c r="H144" s="123" t="n">
        <v>10.6162</v>
      </c>
      <c r="I144" s="89" t="n">
        <v>8.699999999999999</v>
      </c>
      <c r="J144" s="119" t="n">
        <v>0</v>
      </c>
      <c r="K144" s="119" t="n">
        <v>0</v>
      </c>
      <c r="L144" s="109" t="n">
        <v>339.4679</v>
      </c>
      <c r="M144" s="124" t="n">
        <v>11433957</v>
      </c>
    </row>
    <row r="145" ht="13.5" customHeight="1" s="186">
      <c r="A145" s="97" t="inlineStr">
        <is>
          <t>PR</t>
        </is>
      </c>
      <c r="B145" s="117" t="n">
        <v>2020</v>
      </c>
      <c r="C145" s="98" t="n">
        <v>12.22</v>
      </c>
      <c r="D145" s="99" t="n">
        <v>150.15</v>
      </c>
      <c r="E145" s="100" t="n">
        <v>7.2492</v>
      </c>
      <c r="F145" s="101" t="n">
        <v>9.757999999999999</v>
      </c>
      <c r="G145" s="77" t="n">
        <v>42367</v>
      </c>
      <c r="H145" s="102" t="n">
        <v>10.6541</v>
      </c>
      <c r="I145" s="85" t="n">
        <v>9.6</v>
      </c>
      <c r="J145" s="117" t="n">
        <v>0</v>
      </c>
      <c r="K145" s="125" t="n">
        <v>1</v>
      </c>
      <c r="L145" s="101" t="n">
        <v>339.4679</v>
      </c>
      <c r="M145" s="118" t="n">
        <v>11516840</v>
      </c>
    </row>
    <row r="146" ht="13.5" customHeight="1" s="186">
      <c r="A146" s="105" t="inlineStr">
        <is>
          <t>PR</t>
        </is>
      </c>
      <c r="B146" s="119" t="n">
        <v>2021</v>
      </c>
      <c r="C146" s="106" t="n">
        <v>11.87</v>
      </c>
      <c r="D146" s="120" t="n">
        <v>131.36</v>
      </c>
      <c r="E146" s="108" t="n">
        <v>7.2277</v>
      </c>
      <c r="F146" s="121" t="n">
        <v>9.631399999999999</v>
      </c>
      <c r="G146" s="122" t="n">
        <v>47422</v>
      </c>
      <c r="H146" s="123" t="n">
        <v>10.7668</v>
      </c>
      <c r="I146" s="89" t="n">
        <v>8.4</v>
      </c>
      <c r="J146" s="119" t="n">
        <v>0</v>
      </c>
      <c r="K146" s="125" t="n">
        <v>1</v>
      </c>
      <c r="L146" s="109" t="n">
        <v>339.4679</v>
      </c>
      <c r="M146" s="124" t="n">
        <v>11597484</v>
      </c>
    </row>
    <row r="147" ht="13.5" customHeight="1" s="186">
      <c r="A147" s="97" t="inlineStr">
        <is>
          <t>PR</t>
        </is>
      </c>
      <c r="B147" s="117" t="n">
        <v>2022</v>
      </c>
      <c r="C147" s="98" t="n">
        <v>13.12</v>
      </c>
      <c r="D147" s="99" t="n">
        <v>339.47</v>
      </c>
      <c r="E147" s="100" t="n">
        <v>7.3139</v>
      </c>
      <c r="F147" s="101" t="n">
        <v>10.5675</v>
      </c>
      <c r="G147" s="77" t="n">
        <v>53704</v>
      </c>
      <c r="H147" s="102" t="n">
        <v>10.8912</v>
      </c>
      <c r="I147" s="85" t="n">
        <v>5.8</v>
      </c>
      <c r="J147" s="117" t="n">
        <v>0</v>
      </c>
      <c r="K147" s="117" t="n">
        <v>0</v>
      </c>
      <c r="L147" s="101" t="n">
        <v>339.4679</v>
      </c>
      <c r="M147" s="118" t="n">
        <v>11444380</v>
      </c>
    </row>
    <row r="148" ht="13.5" customHeight="1" s="186">
      <c r="A148" s="105" t="inlineStr">
        <is>
          <t>PR</t>
        </is>
      </c>
      <c r="B148" s="119" t="n">
        <v>2023</v>
      </c>
      <c r="C148" s="106" t="n">
        <v>10.94</v>
      </c>
      <c r="D148" s="120" t="n">
        <v>0.76</v>
      </c>
      <c r="E148" s="108" t="n">
        <v>7.1325</v>
      </c>
      <c r="F148" s="121" t="n">
        <v>4.4659</v>
      </c>
      <c r="G148" s="122" t="n">
        <v>58624</v>
      </c>
      <c r="H148" s="123" t="n">
        <v>10.9789</v>
      </c>
      <c r="I148" s="89" t="n">
        <v>4.9</v>
      </c>
      <c r="J148" s="126" t="n">
        <v>1</v>
      </c>
      <c r="K148" s="119" t="n">
        <v>0</v>
      </c>
      <c r="L148" s="109" t="n">
        <v>339.4679</v>
      </c>
      <c r="M148" s="124" t="n">
        <v>11444380</v>
      </c>
    </row>
    <row r="149" ht="13.5" customHeight="1" s="186">
      <c r="A149" s="97" t="inlineStr">
        <is>
          <t>RJ</t>
        </is>
      </c>
      <c r="B149" s="117" t="n">
        <v>2016</v>
      </c>
      <c r="C149" s="98" t="n">
        <v>24.26</v>
      </c>
      <c r="D149" s="99" t="n">
        <v>2.4</v>
      </c>
      <c r="E149" s="100" t="n">
        <v>8.303000000000001</v>
      </c>
      <c r="F149" s="101" t="n">
        <v>5.989</v>
      </c>
      <c r="G149" s="77" t="n">
        <v>38495</v>
      </c>
      <c r="H149" s="102" t="n">
        <v>10.5583</v>
      </c>
      <c r="I149" s="85" t="n">
        <v>11.9</v>
      </c>
      <c r="J149" s="117" t="n">
        <v>0</v>
      </c>
      <c r="K149" s="117" t="n">
        <v>0</v>
      </c>
      <c r="L149" s="101" t="n">
        <v>91.5966</v>
      </c>
      <c r="M149" s="118" t="n">
        <v>16635996</v>
      </c>
    </row>
    <row r="150" ht="13.5" customHeight="1" s="186">
      <c r="A150" s="105" t="inlineStr">
        <is>
          <t>RJ</t>
        </is>
      </c>
      <c r="B150" s="119" t="n">
        <v>2017</v>
      </c>
      <c r="C150" s="106" t="n">
        <v>26.43</v>
      </c>
      <c r="D150" s="120" t="n">
        <v>4.02</v>
      </c>
      <c r="E150" s="108" t="n">
        <v>8.393700000000001</v>
      </c>
      <c r="F150" s="121" t="n">
        <v>6.5103</v>
      </c>
      <c r="G150" s="122" t="n">
        <v>40170</v>
      </c>
      <c r="H150" s="123" t="n">
        <v>10.6009</v>
      </c>
      <c r="I150" s="89" t="n">
        <v>15.1</v>
      </c>
      <c r="J150" s="119" t="n">
        <v>0</v>
      </c>
      <c r="K150" s="119" t="n">
        <v>0</v>
      </c>
      <c r="L150" s="109" t="n">
        <v>91.5966</v>
      </c>
      <c r="M150" s="124" t="n">
        <v>16718956</v>
      </c>
    </row>
    <row r="151" ht="13.5" customHeight="1" s="186">
      <c r="A151" s="97" t="inlineStr">
        <is>
          <t>RJ</t>
        </is>
      </c>
      <c r="B151" s="117" t="n">
        <v>2018</v>
      </c>
      <c r="C151" s="98" t="n">
        <v>24.87</v>
      </c>
      <c r="D151" s="99" t="n">
        <v>8.630000000000001</v>
      </c>
      <c r="E151" s="100" t="n">
        <v>8.358700000000001</v>
      </c>
      <c r="F151" s="101" t="n">
        <v>7.3005</v>
      </c>
      <c r="G151" s="77" t="n">
        <v>44223</v>
      </c>
      <c r="H151" s="102" t="n">
        <v>10.697</v>
      </c>
      <c r="I151" s="85" t="n">
        <v>15.1</v>
      </c>
      <c r="J151" s="117" t="n">
        <v>0</v>
      </c>
      <c r="K151" s="117" t="n">
        <v>0</v>
      </c>
      <c r="L151" s="101" t="n">
        <v>91.5966</v>
      </c>
      <c r="M151" s="118" t="n">
        <v>17159960</v>
      </c>
    </row>
    <row r="152" ht="13.5" customHeight="1" s="186">
      <c r="A152" s="105" t="inlineStr">
        <is>
          <t>RJ</t>
        </is>
      </c>
      <c r="B152" s="119" t="n">
        <v>2019</v>
      </c>
      <c r="C152" s="106" t="n">
        <v>13.39</v>
      </c>
      <c r="D152" s="120" t="n">
        <v>8.699999999999999</v>
      </c>
      <c r="E152" s="108" t="n">
        <v>7.7454</v>
      </c>
      <c r="F152" s="121" t="n">
        <v>7.3146</v>
      </c>
      <c r="G152" s="122" t="n">
        <v>45174</v>
      </c>
      <c r="H152" s="123" t="n">
        <v>10.7183</v>
      </c>
      <c r="I152" s="89" t="n">
        <v>14.8</v>
      </c>
      <c r="J152" s="119" t="n">
        <v>0</v>
      </c>
      <c r="K152" s="119" t="n">
        <v>0</v>
      </c>
      <c r="L152" s="109" t="n">
        <v>91.5966</v>
      </c>
      <c r="M152" s="124" t="n">
        <v>17264943</v>
      </c>
    </row>
    <row r="153" ht="13.5" customHeight="1" s="186">
      <c r="A153" s="97" t="inlineStr">
        <is>
          <t>RJ</t>
        </is>
      </c>
      <c r="B153" s="117" t="n">
        <v>2020</v>
      </c>
      <c r="C153" s="98" t="n">
        <v>15.8</v>
      </c>
      <c r="D153" s="99" t="n">
        <v>18.55</v>
      </c>
      <c r="E153" s="100" t="n">
        <v>7.9172</v>
      </c>
      <c r="F153" s="101" t="n">
        <v>8.077400000000001</v>
      </c>
      <c r="G153" s="77" t="n">
        <v>43408</v>
      </c>
      <c r="H153" s="102" t="n">
        <v>10.6784</v>
      </c>
      <c r="I153" s="85" t="n">
        <v>17.6</v>
      </c>
      <c r="J153" s="117" t="n">
        <v>0</v>
      </c>
      <c r="K153" s="125" t="n">
        <v>1</v>
      </c>
      <c r="L153" s="101" t="n">
        <v>91.5966</v>
      </c>
      <c r="M153" s="118" t="n">
        <v>17366189</v>
      </c>
    </row>
    <row r="154" ht="13.5" customHeight="1" s="186">
      <c r="A154" s="105" t="inlineStr">
        <is>
          <t>RJ</t>
        </is>
      </c>
      <c r="B154" s="119" t="n">
        <v>2021</v>
      </c>
      <c r="C154" s="106" t="n">
        <v>17.18</v>
      </c>
      <c r="D154" s="120" t="n">
        <v>45.56</v>
      </c>
      <c r="E154" s="108" t="n">
        <v>8.006399999999999</v>
      </c>
      <c r="F154" s="121" t="n">
        <v>8.9818</v>
      </c>
      <c r="G154" s="122" t="n">
        <v>54360</v>
      </c>
      <c r="H154" s="123" t="n">
        <v>10.9034</v>
      </c>
      <c r="I154" s="89" t="n">
        <v>16.9</v>
      </c>
      <c r="J154" s="119" t="n">
        <v>0</v>
      </c>
      <c r="K154" s="125" t="n">
        <v>1</v>
      </c>
      <c r="L154" s="109" t="n">
        <v>91.5966</v>
      </c>
      <c r="M154" s="124" t="n">
        <v>17463349</v>
      </c>
    </row>
    <row r="155" ht="13.5" customHeight="1" s="186">
      <c r="A155" s="97" t="inlineStr">
        <is>
          <t>RJ</t>
        </is>
      </c>
      <c r="B155" s="117" t="n">
        <v>2022</v>
      </c>
      <c r="C155" s="98" t="n">
        <v>15.19</v>
      </c>
      <c r="D155" s="99" t="n">
        <v>91.59999999999999</v>
      </c>
      <c r="E155" s="100" t="n">
        <v>7.7989</v>
      </c>
      <c r="F155" s="101" t="n">
        <v>9.596</v>
      </c>
      <c r="G155" s="77" t="n">
        <v>71847</v>
      </c>
      <c r="H155" s="102" t="n">
        <v>11.1823</v>
      </c>
      <c r="I155" s="85" t="n">
        <v>12.8</v>
      </c>
      <c r="J155" s="117" t="n">
        <v>0</v>
      </c>
      <c r="K155" s="117" t="n">
        <v>0</v>
      </c>
      <c r="L155" s="101" t="n">
        <v>91.5966</v>
      </c>
      <c r="M155" s="118" t="n">
        <v>16055174</v>
      </c>
    </row>
    <row r="156" ht="13.5" customHeight="1" s="186">
      <c r="A156" s="105" t="inlineStr">
        <is>
          <t>RJ</t>
        </is>
      </c>
      <c r="B156" s="119" t="n">
        <v>2023</v>
      </c>
      <c r="C156" s="106" t="n">
        <v>16.09</v>
      </c>
      <c r="D156" s="120" t="n">
        <v>0.31</v>
      </c>
      <c r="E156" s="108" t="n">
        <v>7.8571</v>
      </c>
      <c r="F156" s="121" t="n">
        <v>3.8918</v>
      </c>
      <c r="G156" s="122" t="n">
        <v>73053</v>
      </c>
      <c r="H156" s="123" t="n">
        <v>11.1989</v>
      </c>
      <c r="I156" s="89" t="n">
        <v>11</v>
      </c>
      <c r="J156" s="126" t="n">
        <v>1</v>
      </c>
      <c r="K156" s="119" t="n">
        <v>0</v>
      </c>
      <c r="L156" s="109" t="n">
        <v>91.5966</v>
      </c>
      <c r="M156" s="124" t="n">
        <v>16055174</v>
      </c>
    </row>
    <row r="157" ht="13.5" customHeight="1" s="186">
      <c r="A157" s="97" t="inlineStr">
        <is>
          <t>RN</t>
        </is>
      </c>
      <c r="B157" s="117" t="n">
        <v>2016</v>
      </c>
      <c r="C157" s="98" t="n">
        <v>45.12</v>
      </c>
      <c r="D157" s="99" t="n">
        <v>2.19</v>
      </c>
      <c r="E157" s="100" t="n">
        <v>7.3576</v>
      </c>
      <c r="F157" s="101" t="n">
        <v>4.3307</v>
      </c>
      <c r="G157" s="77" t="n">
        <v>17173</v>
      </c>
      <c r="H157" s="102" t="n">
        <v>9.751099999999999</v>
      </c>
      <c r="I157" s="85" t="n">
        <v>14.3</v>
      </c>
      <c r="J157" s="117" t="n">
        <v>0</v>
      </c>
      <c r="K157" s="117" t="n">
        <v>0</v>
      </c>
      <c r="L157" s="101" t="n">
        <v>74.9986</v>
      </c>
      <c r="M157" s="118" t="n">
        <v>3474998</v>
      </c>
    </row>
    <row r="158" ht="13.5" customHeight="1" s="186">
      <c r="A158" s="105" t="inlineStr">
        <is>
          <t>RN</t>
        </is>
      </c>
      <c r="B158" s="119" t="n">
        <v>2017</v>
      </c>
      <c r="C158" s="106" t="n">
        <v>54.86</v>
      </c>
      <c r="D158" s="120" t="n">
        <v>2.22</v>
      </c>
      <c r="E158" s="108" t="n">
        <v>7.5622</v>
      </c>
      <c r="F158" s="121" t="n">
        <v>4.3567</v>
      </c>
      <c r="G158" s="122" t="n">
        <v>18336</v>
      </c>
      <c r="H158" s="123" t="n">
        <v>9.816599999999999</v>
      </c>
      <c r="I158" s="89" t="n">
        <v>14.7</v>
      </c>
      <c r="J158" s="119" t="n">
        <v>0</v>
      </c>
      <c r="K158" s="119" t="n">
        <v>0</v>
      </c>
      <c r="L158" s="109" t="n">
        <v>74.9986</v>
      </c>
      <c r="M158" s="124" t="n">
        <v>3507003</v>
      </c>
    </row>
    <row r="159" ht="13.5" customHeight="1" s="186">
      <c r="A159" s="97" t="inlineStr">
        <is>
          <t>RN</t>
        </is>
      </c>
      <c r="B159" s="117" t="n">
        <v>2018</v>
      </c>
      <c r="C159" s="98" t="n">
        <v>47.17</v>
      </c>
      <c r="D159" s="99" t="n">
        <v>3.08</v>
      </c>
      <c r="E159" s="100" t="n">
        <v>7.4031</v>
      </c>
      <c r="F159" s="101" t="n">
        <v>4.6728</v>
      </c>
      <c r="G159" s="77" t="n">
        <v>19250</v>
      </c>
      <c r="H159" s="102" t="n">
        <v>9.8652</v>
      </c>
      <c r="I159" s="85" t="n">
        <v>13.7</v>
      </c>
      <c r="J159" s="117" t="n">
        <v>0</v>
      </c>
      <c r="K159" s="117" t="n">
        <v>0</v>
      </c>
      <c r="L159" s="101" t="n">
        <v>74.9986</v>
      </c>
      <c r="M159" s="118" t="n">
        <v>3479010</v>
      </c>
    </row>
    <row r="160" ht="13.5" customHeight="1" s="186">
      <c r="A160" s="105" t="inlineStr">
        <is>
          <t>RN</t>
        </is>
      </c>
      <c r="B160" s="119" t="n">
        <v>2019</v>
      </c>
      <c r="C160" s="106" t="n">
        <v>33.56</v>
      </c>
      <c r="D160" s="120" t="n">
        <v>26.78</v>
      </c>
      <c r="E160" s="108" t="n">
        <v>7.0707</v>
      </c>
      <c r="F160" s="121" t="n">
        <v>6.8448</v>
      </c>
      <c r="G160" s="122" t="n">
        <v>20342</v>
      </c>
      <c r="H160" s="123" t="n">
        <v>9.920400000000001</v>
      </c>
      <c r="I160" s="89" t="n">
        <v>13.3</v>
      </c>
      <c r="J160" s="119" t="n">
        <v>0</v>
      </c>
      <c r="K160" s="119" t="n">
        <v>0</v>
      </c>
      <c r="L160" s="109" t="n">
        <v>74.9986</v>
      </c>
      <c r="M160" s="124" t="n">
        <v>3506853</v>
      </c>
    </row>
    <row r="161" ht="13.5" customHeight="1" s="186">
      <c r="A161" s="97" t="inlineStr">
        <is>
          <t>RN</t>
        </is>
      </c>
      <c r="B161" s="117" t="n">
        <v>2020</v>
      </c>
      <c r="C161" s="98" t="n">
        <v>34.8</v>
      </c>
      <c r="D161" s="99" t="n">
        <v>33.42</v>
      </c>
      <c r="E161" s="100" t="n">
        <v>7.1148</v>
      </c>
      <c r="F161" s="101" t="n">
        <v>7.0741</v>
      </c>
      <c r="G161" s="77" t="n">
        <v>20253</v>
      </c>
      <c r="H161" s="102" t="n">
        <v>9.9161</v>
      </c>
      <c r="I161" s="85" t="n">
        <v>16.1</v>
      </c>
      <c r="J161" s="117" t="n">
        <v>0</v>
      </c>
      <c r="K161" s="125" t="n">
        <v>1</v>
      </c>
      <c r="L161" s="101" t="n">
        <v>74.9986</v>
      </c>
      <c r="M161" s="118" t="n">
        <v>3534165</v>
      </c>
    </row>
    <row r="162" ht="13.5" customHeight="1" s="186">
      <c r="A162" s="105" t="inlineStr">
        <is>
          <t>RN</t>
        </is>
      </c>
      <c r="B162" s="119" t="n">
        <v>2021</v>
      </c>
      <c r="C162" s="106" t="n">
        <v>28.48</v>
      </c>
      <c r="D162" s="120" t="n">
        <v>54.26</v>
      </c>
      <c r="E162" s="108" t="n">
        <v>6.9217</v>
      </c>
      <c r="F162" s="121" t="n">
        <v>7.5663</v>
      </c>
      <c r="G162" s="122" t="n">
        <v>22517</v>
      </c>
      <c r="H162" s="123" t="n">
        <v>10.022</v>
      </c>
      <c r="I162" s="89" t="n">
        <v>14.9</v>
      </c>
      <c r="J162" s="119" t="n">
        <v>0</v>
      </c>
      <c r="K162" s="125" t="n">
        <v>1</v>
      </c>
      <c r="L162" s="109" t="n">
        <v>74.9986</v>
      </c>
      <c r="M162" s="124" t="n">
        <v>3560903</v>
      </c>
    </row>
    <row r="163" ht="13.5" customHeight="1" s="186">
      <c r="A163" s="97" t="inlineStr">
        <is>
          <t>RN</t>
        </is>
      </c>
      <c r="B163" s="117" t="n">
        <v>2022</v>
      </c>
      <c r="C163" s="98" t="n">
        <v>29.22</v>
      </c>
      <c r="D163" s="99" t="n">
        <v>75</v>
      </c>
      <c r="E163" s="100" t="n">
        <v>6.8721</v>
      </c>
      <c r="F163" s="101" t="n">
        <v>7.8148</v>
      </c>
      <c r="G163" s="77" t="n">
        <v>28407</v>
      </c>
      <c r="H163" s="102" t="n">
        <v>10.2544</v>
      </c>
      <c r="I163" s="85" t="n">
        <v>11.7</v>
      </c>
      <c r="J163" s="117" t="n">
        <v>0</v>
      </c>
      <c r="K163" s="117" t="n">
        <v>0</v>
      </c>
      <c r="L163" s="101" t="n">
        <v>74.9986</v>
      </c>
      <c r="M163" s="118" t="n">
        <v>3302729</v>
      </c>
    </row>
    <row r="164" ht="13.5" customHeight="1" s="186">
      <c r="A164" s="105" t="inlineStr">
        <is>
          <t>RN</t>
        </is>
      </c>
      <c r="B164" s="119" t="n">
        <v>2023</v>
      </c>
      <c r="C164" s="106" t="n">
        <v>21.38</v>
      </c>
      <c r="D164" s="120" t="n">
        <v>0.09</v>
      </c>
      <c r="E164" s="108" t="n">
        <v>6.5596</v>
      </c>
      <c r="F164" s="121" t="n">
        <v>1.0986</v>
      </c>
      <c r="G164" s="122" t="n">
        <v>30805</v>
      </c>
      <c r="H164" s="123" t="n">
        <v>10.3354</v>
      </c>
      <c r="I164" s="89" t="n">
        <v>10.3</v>
      </c>
      <c r="J164" s="126" t="n">
        <v>1</v>
      </c>
      <c r="K164" s="119" t="n">
        <v>0</v>
      </c>
      <c r="L164" s="109" t="n">
        <v>74.9986</v>
      </c>
      <c r="M164" s="124" t="n">
        <v>3302729</v>
      </c>
    </row>
    <row r="165" ht="13.5" customHeight="1" s="186">
      <c r="A165" s="97" t="inlineStr">
        <is>
          <t>RO</t>
        </is>
      </c>
      <c r="B165" s="117" t="n">
        <v>2016</v>
      </c>
      <c r="C165" s="98" t="n">
        <v>26.02</v>
      </c>
      <c r="D165" s="99" t="n">
        <v>4.7</v>
      </c>
      <c r="E165" s="100" t="n">
        <v>6.142</v>
      </c>
      <c r="F165" s="101" t="n">
        <v>4.4308</v>
      </c>
      <c r="G165" s="77" t="n">
        <v>22078</v>
      </c>
      <c r="H165" s="102" t="n">
        <v>10.0024</v>
      </c>
      <c r="I165" s="85" t="n">
        <v>8</v>
      </c>
      <c r="J165" s="117" t="n">
        <v>0</v>
      </c>
      <c r="K165" s="117" t="n">
        <v>0</v>
      </c>
      <c r="L165" s="101" t="n">
        <v>351.0001</v>
      </c>
      <c r="M165" s="118" t="n">
        <v>1787279</v>
      </c>
    </row>
    <row r="166" ht="13.5" customHeight="1" s="186">
      <c r="A166" s="105" t="inlineStr">
        <is>
          <t>RO</t>
        </is>
      </c>
      <c r="B166" s="119" t="n">
        <v>2017</v>
      </c>
      <c r="C166" s="106" t="n">
        <v>20.82</v>
      </c>
      <c r="D166" s="120" t="n">
        <v>4.87</v>
      </c>
      <c r="E166" s="108" t="n">
        <v>5.9296</v>
      </c>
      <c r="F166" s="121" t="n">
        <v>4.4773</v>
      </c>
      <c r="G166" s="122" t="n">
        <v>24098</v>
      </c>
      <c r="H166" s="123" t="n">
        <v>10.0899</v>
      </c>
      <c r="I166" s="89" t="n">
        <v>8.199999999999999</v>
      </c>
      <c r="J166" s="119" t="n">
        <v>0</v>
      </c>
      <c r="K166" s="119" t="n">
        <v>0</v>
      </c>
      <c r="L166" s="109" t="n">
        <v>351.0001</v>
      </c>
      <c r="M166" s="124" t="n">
        <v>1805788</v>
      </c>
    </row>
    <row r="167" ht="13.5" customHeight="1" s="186">
      <c r="A167" s="97" t="inlineStr">
        <is>
          <t>RO</t>
        </is>
      </c>
      <c r="B167" s="117" t="n">
        <v>2018</v>
      </c>
      <c r="C167" s="98" t="n">
        <v>17.18</v>
      </c>
      <c r="D167" s="99" t="n">
        <v>11.78</v>
      </c>
      <c r="E167" s="100" t="n">
        <v>5.7104</v>
      </c>
      <c r="F167" s="101" t="n">
        <v>5.3327</v>
      </c>
      <c r="G167" s="77" t="n">
        <v>25554</v>
      </c>
      <c r="H167" s="102" t="n">
        <v>10.1486</v>
      </c>
      <c r="I167" s="85" t="n">
        <v>9.199999999999999</v>
      </c>
      <c r="J167" s="117" t="n">
        <v>0</v>
      </c>
      <c r="K167" s="117" t="n">
        <v>0</v>
      </c>
      <c r="L167" s="101" t="n">
        <v>351.0001</v>
      </c>
      <c r="M167" s="118" t="n">
        <v>1757589</v>
      </c>
    </row>
    <row r="168" ht="13.5" customHeight="1" s="186">
      <c r="A168" s="105" t="inlineStr">
        <is>
          <t>RO</t>
        </is>
      </c>
      <c r="B168" s="119" t="n">
        <v>2019</v>
      </c>
      <c r="C168" s="106" t="n">
        <v>14.52</v>
      </c>
      <c r="D168" s="120" t="n">
        <v>53.79</v>
      </c>
      <c r="E168" s="108" t="n">
        <v>5.553</v>
      </c>
      <c r="F168" s="121" t="n">
        <v>6.8628</v>
      </c>
      <c r="G168" s="122" t="n">
        <v>26497</v>
      </c>
      <c r="H168" s="123" t="n">
        <v>10.1848</v>
      </c>
      <c r="I168" s="89" t="n">
        <v>8.1</v>
      </c>
      <c r="J168" s="119" t="n">
        <v>0</v>
      </c>
      <c r="K168" s="119" t="n">
        <v>0</v>
      </c>
      <c r="L168" s="109" t="n">
        <v>351.0001</v>
      </c>
      <c r="M168" s="124" t="n">
        <v>1777225</v>
      </c>
    </row>
    <row r="169" ht="13.5" customHeight="1" s="186">
      <c r="A169" s="97" t="inlineStr">
        <is>
          <t>RO</t>
        </is>
      </c>
      <c r="B169" s="117" t="n">
        <v>2020</v>
      </c>
      <c r="C169" s="98" t="n">
        <v>14.25</v>
      </c>
      <c r="D169" s="99" t="n">
        <v>105.71</v>
      </c>
      <c r="E169" s="100" t="n">
        <v>5.5452</v>
      </c>
      <c r="F169" s="101" t="n">
        <v>7.5491</v>
      </c>
      <c r="G169" s="77" t="n">
        <v>28722</v>
      </c>
      <c r="H169" s="102" t="n">
        <v>10.2654</v>
      </c>
      <c r="I169" s="85" t="n">
        <v>10.6</v>
      </c>
      <c r="J169" s="117" t="n">
        <v>0</v>
      </c>
      <c r="K169" s="125" t="n">
        <v>1</v>
      </c>
      <c r="L169" s="101" t="n">
        <v>351.0001</v>
      </c>
      <c r="M169" s="118" t="n">
        <v>1796460</v>
      </c>
    </row>
    <row r="170" ht="13.5" customHeight="1" s="186">
      <c r="A170" s="105" t="inlineStr">
        <is>
          <t>RO</t>
        </is>
      </c>
      <c r="B170" s="119" t="n">
        <v>2021</v>
      </c>
      <c r="C170" s="106" t="n">
        <v>17.85</v>
      </c>
      <c r="D170" s="120" t="n">
        <v>195.18</v>
      </c>
      <c r="E170" s="108" t="n">
        <v>5.7807</v>
      </c>
      <c r="F170" s="121" t="n">
        <v>8.172700000000001</v>
      </c>
      <c r="G170" s="122" t="n">
        <v>32045</v>
      </c>
      <c r="H170" s="123" t="n">
        <v>10.3749</v>
      </c>
      <c r="I170" s="89" t="n">
        <v>8.9</v>
      </c>
      <c r="J170" s="119" t="n">
        <v>0</v>
      </c>
      <c r="K170" s="125" t="n">
        <v>1</v>
      </c>
      <c r="L170" s="109" t="n">
        <v>351.0001</v>
      </c>
      <c r="M170" s="124" t="n">
        <v>1815278</v>
      </c>
    </row>
    <row r="171" ht="13.5" customHeight="1" s="186">
      <c r="A171" s="97" t="inlineStr">
        <is>
          <t>RO</t>
        </is>
      </c>
      <c r="B171" s="117" t="n">
        <v>2022</v>
      </c>
      <c r="C171" s="98" t="n">
        <v>23.91</v>
      </c>
      <c r="D171" s="99" t="n">
        <v>351</v>
      </c>
      <c r="E171" s="100" t="n">
        <v>5.9349</v>
      </c>
      <c r="F171" s="101" t="n">
        <v>8.621600000000001</v>
      </c>
      <c r="G171" s="77" t="n">
        <v>42244</v>
      </c>
      <c r="H171" s="102" t="n">
        <v>10.6512</v>
      </c>
      <c r="I171" s="85" t="n">
        <v>4.9</v>
      </c>
      <c r="J171" s="117" t="n">
        <v>0</v>
      </c>
      <c r="K171" s="117" t="n">
        <v>0</v>
      </c>
      <c r="L171" s="101" t="n">
        <v>351.0001</v>
      </c>
      <c r="M171" s="118" t="n">
        <v>1581196</v>
      </c>
    </row>
    <row r="172" ht="13.5" customHeight="1" s="186">
      <c r="A172" s="105" t="inlineStr">
        <is>
          <t>RO</t>
        </is>
      </c>
      <c r="B172" s="119" t="n">
        <v>2023</v>
      </c>
      <c r="C172" s="106" t="n">
        <v>20.68</v>
      </c>
      <c r="D172" s="120" t="n">
        <v>0.51</v>
      </c>
      <c r="E172" s="108" t="n">
        <v>5.79</v>
      </c>
      <c r="F172" s="121" t="n">
        <v>2.0794</v>
      </c>
      <c r="G172" s="122" t="n">
        <v>48353</v>
      </c>
      <c r="H172" s="123" t="n">
        <v>10.7863</v>
      </c>
      <c r="I172" s="89" t="n">
        <v>2.9</v>
      </c>
      <c r="J172" s="126" t="n">
        <v>1</v>
      </c>
      <c r="K172" s="119" t="n">
        <v>0</v>
      </c>
      <c r="L172" s="109" t="n">
        <v>351.0001</v>
      </c>
      <c r="M172" s="124" t="n">
        <v>1581196</v>
      </c>
    </row>
    <row r="173" ht="13.5" customHeight="1" s="186">
      <c r="A173" s="97" t="inlineStr">
        <is>
          <t>RR</t>
        </is>
      </c>
      <c r="B173" s="117" t="n">
        <v>2016</v>
      </c>
      <c r="C173" s="98" t="n">
        <v>13.61</v>
      </c>
      <c r="D173" s="99" t="n">
        <v>0</v>
      </c>
      <c r="E173" s="100" t="n">
        <v>4.2485</v>
      </c>
      <c r="F173" s="101" t="n"/>
      <c r="G173" s="77" t="n">
        <v>21417</v>
      </c>
      <c r="H173" s="102" t="n">
        <v>9.9719</v>
      </c>
      <c r="I173" s="85" t="n">
        <v>8.9</v>
      </c>
      <c r="J173" s="117" t="n">
        <v>0</v>
      </c>
      <c r="K173" s="117" t="n">
        <v>0</v>
      </c>
      <c r="L173" s="101" t="n">
        <v>80.8849</v>
      </c>
      <c r="M173" s="118" t="n">
        <v>514229</v>
      </c>
    </row>
    <row r="174" ht="13.5" customHeight="1" s="186">
      <c r="A174" s="105" t="inlineStr">
        <is>
          <t>RR</t>
        </is>
      </c>
      <c r="B174" s="119" t="n">
        <v>2017</v>
      </c>
      <c r="C174" s="106" t="n">
        <v>18.37</v>
      </c>
      <c r="D174" s="120" t="n">
        <v>1.34</v>
      </c>
      <c r="E174" s="108" t="n">
        <v>4.5643</v>
      </c>
      <c r="F174" s="121" t="n">
        <v>1.9459</v>
      </c>
      <c r="G174" s="122" t="n">
        <v>23161</v>
      </c>
      <c r="H174" s="123" t="n">
        <v>10.0502</v>
      </c>
      <c r="I174" s="89" t="n">
        <v>10</v>
      </c>
      <c r="J174" s="119" t="n">
        <v>0</v>
      </c>
      <c r="K174" s="119" t="n">
        <v>0</v>
      </c>
      <c r="L174" s="109" t="n">
        <v>80.8849</v>
      </c>
      <c r="M174" s="124" t="n">
        <v>522636</v>
      </c>
    </row>
    <row r="175" ht="13.5" customHeight="1" s="186">
      <c r="A175" s="97" t="inlineStr">
        <is>
          <t>RR</t>
        </is>
      </c>
      <c r="B175" s="117" t="n">
        <v>2018</v>
      </c>
      <c r="C175" s="98" t="n">
        <v>31.57</v>
      </c>
      <c r="D175" s="99" t="n">
        <v>2.78</v>
      </c>
      <c r="E175" s="100" t="n">
        <v>5.204</v>
      </c>
      <c r="F175" s="101" t="n">
        <v>2.7726</v>
      </c>
      <c r="G175" s="77" t="n">
        <v>23189</v>
      </c>
      <c r="H175" s="102" t="n">
        <v>10.0514</v>
      </c>
      <c r="I175" s="85" t="n">
        <v>12.4</v>
      </c>
      <c r="J175" s="117" t="n">
        <v>0</v>
      </c>
      <c r="K175" s="117" t="n">
        <v>0</v>
      </c>
      <c r="L175" s="101" t="n">
        <v>80.8849</v>
      </c>
      <c r="M175" s="118" t="n">
        <v>576568</v>
      </c>
    </row>
    <row r="176" ht="13.5" customHeight="1" s="186">
      <c r="A176" s="105" t="inlineStr">
        <is>
          <t>RR</t>
        </is>
      </c>
      <c r="B176" s="119" t="n">
        <v>2019</v>
      </c>
      <c r="C176" s="106" t="n">
        <v>13.7</v>
      </c>
      <c r="D176" s="120" t="n">
        <v>10.4</v>
      </c>
      <c r="E176" s="108" t="n">
        <v>4.4188</v>
      </c>
      <c r="F176" s="121" t="n">
        <v>4.1431</v>
      </c>
      <c r="G176" s="122" t="n">
        <v>23594</v>
      </c>
      <c r="H176" s="123" t="n">
        <v>10.0687</v>
      </c>
      <c r="I176" s="89" t="n">
        <v>15.1</v>
      </c>
      <c r="J176" s="119" t="n">
        <v>0</v>
      </c>
      <c r="K176" s="119" t="n">
        <v>0</v>
      </c>
      <c r="L176" s="109" t="n">
        <v>80.8849</v>
      </c>
      <c r="M176" s="124" t="n">
        <v>605761</v>
      </c>
    </row>
    <row r="177" ht="13.5" customHeight="1" s="186">
      <c r="A177" s="97" t="inlineStr">
        <is>
          <t>RR</t>
        </is>
      </c>
      <c r="B177" s="117" t="n">
        <v>2020</v>
      </c>
      <c r="C177" s="98" t="n">
        <v>16</v>
      </c>
      <c r="D177" s="99" t="n">
        <v>16.48</v>
      </c>
      <c r="E177" s="100" t="n">
        <v>4.6151</v>
      </c>
      <c r="F177" s="101" t="n">
        <v>4.6444</v>
      </c>
      <c r="G177" s="77" t="n">
        <v>25388</v>
      </c>
      <c r="H177" s="102" t="n">
        <v>10.142</v>
      </c>
      <c r="I177" s="85" t="n">
        <v>16.8</v>
      </c>
      <c r="J177" s="117" t="n">
        <v>0</v>
      </c>
      <c r="K177" s="125" t="n">
        <v>1</v>
      </c>
      <c r="L177" s="101" t="n">
        <v>80.8849</v>
      </c>
      <c r="M177" s="118" t="n">
        <v>631181</v>
      </c>
    </row>
    <row r="178" ht="13.5" customHeight="1" s="186">
      <c r="A178" s="105" t="inlineStr">
        <is>
          <t>RR</t>
        </is>
      </c>
      <c r="B178" s="119" t="n">
        <v>2021</v>
      </c>
      <c r="C178" s="106" t="n">
        <v>16.09</v>
      </c>
      <c r="D178" s="120" t="n">
        <v>36.92</v>
      </c>
      <c r="E178" s="108" t="n">
        <v>4.654</v>
      </c>
      <c r="F178" s="121" t="n">
        <v>5.4848</v>
      </c>
      <c r="G178" s="122" t="n">
        <v>27888</v>
      </c>
      <c r="H178" s="123" t="n">
        <v>10.2359</v>
      </c>
      <c r="I178" s="89" t="n">
        <v>12.1</v>
      </c>
      <c r="J178" s="119" t="n">
        <v>0</v>
      </c>
      <c r="K178" s="125" t="n">
        <v>1</v>
      </c>
      <c r="L178" s="109" t="n">
        <v>80.8849</v>
      </c>
      <c r="M178" s="124" t="n">
        <v>652713</v>
      </c>
    </row>
    <row r="179" ht="13.5" customHeight="1" s="186">
      <c r="A179" s="97" t="inlineStr">
        <is>
          <t>RR</t>
        </is>
      </c>
      <c r="B179" s="117" t="n">
        <v>2022</v>
      </c>
      <c r="C179" s="98" t="n">
        <v>16.18</v>
      </c>
      <c r="D179" s="99" t="n">
        <v>80.88</v>
      </c>
      <c r="E179" s="100" t="n">
        <v>4.6347</v>
      </c>
      <c r="F179" s="101" t="n">
        <v>6.2442</v>
      </c>
      <c r="G179" s="77" t="n">
        <v>33132</v>
      </c>
      <c r="H179" s="102" t="n">
        <v>10.4083</v>
      </c>
      <c r="I179" s="85" t="n">
        <v>6.1</v>
      </c>
      <c r="J179" s="117" t="n">
        <v>0</v>
      </c>
      <c r="K179" s="117" t="n">
        <v>0</v>
      </c>
      <c r="L179" s="101" t="n">
        <v>80.8849</v>
      </c>
      <c r="M179" s="118" t="n">
        <v>636707</v>
      </c>
    </row>
    <row r="180" ht="13.5" customHeight="1" s="186">
      <c r="A180" s="105" t="inlineStr">
        <is>
          <t>RR</t>
        </is>
      </c>
      <c r="B180" s="119" t="n">
        <v>2023</v>
      </c>
      <c r="C180" s="106" t="n">
        <v>16.49</v>
      </c>
      <c r="D180" s="120" t="n">
        <v>0.9399999999999999</v>
      </c>
      <c r="E180" s="108" t="n">
        <v>4.654</v>
      </c>
      <c r="F180" s="121" t="n">
        <v>1.7918</v>
      </c>
      <c r="G180" s="122" t="n">
        <v>39461</v>
      </c>
      <c r="H180" s="123" t="n">
        <v>10.5831</v>
      </c>
      <c r="I180" s="89" t="n">
        <v>6.7</v>
      </c>
      <c r="J180" s="126" t="n">
        <v>1</v>
      </c>
      <c r="K180" s="119" t="n">
        <v>0</v>
      </c>
      <c r="L180" s="109" t="n">
        <v>80.8849</v>
      </c>
      <c r="M180" s="124" t="n">
        <v>636707</v>
      </c>
    </row>
    <row r="181" ht="13.5" customHeight="1" s="186">
      <c r="A181" s="97" t="inlineStr">
        <is>
          <t>RS</t>
        </is>
      </c>
      <c r="B181" s="117" t="n">
        <v>2016</v>
      </c>
      <c r="C181" s="98" t="n">
        <v>22.2</v>
      </c>
      <c r="D181" s="99" t="n">
        <v>7.65</v>
      </c>
      <c r="E181" s="100" t="n">
        <v>7.8264</v>
      </c>
      <c r="F181" s="101" t="n">
        <v>6.7604</v>
      </c>
      <c r="G181" s="77" t="n">
        <v>36219</v>
      </c>
      <c r="H181" s="102" t="n">
        <v>10.4973</v>
      </c>
      <c r="I181" s="85" t="n">
        <v>8.300000000000001</v>
      </c>
      <c r="J181" s="117" t="n">
        <v>0</v>
      </c>
      <c r="K181" s="117" t="n">
        <v>0</v>
      </c>
      <c r="L181" s="101" t="n">
        <v>273.3079</v>
      </c>
      <c r="M181" s="118" t="n">
        <v>11286500</v>
      </c>
    </row>
    <row r="182" ht="13.5" customHeight="1" s="186">
      <c r="A182" s="105" t="inlineStr">
        <is>
          <t>RS</t>
        </is>
      </c>
      <c r="B182" s="119" t="n">
        <v>2017</v>
      </c>
      <c r="C182" s="106" t="n">
        <v>22.8</v>
      </c>
      <c r="D182" s="120" t="n">
        <v>12.89</v>
      </c>
      <c r="E182" s="108" t="n">
        <v>7.8563</v>
      </c>
      <c r="F182" s="121" t="n">
        <v>7.2862</v>
      </c>
      <c r="G182" s="122" t="n">
        <v>37382</v>
      </c>
      <c r="H182" s="123" t="n">
        <v>10.5289</v>
      </c>
      <c r="I182" s="89" t="n">
        <v>8.5</v>
      </c>
      <c r="J182" s="119" t="n">
        <v>0</v>
      </c>
      <c r="K182" s="119" t="n">
        <v>0</v>
      </c>
      <c r="L182" s="109" t="n">
        <v>273.3079</v>
      </c>
      <c r="M182" s="124" t="n">
        <v>11322895</v>
      </c>
    </row>
    <row r="183" ht="13.5" customHeight="1" s="186">
      <c r="A183" s="97" t="inlineStr">
        <is>
          <t>RS</t>
        </is>
      </c>
      <c r="B183" s="117" t="n">
        <v>2018</v>
      </c>
      <c r="C183" s="98" t="n">
        <v>18.26</v>
      </c>
      <c r="D183" s="99" t="n">
        <v>18.17</v>
      </c>
      <c r="E183" s="100" t="n">
        <v>7.6348</v>
      </c>
      <c r="F183" s="101" t="n">
        <v>7.63</v>
      </c>
      <c r="G183" s="77" t="n">
        <v>40363</v>
      </c>
      <c r="H183" s="102" t="n">
        <v>10.6057</v>
      </c>
      <c r="I183" s="85" t="n">
        <v>8.199999999999999</v>
      </c>
      <c r="J183" s="117" t="n">
        <v>0</v>
      </c>
      <c r="K183" s="117" t="n">
        <v>0</v>
      </c>
      <c r="L183" s="101" t="n">
        <v>273.3079</v>
      </c>
      <c r="M183" s="118" t="n">
        <v>11329605</v>
      </c>
    </row>
    <row r="184" ht="13.5" customHeight="1" s="186">
      <c r="A184" s="105" t="inlineStr">
        <is>
          <t>RS</t>
        </is>
      </c>
      <c r="B184" s="119" t="n">
        <v>2019</v>
      </c>
      <c r="C184" s="106" t="n">
        <v>14.05</v>
      </c>
      <c r="D184" s="120" t="n">
        <v>96.31</v>
      </c>
      <c r="E184" s="108" t="n">
        <v>7.3771</v>
      </c>
      <c r="F184" s="121" t="n">
        <v>9.3017</v>
      </c>
      <c r="G184" s="122" t="n">
        <v>42406</v>
      </c>
      <c r="H184" s="123" t="n">
        <v>10.655</v>
      </c>
      <c r="I184" s="89" t="n">
        <v>8.199999999999999</v>
      </c>
      <c r="J184" s="119" t="n">
        <v>0</v>
      </c>
      <c r="K184" s="119" t="n">
        <v>0</v>
      </c>
      <c r="L184" s="109" t="n">
        <v>273.3079</v>
      </c>
      <c r="M184" s="124" t="n">
        <v>11377239</v>
      </c>
    </row>
    <row r="185" ht="13.5" customHeight="1" s="186">
      <c r="A185" s="97" t="inlineStr">
        <is>
          <t>RS</t>
        </is>
      </c>
      <c r="B185" s="117" t="n">
        <v>2020</v>
      </c>
      <c r="C185" s="98" t="n">
        <v>13.46</v>
      </c>
      <c r="D185" s="99" t="n">
        <v>138.97</v>
      </c>
      <c r="E185" s="100" t="n">
        <v>7.3376</v>
      </c>
      <c r="F185" s="101" t="n">
        <v>9.672499999999999</v>
      </c>
      <c r="G185" s="77" t="n">
        <v>41228</v>
      </c>
      <c r="H185" s="102" t="n">
        <v>10.6269</v>
      </c>
      <c r="I185" s="85" t="n">
        <v>9.300000000000001</v>
      </c>
      <c r="J185" s="117" t="n">
        <v>0</v>
      </c>
      <c r="K185" s="125" t="n">
        <v>1</v>
      </c>
      <c r="L185" s="101" t="n">
        <v>273.3079</v>
      </c>
      <c r="M185" s="118" t="n">
        <v>11422973</v>
      </c>
    </row>
    <row r="186" ht="13.5" customHeight="1" s="186">
      <c r="A186" s="105" t="inlineStr">
        <is>
          <t>RS</t>
        </is>
      </c>
      <c r="B186" s="119" t="n">
        <v>2021</v>
      </c>
      <c r="C186" s="106" t="n">
        <v>12.02</v>
      </c>
      <c r="D186" s="120" t="n">
        <v>215.13</v>
      </c>
      <c r="E186" s="108" t="n">
        <v>7.2284</v>
      </c>
      <c r="F186" s="121" t="n">
        <v>10.1133</v>
      </c>
      <c r="G186" s="122" t="n">
        <v>50694</v>
      </c>
      <c r="H186" s="123" t="n">
        <v>10.8336</v>
      </c>
      <c r="I186" s="89" t="n">
        <v>8.699999999999999</v>
      </c>
      <c r="J186" s="119" t="n">
        <v>0</v>
      </c>
      <c r="K186" s="125" t="n">
        <v>1</v>
      </c>
      <c r="L186" s="109" t="n">
        <v>273.3079</v>
      </c>
      <c r="M186" s="124" t="n">
        <v>11466630</v>
      </c>
    </row>
    <row r="187" ht="13.5" customHeight="1" s="186">
      <c r="A187" s="97" t="inlineStr">
        <is>
          <t>RS</t>
        </is>
      </c>
      <c r="B187" s="117" t="n">
        <v>2022</v>
      </c>
      <c r="C187" s="98" t="n">
        <v>13.58</v>
      </c>
      <c r="D187" s="99" t="n">
        <v>273.31</v>
      </c>
      <c r="E187" s="100" t="n">
        <v>7.2984</v>
      </c>
      <c r="F187" s="101" t="n">
        <v>10.3004</v>
      </c>
      <c r="G187" s="77" t="n">
        <v>54547</v>
      </c>
      <c r="H187" s="102" t="n">
        <v>10.9068</v>
      </c>
      <c r="I187" s="85" t="n">
        <v>6.1</v>
      </c>
      <c r="J187" s="117" t="n">
        <v>0</v>
      </c>
      <c r="K187" s="117" t="n">
        <v>0</v>
      </c>
      <c r="L187" s="101" t="n">
        <v>273.3079</v>
      </c>
      <c r="M187" s="118" t="n">
        <v>10882965</v>
      </c>
    </row>
    <row r="188" ht="13.5" customHeight="1" s="186">
      <c r="A188" s="105" t="inlineStr">
        <is>
          <t>RS</t>
        </is>
      </c>
      <c r="B188" s="119" t="n">
        <v>2023</v>
      </c>
      <c r="C188" s="106" t="n">
        <v>12.93</v>
      </c>
      <c r="D188" s="120" t="n">
        <v>1.38</v>
      </c>
      <c r="E188" s="108" t="n">
        <v>7.2492</v>
      </c>
      <c r="F188" s="121" t="n">
        <v>5.0106</v>
      </c>
      <c r="G188" s="122" t="n">
        <v>59736</v>
      </c>
      <c r="H188" s="123" t="n">
        <v>10.9977</v>
      </c>
      <c r="I188" s="89" t="n">
        <v>5.3</v>
      </c>
      <c r="J188" s="126" t="n">
        <v>1</v>
      </c>
      <c r="K188" s="119" t="n">
        <v>0</v>
      </c>
      <c r="L188" s="109" t="n">
        <v>273.3079</v>
      </c>
      <c r="M188" s="124" t="n">
        <v>10882965</v>
      </c>
    </row>
    <row r="189" ht="13.5" customHeight="1" s="186">
      <c r="A189" s="97" t="inlineStr">
        <is>
          <t>SC</t>
        </is>
      </c>
      <c r="B189" s="117" t="n">
        <v>2016</v>
      </c>
      <c r="C189" s="98" t="n">
        <v>8.800000000000001</v>
      </c>
      <c r="D189" s="99" t="n">
        <v>6.29</v>
      </c>
      <c r="E189" s="100" t="n">
        <v>6.4102</v>
      </c>
      <c r="F189" s="101" t="n">
        <v>6.0753</v>
      </c>
      <c r="G189" s="77" t="n">
        <v>37154</v>
      </c>
      <c r="H189" s="102" t="n">
        <v>10.5228</v>
      </c>
      <c r="I189" s="85" t="n">
        <v>6.4</v>
      </c>
      <c r="J189" s="117" t="n">
        <v>0</v>
      </c>
      <c r="K189" s="117" t="n">
        <v>0</v>
      </c>
      <c r="L189" s="101" t="n">
        <v>371.165</v>
      </c>
      <c r="M189" s="118" t="n">
        <v>6910553</v>
      </c>
    </row>
    <row r="190" ht="13.5" customHeight="1" s="186">
      <c r="A190" s="105" t="inlineStr">
        <is>
          <t>SC</t>
        </is>
      </c>
      <c r="B190" s="119" t="n">
        <v>2017</v>
      </c>
      <c r="C190" s="106" t="n">
        <v>9.56</v>
      </c>
      <c r="D190" s="120" t="n">
        <v>7.14</v>
      </c>
      <c r="E190" s="108" t="n">
        <v>6.5058</v>
      </c>
      <c r="F190" s="121" t="n">
        <v>6.2146</v>
      </c>
      <c r="G190" s="122" t="n">
        <v>39603</v>
      </c>
      <c r="H190" s="123" t="n">
        <v>10.5867</v>
      </c>
      <c r="I190" s="89" t="n">
        <v>7.2</v>
      </c>
      <c r="J190" s="119" t="n">
        <v>0</v>
      </c>
      <c r="K190" s="119" t="n">
        <v>0</v>
      </c>
      <c r="L190" s="109" t="n">
        <v>371.165</v>
      </c>
      <c r="M190" s="124" t="n">
        <v>7001161</v>
      </c>
    </row>
    <row r="191" ht="13.5" customHeight="1" s="186">
      <c r="A191" s="97" t="inlineStr">
        <is>
          <t>SC</t>
        </is>
      </c>
      <c r="B191" s="117" t="n">
        <v>2018</v>
      </c>
      <c r="C191" s="98" t="n">
        <v>6.35</v>
      </c>
      <c r="D191" s="99" t="n">
        <v>14.74</v>
      </c>
      <c r="E191" s="100" t="n">
        <v>6.107</v>
      </c>
      <c r="F191" s="101" t="n">
        <v>6.9499</v>
      </c>
      <c r="G191" s="77" t="n">
        <v>42149</v>
      </c>
      <c r="H191" s="102" t="n">
        <v>10.649</v>
      </c>
      <c r="I191" s="85" t="n">
        <v>6.5</v>
      </c>
      <c r="J191" s="117" t="n">
        <v>0</v>
      </c>
      <c r="K191" s="117" t="n">
        <v>0</v>
      </c>
      <c r="L191" s="101" t="n">
        <v>371.165</v>
      </c>
      <c r="M191" s="118" t="n">
        <v>7075494</v>
      </c>
    </row>
    <row r="192" ht="13.5" customHeight="1" s="186">
      <c r="A192" s="105" t="inlineStr">
        <is>
          <t>SC</t>
        </is>
      </c>
      <c r="B192" s="119" t="n">
        <v>2019</v>
      </c>
      <c r="C192" s="106" t="n">
        <v>5.51</v>
      </c>
      <c r="D192" s="120" t="n">
        <v>100.77</v>
      </c>
      <c r="E192" s="108" t="n">
        <v>5.9789</v>
      </c>
      <c r="F192" s="121" t="n">
        <v>8.884600000000001</v>
      </c>
      <c r="G192" s="122" t="n">
        <v>45118</v>
      </c>
      <c r="H192" s="123" t="n">
        <v>10.717</v>
      </c>
      <c r="I192" s="89" t="n">
        <v>6.2</v>
      </c>
      <c r="J192" s="119" t="n">
        <v>0</v>
      </c>
      <c r="K192" s="119" t="n">
        <v>0</v>
      </c>
      <c r="L192" s="109" t="n">
        <v>371.165</v>
      </c>
      <c r="M192" s="124" t="n">
        <v>7164788</v>
      </c>
    </row>
    <row r="193" ht="13.5" customHeight="1" s="186">
      <c r="A193" s="97" t="inlineStr">
        <is>
          <t>SC</t>
        </is>
      </c>
      <c r="B193" s="117" t="n">
        <v>2020</v>
      </c>
      <c r="C193" s="98" t="n">
        <v>5.27</v>
      </c>
      <c r="D193" s="99" t="n">
        <v>179.33</v>
      </c>
      <c r="E193" s="100" t="n">
        <v>5.9454</v>
      </c>
      <c r="F193" s="101" t="n">
        <v>9.4732</v>
      </c>
      <c r="G193" s="77" t="n">
        <v>48159</v>
      </c>
      <c r="H193" s="102" t="n">
        <v>10.7823</v>
      </c>
      <c r="I193" s="85" t="n">
        <v>6.3</v>
      </c>
      <c r="J193" s="117" t="n">
        <v>0</v>
      </c>
      <c r="K193" s="125" t="n">
        <v>1</v>
      </c>
      <c r="L193" s="101" t="n">
        <v>371.165</v>
      </c>
      <c r="M193" s="118" t="n">
        <v>7252502</v>
      </c>
    </row>
    <row r="194" ht="13.5" customHeight="1" s="186">
      <c r="A194" s="105" t="inlineStr">
        <is>
          <t>SC</t>
        </is>
      </c>
      <c r="B194" s="119" t="n">
        <v>2021</v>
      </c>
      <c r="C194" s="106" t="n">
        <v>5.18</v>
      </c>
      <c r="D194" s="120" t="n">
        <v>153.79</v>
      </c>
      <c r="E194" s="108" t="n">
        <v>5.9402</v>
      </c>
      <c r="F194" s="121" t="n">
        <v>9.331300000000001</v>
      </c>
      <c r="G194" s="122" t="n">
        <v>58401</v>
      </c>
      <c r="H194" s="123" t="n">
        <v>10.9751</v>
      </c>
      <c r="I194" s="89" t="n">
        <v>5.5</v>
      </c>
      <c r="J194" s="119" t="n">
        <v>0</v>
      </c>
      <c r="K194" s="125" t="n">
        <v>1</v>
      </c>
      <c r="L194" s="109" t="n">
        <v>371.165</v>
      </c>
      <c r="M194" s="124" t="n">
        <v>7338473</v>
      </c>
    </row>
    <row r="195" ht="13.5" customHeight="1" s="186">
      <c r="A195" s="97" t="inlineStr">
        <is>
          <t>SC</t>
        </is>
      </c>
      <c r="B195" s="117" t="n">
        <v>2022</v>
      </c>
      <c r="C195" s="98" t="n">
        <v>4.11</v>
      </c>
      <c r="D195" s="99" t="n">
        <v>371.17</v>
      </c>
      <c r="E195" s="100" t="n">
        <v>5.7462</v>
      </c>
      <c r="F195" s="101" t="n">
        <v>10.2487</v>
      </c>
      <c r="G195" s="77" t="n">
        <v>61268</v>
      </c>
      <c r="H195" s="102" t="n">
        <v>11.023</v>
      </c>
      <c r="I195" s="85" t="n">
        <v>3.9</v>
      </c>
      <c r="J195" s="117" t="n">
        <v>0</v>
      </c>
      <c r="K195" s="117" t="n">
        <v>0</v>
      </c>
      <c r="L195" s="101" t="n">
        <v>371.165</v>
      </c>
      <c r="M195" s="118" t="n">
        <v>7610361</v>
      </c>
    </row>
    <row r="196" ht="13.5" customHeight="1" s="186">
      <c r="A196" s="105" t="inlineStr">
        <is>
          <t>SC</t>
        </is>
      </c>
      <c r="B196" s="119" t="n">
        <v>2023</v>
      </c>
      <c r="C196" s="106" t="n">
        <v>3.9</v>
      </c>
      <c r="D196" s="120" t="n">
        <v>0.97</v>
      </c>
      <c r="E196" s="108" t="n">
        <v>5.6937</v>
      </c>
      <c r="F196" s="121" t="n">
        <v>4.3041</v>
      </c>
      <c r="G196" s="122" t="n">
        <v>67460</v>
      </c>
      <c r="H196" s="123" t="n">
        <v>11.1193</v>
      </c>
      <c r="I196" s="89" t="n">
        <v>3.5</v>
      </c>
      <c r="J196" s="126" t="n">
        <v>1</v>
      </c>
      <c r="K196" s="119" t="n">
        <v>0</v>
      </c>
      <c r="L196" s="109" t="n">
        <v>371.165</v>
      </c>
      <c r="M196" s="124" t="n">
        <v>7610361</v>
      </c>
    </row>
    <row r="197" ht="13.5" customHeight="1" s="186">
      <c r="A197" s="97" t="inlineStr">
        <is>
          <t>SE</t>
        </is>
      </c>
      <c r="B197" s="117" t="n">
        <v>2016</v>
      </c>
      <c r="C197" s="98" t="n">
        <v>55.74</v>
      </c>
      <c r="D197" s="99" t="n">
        <v>2.43</v>
      </c>
      <c r="E197" s="100" t="n">
        <v>7.1412</v>
      </c>
      <c r="F197" s="101" t="n">
        <v>4.0073</v>
      </c>
      <c r="G197" s="77" t="n">
        <v>17159</v>
      </c>
      <c r="H197" s="102" t="n">
        <v>9.750299999999999</v>
      </c>
      <c r="I197" s="85" t="n">
        <v>13.6</v>
      </c>
      <c r="J197" s="117" t="n">
        <v>0</v>
      </c>
      <c r="K197" s="117" t="n">
        <v>0</v>
      </c>
      <c r="L197" s="101" t="n">
        <v>47.4207</v>
      </c>
      <c r="M197" s="118" t="n">
        <v>2265779</v>
      </c>
    </row>
    <row r="198" ht="13.5" customHeight="1" s="186">
      <c r="A198" s="105" t="inlineStr">
        <is>
          <t>SE</t>
        </is>
      </c>
      <c r="B198" s="119" t="n">
        <v>2017</v>
      </c>
      <c r="C198" s="106" t="n">
        <v>47.94</v>
      </c>
      <c r="D198" s="120" t="n">
        <v>3.76</v>
      </c>
      <c r="E198" s="108" t="n">
        <v>7.0003</v>
      </c>
      <c r="F198" s="121" t="n">
        <v>4.4543</v>
      </c>
      <c r="G198" s="122" t="n">
        <v>17793</v>
      </c>
      <c r="H198" s="123" t="n">
        <v>9.7865</v>
      </c>
      <c r="I198" s="89" t="n">
        <v>14.6</v>
      </c>
      <c r="J198" s="119" t="n">
        <v>0</v>
      </c>
      <c r="K198" s="119" t="n">
        <v>0</v>
      </c>
      <c r="L198" s="109" t="n">
        <v>47.4207</v>
      </c>
      <c r="M198" s="124" t="n">
        <v>2288116</v>
      </c>
    </row>
    <row r="199" ht="13.5" customHeight="1" s="186">
      <c r="A199" s="97" t="inlineStr">
        <is>
          <t>SE</t>
        </is>
      </c>
      <c r="B199" s="117" t="n">
        <v>2018</v>
      </c>
      <c r="C199" s="98" t="n">
        <v>42.18</v>
      </c>
      <c r="D199" s="99" t="n">
        <v>4.13</v>
      </c>
      <c r="E199" s="100" t="n">
        <v>6.868</v>
      </c>
      <c r="F199" s="101" t="n">
        <v>4.5433</v>
      </c>
      <c r="G199" s="77" t="n">
        <v>18443</v>
      </c>
      <c r="H199" s="102" t="n">
        <v>9.8224</v>
      </c>
      <c r="I199" s="85" t="n">
        <v>16.8</v>
      </c>
      <c r="J199" s="117" t="n">
        <v>0</v>
      </c>
      <c r="K199" s="117" t="n">
        <v>0</v>
      </c>
      <c r="L199" s="101" t="n">
        <v>47.4207</v>
      </c>
      <c r="M199" s="118" t="n">
        <v>2278308</v>
      </c>
    </row>
    <row r="200" ht="13.5" customHeight="1" s="186">
      <c r="A200" s="105" t="inlineStr">
        <is>
          <t>SE</t>
        </is>
      </c>
      <c r="B200" s="119" t="n">
        <v>2019</v>
      </c>
      <c r="C200" s="106" t="n">
        <v>33.93</v>
      </c>
      <c r="D200" s="120" t="n">
        <v>15.84</v>
      </c>
      <c r="E200" s="108" t="n">
        <v>6.6593</v>
      </c>
      <c r="F200" s="121" t="n">
        <v>5.8972</v>
      </c>
      <c r="G200" s="122" t="n">
        <v>19441</v>
      </c>
      <c r="H200" s="123" t="n">
        <v>9.8752</v>
      </c>
      <c r="I200" s="89" t="n">
        <v>15.2</v>
      </c>
      <c r="J200" s="119" t="n">
        <v>0</v>
      </c>
      <c r="K200" s="119" t="n">
        <v>0</v>
      </c>
      <c r="L200" s="109" t="n">
        <v>47.4207</v>
      </c>
      <c r="M200" s="124" t="n">
        <v>2298696</v>
      </c>
    </row>
    <row r="201" ht="13.5" customHeight="1" s="186">
      <c r="A201" s="97" t="inlineStr">
        <is>
          <t>SE</t>
        </is>
      </c>
      <c r="B201" s="117" t="n">
        <v>2020</v>
      </c>
      <c r="C201" s="98" t="n">
        <v>35.49</v>
      </c>
      <c r="D201" s="99" t="n">
        <v>26.69</v>
      </c>
      <c r="E201" s="100" t="n">
        <v>6.713</v>
      </c>
      <c r="F201" s="101" t="n">
        <v>6.4281</v>
      </c>
      <c r="G201" s="77" t="n">
        <v>19583</v>
      </c>
      <c r="H201" s="102" t="n">
        <v>9.882400000000001</v>
      </c>
      <c r="I201" s="85" t="n">
        <v>18.9</v>
      </c>
      <c r="J201" s="117" t="n">
        <v>0</v>
      </c>
      <c r="K201" s="125" t="n">
        <v>1</v>
      </c>
      <c r="L201" s="101" t="n">
        <v>47.4207</v>
      </c>
      <c r="M201" s="118" t="n">
        <v>2318822</v>
      </c>
    </row>
    <row r="202" ht="13.5" customHeight="1" s="186">
      <c r="A202" s="105" t="inlineStr">
        <is>
          <t>SE</t>
        </is>
      </c>
      <c r="B202" s="119" t="n">
        <v>2021</v>
      </c>
      <c r="C202" s="106" t="n">
        <v>28.39</v>
      </c>
      <c r="D202" s="120" t="n">
        <v>42.89</v>
      </c>
      <c r="E202" s="108" t="n">
        <v>6.4983</v>
      </c>
      <c r="F202" s="121" t="n">
        <v>6.9108</v>
      </c>
      <c r="G202" s="122" t="n">
        <v>22177</v>
      </c>
      <c r="H202" s="123" t="n">
        <v>10.0068</v>
      </c>
      <c r="I202" s="89" t="n">
        <v>18</v>
      </c>
      <c r="J202" s="119" t="n">
        <v>0</v>
      </c>
      <c r="K202" s="125" t="n">
        <v>1</v>
      </c>
      <c r="L202" s="109" t="n">
        <v>47.4207</v>
      </c>
      <c r="M202" s="124" t="n">
        <v>2338474</v>
      </c>
    </row>
    <row r="203" ht="13.5" customHeight="1" s="186">
      <c r="A203" s="97" t="inlineStr">
        <is>
          <t>SE</t>
        </is>
      </c>
      <c r="B203" s="117" t="n">
        <v>2022</v>
      </c>
      <c r="C203" s="98" t="n">
        <v>29.59</v>
      </c>
      <c r="D203" s="99" t="n">
        <v>47.42</v>
      </c>
      <c r="E203" s="100" t="n">
        <v>6.4831</v>
      </c>
      <c r="F203" s="101" t="n">
        <v>6.9546</v>
      </c>
      <c r="G203" s="77" t="n">
        <v>25960</v>
      </c>
      <c r="H203" s="102" t="n">
        <v>10.1643</v>
      </c>
      <c r="I203" s="85" t="n">
        <v>13.1</v>
      </c>
      <c r="J203" s="117" t="n">
        <v>0</v>
      </c>
      <c r="K203" s="117" t="n">
        <v>0</v>
      </c>
      <c r="L203" s="101" t="n">
        <v>47.4207</v>
      </c>
      <c r="M203" s="118" t="n">
        <v>2210004</v>
      </c>
    </row>
    <row r="204" ht="13.5" customHeight="1" s="186">
      <c r="A204" s="105" t="inlineStr">
        <is>
          <t>SE</t>
        </is>
      </c>
      <c r="B204" s="119" t="n">
        <v>2023</v>
      </c>
      <c r="C204" s="106" t="n">
        <v>25.88</v>
      </c>
      <c r="D204" s="120" t="n">
        <v>0.05</v>
      </c>
      <c r="E204" s="108" t="n">
        <v>6.3491</v>
      </c>
      <c r="F204" s="121" t="n">
        <v>0</v>
      </c>
      <c r="G204" s="122" t="n">
        <v>27519</v>
      </c>
      <c r="H204" s="123" t="n">
        <v>10.2226</v>
      </c>
      <c r="I204" s="89" t="n">
        <v>10.9</v>
      </c>
      <c r="J204" s="126" t="n">
        <v>1</v>
      </c>
      <c r="K204" s="119" t="n">
        <v>0</v>
      </c>
      <c r="L204" s="109" t="n">
        <v>47.4207</v>
      </c>
      <c r="M204" s="124" t="n">
        <v>2210004</v>
      </c>
    </row>
    <row r="205" ht="13.5" customHeight="1" s="186">
      <c r="A205" s="97" t="inlineStr">
        <is>
          <t>SP</t>
        </is>
      </c>
      <c r="B205" s="117" t="n">
        <v>2016</v>
      </c>
      <c r="C205" s="98" t="n">
        <v>6.01</v>
      </c>
      <c r="D205" s="99" t="n">
        <v>4.46</v>
      </c>
      <c r="E205" s="100" t="n">
        <v>7.8973</v>
      </c>
      <c r="F205" s="101" t="n">
        <v>7.5979</v>
      </c>
      <c r="G205" s="77" t="n">
        <v>45559</v>
      </c>
      <c r="H205" s="102" t="n">
        <v>10.7268</v>
      </c>
      <c r="I205" s="85" t="n">
        <v>12.5</v>
      </c>
      <c r="J205" s="117" t="n">
        <v>0</v>
      </c>
      <c r="K205" s="117" t="n">
        <v>0</v>
      </c>
      <c r="L205" s="101" t="n">
        <v>190.7603</v>
      </c>
      <c r="M205" s="118" t="n">
        <v>44749699</v>
      </c>
    </row>
    <row r="206" ht="13.5" customHeight="1" s="186">
      <c r="A206" s="105" t="inlineStr">
        <is>
          <t>SP</t>
        </is>
      </c>
      <c r="B206" s="119" t="n">
        <v>2017</v>
      </c>
      <c r="C206" s="106" t="n">
        <v>5.52</v>
      </c>
      <c r="D206" s="120" t="n">
        <v>7.2</v>
      </c>
      <c r="E206" s="108" t="n">
        <v>7.82</v>
      </c>
      <c r="F206" s="121" t="n">
        <v>8.085800000000001</v>
      </c>
      <c r="G206" s="122" t="n">
        <v>47029</v>
      </c>
      <c r="H206" s="123" t="n">
        <v>10.7585</v>
      </c>
      <c r="I206" s="89" t="n">
        <v>13.5</v>
      </c>
      <c r="J206" s="119" t="n">
        <v>0</v>
      </c>
      <c r="K206" s="119" t="n">
        <v>0</v>
      </c>
      <c r="L206" s="109" t="n">
        <v>190.7603</v>
      </c>
      <c r="M206" s="124" t="n">
        <v>45094866</v>
      </c>
    </row>
    <row r="207" ht="13.5" customHeight="1" s="186">
      <c r="A207" s="97" t="inlineStr">
        <is>
          <t>SP</t>
        </is>
      </c>
      <c r="B207" s="117" t="n">
        <v>2018</v>
      </c>
      <c r="C207" s="98" t="n">
        <v>4.32</v>
      </c>
      <c r="D207" s="99" t="n">
        <v>10.01</v>
      </c>
      <c r="E207" s="100" t="n">
        <v>7.5838</v>
      </c>
      <c r="F207" s="101" t="n">
        <v>8.424899999999999</v>
      </c>
      <c r="G207" s="77" t="n">
        <v>48542</v>
      </c>
      <c r="H207" s="102" t="n">
        <v>10.7902</v>
      </c>
      <c r="I207" s="85" t="n">
        <v>13.4</v>
      </c>
      <c r="J207" s="117" t="n">
        <v>0</v>
      </c>
      <c r="K207" s="117" t="n">
        <v>0</v>
      </c>
      <c r="L207" s="101" t="n">
        <v>190.7603</v>
      </c>
      <c r="M207" s="118" t="n">
        <v>45538936</v>
      </c>
    </row>
    <row r="208" ht="13.5" customHeight="1" s="186">
      <c r="A208" s="105" t="inlineStr">
        <is>
          <t>SP</t>
        </is>
      </c>
      <c r="B208" s="119" t="n">
        <v>2019</v>
      </c>
      <c r="C208" s="106" t="n">
        <v>3.75</v>
      </c>
      <c r="D208" s="120" t="n">
        <v>53.87</v>
      </c>
      <c r="E208" s="108" t="n">
        <v>7.4507</v>
      </c>
      <c r="F208" s="121" t="n">
        <v>10.1161</v>
      </c>
      <c r="G208" s="122" t="n">
        <v>51141</v>
      </c>
      <c r="H208" s="123" t="n">
        <v>10.8423</v>
      </c>
      <c r="I208" s="89" t="n">
        <v>12.6</v>
      </c>
      <c r="J208" s="119" t="n">
        <v>0</v>
      </c>
      <c r="K208" s="119" t="n">
        <v>0</v>
      </c>
      <c r="L208" s="109" t="n">
        <v>190.7603</v>
      </c>
      <c r="M208" s="124" t="n">
        <v>45919049</v>
      </c>
    </row>
    <row r="209" ht="13.5" customHeight="1" s="186">
      <c r="A209" s="97" t="inlineStr">
        <is>
          <t>SP</t>
        </is>
      </c>
      <c r="B209" s="117" t="n">
        <v>2020</v>
      </c>
      <c r="C209" s="98" t="n">
        <v>3.81</v>
      </c>
      <c r="D209" s="99" t="n">
        <v>50.59</v>
      </c>
      <c r="E209" s="100" t="n">
        <v>7.4742</v>
      </c>
      <c r="F209" s="101" t="n">
        <v>10.0612</v>
      </c>
      <c r="G209" s="77" t="n">
        <v>51365</v>
      </c>
      <c r="H209" s="102" t="n">
        <v>10.8467</v>
      </c>
      <c r="I209" s="85" t="n">
        <v>14.1</v>
      </c>
      <c r="J209" s="117" t="n">
        <v>0</v>
      </c>
      <c r="K209" s="125" t="n">
        <v>1</v>
      </c>
      <c r="L209" s="101" t="n">
        <v>190.7603</v>
      </c>
      <c r="M209" s="118" t="n">
        <v>46289333</v>
      </c>
    </row>
    <row r="210" ht="13.5" customHeight="1" s="186">
      <c r="A210" s="105" t="inlineStr">
        <is>
          <t>SP</t>
        </is>
      </c>
      <c r="B210" s="119" t="n">
        <v>2021</v>
      </c>
      <c r="C210" s="106" t="n">
        <v>3.48</v>
      </c>
      <c r="D210" s="120" t="n">
        <v>129.04</v>
      </c>
      <c r="E210" s="108" t="n">
        <v>7.3914</v>
      </c>
      <c r="F210" s="121" t="n">
        <v>11.0053</v>
      </c>
      <c r="G210" s="122" t="n">
        <v>58302</v>
      </c>
      <c r="H210" s="123" t="n">
        <v>10.9734</v>
      </c>
      <c r="I210" s="89" t="n">
        <v>13.5</v>
      </c>
      <c r="J210" s="119" t="n">
        <v>0</v>
      </c>
      <c r="K210" s="125" t="n">
        <v>1</v>
      </c>
      <c r="L210" s="109" t="n">
        <v>190.7603</v>
      </c>
      <c r="M210" s="124" t="n">
        <v>46649132</v>
      </c>
    </row>
    <row r="211" ht="13.5" customHeight="1" s="186">
      <c r="A211" s="97" t="inlineStr">
        <is>
          <t>SP</t>
        </is>
      </c>
      <c r="B211" s="117" t="n">
        <v>2022</v>
      </c>
      <c r="C211" s="98" t="n">
        <v>3.71</v>
      </c>
      <c r="D211" s="99" t="n">
        <v>190.76</v>
      </c>
      <c r="E211" s="100" t="n">
        <v>7.4079</v>
      </c>
      <c r="F211" s="101" t="n">
        <v>11.3471</v>
      </c>
      <c r="G211" s="77" t="n">
        <v>70485</v>
      </c>
      <c r="H211" s="102" t="n">
        <v>11.1632</v>
      </c>
      <c r="I211" s="85" t="n">
        <v>9.1</v>
      </c>
      <c r="J211" s="117" t="n">
        <v>0</v>
      </c>
      <c r="K211" s="117" t="n">
        <v>0</v>
      </c>
      <c r="L211" s="101" t="n">
        <v>190.7603</v>
      </c>
      <c r="M211" s="118" t="n">
        <v>44411238</v>
      </c>
    </row>
    <row r="212" ht="13.5" customHeight="1" s="186">
      <c r="A212" s="105" t="inlineStr">
        <is>
          <t>SP</t>
        </is>
      </c>
      <c r="B212" s="119" t="n">
        <v>2023</v>
      </c>
      <c r="C212" s="106" t="n">
        <v>3.29</v>
      </c>
      <c r="D212" s="120" t="n">
        <v>0.44</v>
      </c>
      <c r="E212" s="108" t="n">
        <v>7.2876</v>
      </c>
      <c r="F212" s="121" t="n">
        <v>5.2781</v>
      </c>
      <c r="G212" s="122" t="n">
        <v>77566</v>
      </c>
      <c r="H212" s="123" t="n">
        <v>11.2589</v>
      </c>
      <c r="I212" s="89" t="n">
        <v>7.6</v>
      </c>
      <c r="J212" s="126" t="n">
        <v>1</v>
      </c>
      <c r="K212" s="119" t="n">
        <v>0</v>
      </c>
      <c r="L212" s="109" t="n">
        <v>190.7603</v>
      </c>
      <c r="M212" s="124" t="n">
        <v>44411238</v>
      </c>
    </row>
    <row r="213" ht="13.5" customHeight="1" s="186">
      <c r="A213" s="97" t="inlineStr">
        <is>
          <t>TO</t>
        </is>
      </c>
      <c r="B213" s="117" t="n">
        <v>2016</v>
      </c>
      <c r="C213" s="98" t="n">
        <v>19.77</v>
      </c>
      <c r="D213" s="99" t="n">
        <v>3.85</v>
      </c>
      <c r="E213" s="100" t="n">
        <v>5.7137</v>
      </c>
      <c r="F213" s="101" t="n">
        <v>4.0775</v>
      </c>
      <c r="G213" s="77" t="n">
        <v>20605</v>
      </c>
      <c r="H213" s="102" t="n">
        <v>9.933299999999999</v>
      </c>
      <c r="I213" s="85" t="n">
        <v>11.5</v>
      </c>
      <c r="J213" s="117" t="n">
        <v>0</v>
      </c>
      <c r="K213" s="117" t="n">
        <v>0</v>
      </c>
      <c r="L213" s="101" t="n">
        <v>202.1886</v>
      </c>
      <c r="M213" s="118" t="n">
        <v>1532902</v>
      </c>
    </row>
    <row r="214" ht="13.5" customHeight="1" s="186">
      <c r="A214" s="105" t="inlineStr">
        <is>
          <t>TO</t>
        </is>
      </c>
      <c r="B214" s="119" t="n">
        <v>2017</v>
      </c>
      <c r="C214" s="106" t="n">
        <v>20.71</v>
      </c>
      <c r="D214" s="120" t="n">
        <v>3.74</v>
      </c>
      <c r="E214" s="108" t="n">
        <v>5.7714</v>
      </c>
      <c r="F214" s="121" t="n">
        <v>4.0604</v>
      </c>
      <c r="G214" s="122" t="n">
        <v>22002</v>
      </c>
      <c r="H214" s="123" t="n">
        <v>9.998900000000001</v>
      </c>
      <c r="I214" s="89" t="n">
        <v>11.7</v>
      </c>
      <c r="J214" s="119" t="n">
        <v>0</v>
      </c>
      <c r="K214" s="119" t="n">
        <v>0</v>
      </c>
      <c r="L214" s="109" t="n">
        <v>202.1886</v>
      </c>
      <c r="M214" s="124" t="n">
        <v>1550194</v>
      </c>
    </row>
    <row r="215" ht="13.5" customHeight="1" s="186">
      <c r="A215" s="97" t="inlineStr">
        <is>
          <t>TO</t>
        </is>
      </c>
      <c r="B215" s="117" t="n">
        <v>2018</v>
      </c>
      <c r="C215" s="98" t="n">
        <v>19.74</v>
      </c>
      <c r="D215" s="99" t="n">
        <v>6.62</v>
      </c>
      <c r="E215" s="100" t="n">
        <v>5.7268</v>
      </c>
      <c r="F215" s="101" t="n">
        <v>4.6347</v>
      </c>
      <c r="G215" s="77" t="n">
        <v>22933</v>
      </c>
      <c r="H215" s="102" t="n">
        <v>10.0403</v>
      </c>
      <c r="I215" s="85" t="n">
        <v>10.7</v>
      </c>
      <c r="J215" s="117" t="n">
        <v>0</v>
      </c>
      <c r="K215" s="117" t="n">
        <v>0</v>
      </c>
      <c r="L215" s="101" t="n">
        <v>202.1886</v>
      </c>
      <c r="M215" s="118" t="n">
        <v>1555229</v>
      </c>
    </row>
    <row r="216" ht="13.5" customHeight="1" s="186">
      <c r="A216" s="105" t="inlineStr">
        <is>
          <t>TO</t>
        </is>
      </c>
      <c r="B216" s="119" t="n">
        <v>2019</v>
      </c>
      <c r="C216" s="106" t="n">
        <v>15.7</v>
      </c>
      <c r="D216" s="120" t="n">
        <v>27.47</v>
      </c>
      <c r="E216" s="108" t="n">
        <v>5.5094</v>
      </c>
      <c r="F216" s="121" t="n">
        <v>6.0684</v>
      </c>
      <c r="G216" s="122" t="n">
        <v>25022</v>
      </c>
      <c r="H216" s="123" t="n">
        <v>10.1275</v>
      </c>
      <c r="I216" s="89" t="n">
        <v>11</v>
      </c>
      <c r="J216" s="119" t="n">
        <v>0</v>
      </c>
      <c r="K216" s="119" t="n">
        <v>0</v>
      </c>
      <c r="L216" s="109" t="n">
        <v>202.1886</v>
      </c>
      <c r="M216" s="124" t="n">
        <v>1572866</v>
      </c>
    </row>
    <row r="217" ht="13.5" customHeight="1" s="186">
      <c r="A217" s="97" t="inlineStr">
        <is>
          <t>TO</t>
        </is>
      </c>
      <c r="B217" s="117" t="n">
        <v>2020</v>
      </c>
      <c r="C217" s="98" t="n">
        <v>17.29</v>
      </c>
      <c r="D217" s="99" t="n">
        <v>47.35</v>
      </c>
      <c r="E217" s="100" t="n">
        <v>5.6168</v>
      </c>
      <c r="F217" s="101" t="n">
        <v>6.6241</v>
      </c>
      <c r="G217" s="77" t="n">
        <v>27448</v>
      </c>
      <c r="H217" s="102" t="n">
        <v>10.2201</v>
      </c>
      <c r="I217" s="85" t="n">
        <v>12.1</v>
      </c>
      <c r="J217" s="117" t="n">
        <v>0</v>
      </c>
      <c r="K217" s="125" t="n">
        <v>1</v>
      </c>
      <c r="L217" s="101" t="n">
        <v>202.1886</v>
      </c>
      <c r="M217" s="118" t="n">
        <v>1590248</v>
      </c>
    </row>
    <row r="218" ht="13.5" customHeight="1" s="186">
      <c r="A218" s="105" t="inlineStr">
        <is>
          <t>TO</t>
        </is>
      </c>
      <c r="B218" s="119" t="n">
        <v>2021</v>
      </c>
      <c r="C218" s="106" t="n">
        <v>15.62</v>
      </c>
      <c r="D218" s="120" t="n">
        <v>100.91</v>
      </c>
      <c r="E218" s="108" t="n">
        <v>5.5255</v>
      </c>
      <c r="F218" s="121" t="n">
        <v>7.3914</v>
      </c>
      <c r="G218" s="122" t="n">
        <v>32215</v>
      </c>
      <c r="H218" s="123" t="n">
        <v>10.3802</v>
      </c>
      <c r="I218" s="89" t="n">
        <v>13.4</v>
      </c>
      <c r="J218" s="119" t="n">
        <v>0</v>
      </c>
      <c r="K218" s="125" t="n">
        <v>1</v>
      </c>
      <c r="L218" s="109" t="n">
        <v>202.1886</v>
      </c>
      <c r="M218" s="124" t="n">
        <v>1607363</v>
      </c>
    </row>
    <row r="219" ht="13.5" customHeight="1" s="186">
      <c r="A219" s="97" t="inlineStr">
        <is>
          <t>TO</t>
        </is>
      </c>
      <c r="B219" s="117" t="n">
        <v>2022</v>
      </c>
      <c r="C219" s="98" t="n">
        <v>16.41</v>
      </c>
      <c r="D219" s="99" t="n">
        <v>202.19</v>
      </c>
      <c r="E219" s="100" t="n">
        <v>5.5134</v>
      </c>
      <c r="F219" s="101" t="n">
        <v>8.024900000000001</v>
      </c>
      <c r="G219" s="77" t="n">
        <v>38512</v>
      </c>
      <c r="H219" s="102" t="n">
        <v>10.5587</v>
      </c>
      <c r="I219" s="85" t="n">
        <v>6.4</v>
      </c>
      <c r="J219" s="117" t="n">
        <v>0</v>
      </c>
      <c r="K219" s="117" t="n">
        <v>0</v>
      </c>
      <c r="L219" s="101" t="n">
        <v>202.1886</v>
      </c>
      <c r="M219" s="118" t="n">
        <v>1511460</v>
      </c>
    </row>
    <row r="220" ht="13.5" customHeight="1" s="186">
      <c r="A220" s="105" t="inlineStr">
        <is>
          <t>TO</t>
        </is>
      </c>
      <c r="B220" s="119" t="n">
        <v>2023</v>
      </c>
      <c r="C220" s="106" t="n">
        <v>17.67</v>
      </c>
      <c r="D220" s="120" t="n">
        <v>0.33</v>
      </c>
      <c r="E220" s="108" t="n">
        <v>5.5872</v>
      </c>
      <c r="F220" s="121" t="n">
        <v>1.6094</v>
      </c>
      <c r="G220" s="122" t="n">
        <v>42553</v>
      </c>
      <c r="H220" s="123" t="n">
        <v>10.6585</v>
      </c>
      <c r="I220" s="89" t="n">
        <v>6.1</v>
      </c>
      <c r="J220" s="126" t="n">
        <v>1</v>
      </c>
      <c r="K220" s="119" t="n">
        <v>0</v>
      </c>
      <c r="L220" s="109" t="n">
        <v>202.1886</v>
      </c>
      <c r="M220" s="124" t="n">
        <v>1511460</v>
      </c>
    </row>
    <row r="221" ht="13.5" customHeight="1" s="186">
      <c r="A221" s="193" t="inlineStr">
        <is>
          <t>AC</t>
        </is>
      </c>
      <c r="B221" s="194" t="n"/>
      <c r="C221" s="194" t="n"/>
      <c r="D221" s="194" t="n"/>
      <c r="E221" s="194" t="n"/>
      <c r="F221" s="194" t="n"/>
      <c r="G221" s="194" t="n"/>
      <c r="H221" s="194" t="n"/>
      <c r="I221" s="194" t="n"/>
      <c r="J221" s="194" t="n"/>
      <c r="K221" s="194" t="n"/>
      <c r="L221" s="195" t="n"/>
      <c r="M221" s="128" t="n">
        <v>880631</v>
      </c>
    </row>
    <row r="222" ht="13.5" customHeight="1" s="186">
      <c r="A222" s="129" t="inlineStr">
        <is>
          <t>AL</t>
        </is>
      </c>
      <c r="B222" s="130" t="n">
        <v>2024</v>
      </c>
      <c r="C222" s="131" t="n">
        <v>27.61</v>
      </c>
      <c r="D222" s="131" t="n">
        <v>16.52</v>
      </c>
      <c r="E222" s="132" t="n">
        <v>6.7901</v>
      </c>
      <c r="F222" s="132" t="n">
        <v>6.2766</v>
      </c>
      <c r="G222" s="133" t="n">
        <v>30268</v>
      </c>
      <c r="H222" s="134" t="n">
        <v>10.3178</v>
      </c>
      <c r="I222" s="135" t="n">
        <v>8.6</v>
      </c>
      <c r="J222" s="136" t="n">
        <v>1</v>
      </c>
      <c r="K222" s="136" t="n">
        <v>0</v>
      </c>
      <c r="L222" s="132" t="n">
        <v>111.5203</v>
      </c>
      <c r="M222" s="137" t="n">
        <v>3220104</v>
      </c>
    </row>
    <row r="223" ht="13.5" customHeight="1" s="186">
      <c r="A223" s="193" t="inlineStr">
        <is>
          <t>AM</t>
        </is>
      </c>
      <c r="B223" s="138" t="n">
        <v>2024</v>
      </c>
      <c r="C223" s="139" t="n">
        <v>17.71</v>
      </c>
      <c r="D223" s="139" t="n">
        <v>2.85</v>
      </c>
      <c r="E223" s="140" t="n">
        <v>6.6307</v>
      </c>
      <c r="F223" s="140" t="n">
        <v>4.804</v>
      </c>
      <c r="G223" s="141" t="n">
        <v>41557</v>
      </c>
      <c r="H223" s="142" t="n">
        <v>10.6348</v>
      </c>
      <c r="I223" s="143" t="n">
        <v>8.800000000000001</v>
      </c>
      <c r="J223" s="144" t="n">
        <v>1</v>
      </c>
      <c r="K223" s="144" t="n">
        <v>0</v>
      </c>
      <c r="L223" s="140" t="n">
        <v>101.6081</v>
      </c>
      <c r="M223" s="128" t="n">
        <v>4281209</v>
      </c>
    </row>
    <row r="224" ht="13.5" customHeight="1" s="186">
      <c r="A224" s="129" t="inlineStr">
        <is>
          <t>AP</t>
        </is>
      </c>
      <c r="B224" s="130" t="n">
        <v>2024</v>
      </c>
      <c r="C224" s="131" t="n">
        <v>24.41</v>
      </c>
      <c r="D224" s="131" t="n">
        <v>8.220000000000001</v>
      </c>
      <c r="E224" s="132" t="n">
        <v>5.2781</v>
      </c>
      <c r="F224" s="132" t="n">
        <v>4.1897</v>
      </c>
      <c r="G224" s="133" t="n">
        <v>39592</v>
      </c>
      <c r="H224" s="134" t="n">
        <v>10.5864</v>
      </c>
      <c r="I224" s="135" t="n">
        <v>9.300000000000001</v>
      </c>
      <c r="J224" s="136" t="n">
        <v>1</v>
      </c>
      <c r="K224" s="136" t="n">
        <v>0</v>
      </c>
      <c r="L224" s="132" t="n">
        <v>75.0928</v>
      </c>
      <c r="M224" s="137" t="n">
        <v>802837</v>
      </c>
    </row>
    <row r="225" ht="13.5" customHeight="1" s="186">
      <c r="A225" s="193" t="inlineStr">
        <is>
          <t>BA</t>
        </is>
      </c>
      <c r="B225" s="138" t="n">
        <v>2024</v>
      </c>
      <c r="C225" s="139" t="n">
        <v>25.43</v>
      </c>
      <c r="D225" s="139" t="n">
        <v>10.38</v>
      </c>
      <c r="E225" s="140" t="n">
        <v>8.236700000000001</v>
      </c>
      <c r="F225" s="140" t="n">
        <v>7.3402</v>
      </c>
      <c r="G225" s="141" t="n">
        <v>31312</v>
      </c>
      <c r="H225" s="142" t="n">
        <v>10.3518</v>
      </c>
      <c r="I225" s="143" t="n">
        <v>11.2</v>
      </c>
      <c r="J225" s="144" t="n">
        <v>1</v>
      </c>
      <c r="K225" s="144" t="n">
        <v>0</v>
      </c>
      <c r="L225" s="140" t="n">
        <v>83.59010000000001</v>
      </c>
      <c r="M225" s="128" t="n">
        <v>14850513</v>
      </c>
    </row>
    <row r="226" ht="13.5" customHeight="1" s="186">
      <c r="A226" s="129" t="inlineStr">
        <is>
          <t>CE</t>
        </is>
      </c>
      <c r="B226" s="130" t="n">
        <v>2024</v>
      </c>
      <c r="C226" s="131" t="n">
        <v>29.3</v>
      </c>
      <c r="D226" s="131" t="n">
        <v>14.34</v>
      </c>
      <c r="E226" s="132" t="n">
        <v>7.9029</v>
      </c>
      <c r="F226" s="132" t="n">
        <v>7.1884</v>
      </c>
      <c r="G226" s="133" t="n">
        <v>27101</v>
      </c>
      <c r="H226" s="134" t="n">
        <v>10.2073</v>
      </c>
      <c r="I226" s="135" t="n">
        <v>7.3</v>
      </c>
      <c r="J226" s="136" t="n">
        <v>1</v>
      </c>
      <c r="K226" s="136" t="n">
        <v>0</v>
      </c>
      <c r="L226" s="132" t="n">
        <v>73.20099999999999</v>
      </c>
      <c r="M226" s="137" t="n">
        <v>9233656</v>
      </c>
    </row>
    <row r="227" ht="13.5" customHeight="1" s="186">
      <c r="A227" s="193" t="inlineStr">
        <is>
          <t>DF</t>
        </is>
      </c>
      <c r="B227" s="138" t="n">
        <v>2024</v>
      </c>
      <c r="C227" s="139" t="n">
        <v>3.69</v>
      </c>
      <c r="D227" s="139" t="n">
        <v>38.49</v>
      </c>
      <c r="E227" s="140" t="n">
        <v>4.7005</v>
      </c>
      <c r="F227" s="140" t="n">
        <v>7.0458</v>
      </c>
      <c r="G227" s="141" t="n">
        <v>136149</v>
      </c>
      <c r="H227" s="142" t="n">
        <v>11.8215</v>
      </c>
      <c r="I227" s="143" t="n">
        <v>9.199999999999999</v>
      </c>
      <c r="J227" s="144" t="n">
        <v>1</v>
      </c>
      <c r="K227" s="144" t="n">
        <v>0</v>
      </c>
      <c r="L227" s="140" t="n">
        <v>385.4999</v>
      </c>
      <c r="M227" s="128" t="n">
        <v>2982818</v>
      </c>
    </row>
    <row r="228" ht="13.5" customHeight="1" s="186">
      <c r="A228" s="129" t="inlineStr">
        <is>
          <t>ES</t>
        </is>
      </c>
      <c r="B228" s="130" t="n">
        <v>2024</v>
      </c>
      <c r="C228" s="131" t="n">
        <v>18.14</v>
      </c>
      <c r="D228" s="131" t="n">
        <v>12.55</v>
      </c>
      <c r="E228" s="132" t="n">
        <v>6.612</v>
      </c>
      <c r="F228" s="132" t="n">
        <v>6.2442</v>
      </c>
      <c r="G228" s="133" t="n">
        <v>53393</v>
      </c>
      <c r="H228" s="134" t="n">
        <v>10.8854</v>
      </c>
      <c r="I228" s="135" t="n">
        <v>4.7</v>
      </c>
      <c r="J228" s="136" t="n">
        <v>1</v>
      </c>
      <c r="K228" s="136" t="n">
        <v>0</v>
      </c>
      <c r="L228" s="132" t="n">
        <v>78.6444</v>
      </c>
      <c r="M228" s="137" t="n">
        <v>4102129</v>
      </c>
    </row>
    <row r="229" ht="13.5" customHeight="1" s="186">
      <c r="A229" s="193" t="inlineStr">
        <is>
          <t>GO</t>
        </is>
      </c>
      <c r="B229" s="138" t="n">
        <v>2024</v>
      </c>
      <c r="C229" s="139" t="n">
        <v>8.630000000000001</v>
      </c>
      <c r="D229" s="139" t="n">
        <v>68.7</v>
      </c>
      <c r="E229" s="140" t="n">
        <v>6.452</v>
      </c>
      <c r="F229" s="140" t="n">
        <v>8.527100000000001</v>
      </c>
      <c r="G229" s="141" t="n">
        <v>50470</v>
      </c>
      <c r="H229" s="142" t="n">
        <v>10.8291</v>
      </c>
      <c r="I229" s="143" t="n">
        <v>5.4</v>
      </c>
      <c r="J229" s="144" t="n">
        <v>1</v>
      </c>
      <c r="K229" s="144" t="n">
        <v>0</v>
      </c>
      <c r="L229" s="140" t="n">
        <v>412.6553</v>
      </c>
      <c r="M229" s="128" t="n">
        <v>7350483</v>
      </c>
    </row>
    <row r="230" ht="13.5" customHeight="1" s="186">
      <c r="A230" s="129" t="inlineStr">
        <is>
          <t>MA</t>
        </is>
      </c>
      <c r="B230" s="130" t="n">
        <v>2024</v>
      </c>
      <c r="C230" s="131" t="n">
        <v>22.42</v>
      </c>
      <c r="D230" s="131" t="n">
        <v>7.32</v>
      </c>
      <c r="E230" s="132" t="n">
        <v>7.3601</v>
      </c>
      <c r="F230" s="132" t="n">
        <v>6.2403</v>
      </c>
      <c r="G230" s="133" t="n">
        <v>22544</v>
      </c>
      <c r="H230" s="134" t="n">
        <v>10.0232</v>
      </c>
      <c r="I230" s="135" t="n">
        <v>7.7</v>
      </c>
      <c r="J230" s="136" t="n">
        <v>1</v>
      </c>
      <c r="K230" s="136" t="n">
        <v>0</v>
      </c>
      <c r="L230" s="132" t="n">
        <v>73.5314</v>
      </c>
      <c r="M230" s="137" t="n">
        <v>7010960</v>
      </c>
    </row>
    <row r="231" ht="13.5" customHeight="1" s="186">
      <c r="A231" s="193" t="inlineStr">
        <is>
          <t>MG</t>
        </is>
      </c>
      <c r="B231" s="138" t="n">
        <v>2024</v>
      </c>
      <c r="C231" s="139" t="n">
        <v>7.89</v>
      </c>
      <c r="D231" s="139" t="n">
        <v>36.42</v>
      </c>
      <c r="E231" s="140" t="n">
        <v>7.4277</v>
      </c>
      <c r="F231" s="140" t="n">
        <v>8.9575</v>
      </c>
      <c r="G231" s="141" t="n">
        <v>48462</v>
      </c>
      <c r="H231" s="142" t="n">
        <v>10.7885</v>
      </c>
      <c r="I231" s="143" t="n">
        <v>5.2</v>
      </c>
      <c r="J231" s="144" t="n">
        <v>1</v>
      </c>
      <c r="K231" s="144" t="n">
        <v>0</v>
      </c>
      <c r="L231" s="140" t="n">
        <v>178.189</v>
      </c>
      <c r="M231" s="128" t="n">
        <v>21322691</v>
      </c>
    </row>
    <row r="232" ht="13.5" customHeight="1" s="186">
      <c r="A232" s="129" t="inlineStr">
        <is>
          <t>MS</t>
        </is>
      </c>
      <c r="B232" s="130" t="n">
        <v>2024</v>
      </c>
      <c r="C232" s="131" t="n">
        <v>7.48</v>
      </c>
      <c r="D232" s="131" t="n">
        <v>40.66</v>
      </c>
      <c r="E232" s="132" t="n">
        <v>5.3799</v>
      </c>
      <c r="F232" s="132" t="n">
        <v>7.0733</v>
      </c>
      <c r="G232" s="133" t="n">
        <v>69436</v>
      </c>
      <c r="H232" s="134" t="n">
        <v>11.1482</v>
      </c>
      <c r="I232" s="135" t="n">
        <v>4</v>
      </c>
      <c r="J232" s="136" t="n">
        <v>1</v>
      </c>
      <c r="K232" s="136" t="n">
        <v>0</v>
      </c>
      <c r="L232" s="132" t="n">
        <v>325.6786</v>
      </c>
      <c r="M232" s="137" t="n">
        <v>2901895</v>
      </c>
    </row>
    <row r="233" ht="13.5" customHeight="1" s="186">
      <c r="A233" s="193" t="inlineStr">
        <is>
          <t>MT</t>
        </is>
      </c>
      <c r="B233" s="138" t="n">
        <v>2024</v>
      </c>
      <c r="C233" s="139" t="n">
        <v>18.06</v>
      </c>
      <c r="D233" s="139" t="n">
        <v>58.75</v>
      </c>
      <c r="E233" s="140" t="n">
        <v>6.541</v>
      </c>
      <c r="F233" s="140" t="n">
        <v>7.7205</v>
      </c>
      <c r="G233" s="141" t="n">
        <v>75843</v>
      </c>
      <c r="H233" s="142" t="n">
        <v>11.2364</v>
      </c>
      <c r="I233" s="143" t="n">
        <v>2.9</v>
      </c>
      <c r="J233" s="144" t="n">
        <v>1</v>
      </c>
      <c r="K233" s="144" t="n">
        <v>0</v>
      </c>
      <c r="L233" s="140" t="n">
        <v>362.7569</v>
      </c>
      <c r="M233" s="128" t="n">
        <v>3836399</v>
      </c>
    </row>
    <row r="234" ht="13.5" customHeight="1" s="186">
      <c r="A234" s="129" t="inlineStr">
        <is>
          <t>PA</t>
        </is>
      </c>
      <c r="B234" s="130" t="n">
        <v>2024</v>
      </c>
      <c r="C234" s="131" t="n">
        <v>18</v>
      </c>
      <c r="D234" s="131" t="n">
        <v>11.15</v>
      </c>
      <c r="E234" s="132" t="n">
        <v>7.3524</v>
      </c>
      <c r="F234" s="132" t="n">
        <v>6.8732</v>
      </c>
      <c r="G234" s="133" t="n">
        <v>30179</v>
      </c>
      <c r="H234" s="134" t="n">
        <v>10.3149</v>
      </c>
      <c r="I234" s="135" t="n">
        <v>7.5</v>
      </c>
      <c r="J234" s="136" t="n">
        <v>1</v>
      </c>
      <c r="K234" s="136" t="n">
        <v>0</v>
      </c>
      <c r="L234" s="132" t="n">
        <v>75.46680000000001</v>
      </c>
      <c r="M234" s="137" t="n">
        <v>8664306</v>
      </c>
    </row>
    <row r="235" ht="13.5" customHeight="1" s="186">
      <c r="A235" s="193" t="inlineStr">
        <is>
          <t>PB</t>
        </is>
      </c>
      <c r="B235" s="138" t="n">
        <v>2024</v>
      </c>
      <c r="C235" s="139" t="n">
        <v>21.52</v>
      </c>
      <c r="D235" s="139" t="n">
        <v>13.05</v>
      </c>
      <c r="E235" s="140" t="n">
        <v>6.7935</v>
      </c>
      <c r="F235" s="140" t="n">
        <v>6.2934</v>
      </c>
      <c r="G235" s="141" t="n">
        <v>25683</v>
      </c>
      <c r="H235" s="142" t="n">
        <v>10.1536</v>
      </c>
      <c r="I235" s="143" t="n">
        <v>8.699999999999999</v>
      </c>
      <c r="J235" s="144" t="n">
        <v>1</v>
      </c>
      <c r="K235" s="144" t="n">
        <v>0</v>
      </c>
      <c r="L235" s="140" t="n">
        <v>93.39100000000001</v>
      </c>
      <c r="M235" s="128" t="n">
        <v>4145040</v>
      </c>
    </row>
    <row r="236" ht="13.5" customHeight="1" s="186">
      <c r="A236" s="129" t="inlineStr">
        <is>
          <t>PE</t>
        </is>
      </c>
      <c r="B236" s="130" t="n">
        <v>2024</v>
      </c>
      <c r="C236" s="131" t="n">
        <v>29.09</v>
      </c>
      <c r="D236" s="131" t="n">
        <v>10.01</v>
      </c>
      <c r="E236" s="132" t="n">
        <v>7.9284</v>
      </c>
      <c r="F236" s="132" t="n">
        <v>6.8617</v>
      </c>
      <c r="G236" s="133" t="n">
        <v>30956</v>
      </c>
      <c r="H236" s="134" t="n">
        <v>10.3403</v>
      </c>
      <c r="I236" s="135" t="n">
        <v>11.1</v>
      </c>
      <c r="J236" s="136" t="n">
        <v>1</v>
      </c>
      <c r="K236" s="136" t="n">
        <v>0</v>
      </c>
      <c r="L236" s="132" t="n">
        <v>91.6996</v>
      </c>
      <c r="M236" s="137" t="n">
        <v>9539029</v>
      </c>
    </row>
    <row r="237" ht="13.5" customHeight="1" s="186">
      <c r="A237" s="193" t="inlineStr">
        <is>
          <t>PI</t>
        </is>
      </c>
      <c r="B237" s="138" t="n">
        <v>2024</v>
      </c>
      <c r="C237" s="139" t="n">
        <v>14.31</v>
      </c>
      <c r="D237" s="139" t="n">
        <v>8.06</v>
      </c>
      <c r="E237" s="140" t="n">
        <v>6.18</v>
      </c>
      <c r="F237" s="140" t="n">
        <v>5.6058</v>
      </c>
      <c r="G237" s="141" t="n">
        <v>26337</v>
      </c>
      <c r="H237" s="142" t="n">
        <v>10.1787</v>
      </c>
      <c r="I237" s="143" t="n">
        <v>8.5</v>
      </c>
      <c r="J237" s="144" t="n">
        <v>1</v>
      </c>
      <c r="K237" s="144" t="n">
        <v>0</v>
      </c>
      <c r="L237" s="140" t="n">
        <v>43.5926</v>
      </c>
      <c r="M237" s="128" t="n">
        <v>3375646</v>
      </c>
    </row>
    <row r="238" ht="13.5" customHeight="1" s="186">
      <c r="A238" s="129" t="inlineStr">
        <is>
          <t>PR</t>
        </is>
      </c>
      <c r="B238" s="130" t="n">
        <v>2024</v>
      </c>
      <c r="C238" s="131" t="n">
        <v>9.26</v>
      </c>
      <c r="D238" s="131" t="n">
        <v>45.04</v>
      </c>
      <c r="E238" s="132" t="n">
        <v>6.9985</v>
      </c>
      <c r="F238" s="132" t="n">
        <v>8.580399999999999</v>
      </c>
      <c r="G238" s="133" t="n">
        <v>61827</v>
      </c>
      <c r="H238" s="134" t="n">
        <v>11.0321</v>
      </c>
      <c r="I238" s="135" t="n">
        <v>4</v>
      </c>
      <c r="J238" s="136" t="n">
        <v>1</v>
      </c>
      <c r="K238" s="136" t="n">
        <v>0</v>
      </c>
      <c r="L238" s="132" t="n">
        <v>339.4679</v>
      </c>
      <c r="M238" s="137" t="n">
        <v>11824665</v>
      </c>
    </row>
    <row r="239" ht="13.5" customHeight="1" s="186">
      <c r="A239" s="193" t="inlineStr">
        <is>
          <t>RJ</t>
        </is>
      </c>
      <c r="B239" s="138" t="n">
        <v>2024</v>
      </c>
      <c r="C239" s="139" t="n">
        <v>11.81</v>
      </c>
      <c r="D239" s="139" t="n">
        <v>15.89</v>
      </c>
      <c r="E239" s="140" t="n">
        <v>7.6173</v>
      </c>
      <c r="F239" s="140" t="n">
        <v>7.9143</v>
      </c>
      <c r="G239" s="141" t="n">
        <v>74008</v>
      </c>
      <c r="H239" s="142" t="n">
        <v>11.2119</v>
      </c>
      <c r="I239" s="143" t="n">
        <v>9</v>
      </c>
      <c r="J239" s="144" t="n">
        <v>1</v>
      </c>
      <c r="K239" s="144" t="n">
        <v>0</v>
      </c>
      <c r="L239" s="140" t="n">
        <v>91.5966</v>
      </c>
      <c r="M239" s="128" t="n">
        <v>17219679</v>
      </c>
    </row>
    <row r="240" ht="13.5" customHeight="1" s="186">
      <c r="A240" s="129" t="inlineStr">
        <is>
          <t>RN</t>
        </is>
      </c>
      <c r="B240" s="130" t="n">
        <v>2024</v>
      </c>
      <c r="C240" s="131" t="n">
        <v>17.59</v>
      </c>
      <c r="D240" s="131" t="n">
        <v>18.92</v>
      </c>
      <c r="E240" s="132" t="n">
        <v>6.4069</v>
      </c>
      <c r="F240" s="132" t="n">
        <v>6.48</v>
      </c>
      <c r="G240" s="133" t="n">
        <v>32670</v>
      </c>
      <c r="H240" s="134" t="n">
        <v>10.3942</v>
      </c>
      <c r="I240" s="135" t="n">
        <v>9.1</v>
      </c>
      <c r="J240" s="136" t="n">
        <v>1</v>
      </c>
      <c r="K240" s="136" t="n">
        <v>0</v>
      </c>
      <c r="L240" s="132" t="n">
        <v>74.9986</v>
      </c>
      <c r="M240" s="137" t="n">
        <v>3446071</v>
      </c>
    </row>
    <row r="241" ht="13.5" customHeight="1" s="186">
      <c r="A241" s="193" t="inlineStr">
        <is>
          <t>RO</t>
        </is>
      </c>
      <c r="B241" s="138" t="n">
        <v>2024</v>
      </c>
      <c r="C241" s="139" t="n">
        <v>18.96</v>
      </c>
      <c r="D241" s="139" t="n">
        <v>21.65</v>
      </c>
      <c r="E241" s="140" t="n">
        <v>5.8021</v>
      </c>
      <c r="F241" s="140" t="n">
        <v>5.9349</v>
      </c>
      <c r="G241" s="141" t="n">
        <v>48766</v>
      </c>
      <c r="H241" s="142" t="n">
        <v>10.7948</v>
      </c>
      <c r="I241" s="143" t="n">
        <v>2.9</v>
      </c>
      <c r="J241" s="144" t="n">
        <v>1</v>
      </c>
      <c r="K241" s="144" t="n">
        <v>0</v>
      </c>
      <c r="L241" s="140" t="n">
        <v>351.0001</v>
      </c>
      <c r="M241" s="128" t="n">
        <v>1746227</v>
      </c>
    </row>
    <row r="242" ht="13.5" customHeight="1" s="186">
      <c r="A242" s="129" t="inlineStr">
        <is>
          <t>RR</t>
        </is>
      </c>
      <c r="B242" s="130" t="n">
        <v>2024</v>
      </c>
      <c r="C242" s="131" t="n">
        <v>9.630000000000001</v>
      </c>
      <c r="D242" s="131" t="n">
        <v>7.81</v>
      </c>
      <c r="E242" s="132" t="n">
        <v>4.2341</v>
      </c>
      <c r="F242" s="132" t="n">
        <v>4.0254</v>
      </c>
      <c r="G242" s="133" t="n">
        <v>39946</v>
      </c>
      <c r="H242" s="134" t="n">
        <v>10.5953</v>
      </c>
      <c r="I242" s="135" t="n">
        <v>6.8</v>
      </c>
      <c r="J242" s="136" t="n">
        <v>1</v>
      </c>
      <c r="K242" s="136" t="n">
        <v>0</v>
      </c>
      <c r="L242" s="132" t="n">
        <v>80.8849</v>
      </c>
      <c r="M242" s="137" t="n">
        <v>716793</v>
      </c>
    </row>
    <row r="243" ht="13.5" customHeight="1" s="186">
      <c r="A243" s="193" t="inlineStr">
        <is>
          <t>RS</t>
        </is>
      </c>
      <c r="B243" s="138" t="n">
        <v>2024</v>
      </c>
      <c r="C243" s="139" t="n">
        <v>10.93</v>
      </c>
      <c r="D243" s="139" t="n">
        <v>47.75</v>
      </c>
      <c r="E243" s="140" t="n">
        <v>7.1123</v>
      </c>
      <c r="F243" s="140" t="n">
        <v>8.5871</v>
      </c>
      <c r="G243" s="141" t="n">
        <v>61199</v>
      </c>
      <c r="H243" s="142" t="n">
        <v>11.0219</v>
      </c>
      <c r="I243" s="143" t="n">
        <v>5.1</v>
      </c>
      <c r="J243" s="144" t="n">
        <v>1</v>
      </c>
      <c r="K243" s="144" t="n">
        <v>0</v>
      </c>
      <c r="L243" s="140" t="n">
        <v>273.3079</v>
      </c>
      <c r="M243" s="128" t="n">
        <v>11229915</v>
      </c>
    </row>
    <row r="244" ht="13.5" customHeight="1" s="186">
      <c r="A244" s="129" t="inlineStr">
        <is>
          <t>SC</t>
        </is>
      </c>
      <c r="B244" s="130" t="n">
        <v>2024</v>
      </c>
      <c r="C244" s="131" t="n">
        <v>3.78</v>
      </c>
      <c r="D244" s="131" t="n">
        <v>72.78</v>
      </c>
      <c r="E244" s="132" t="n">
        <v>5.7203</v>
      </c>
      <c r="F244" s="132" t="n">
        <v>8.6768</v>
      </c>
      <c r="G244" s="133" t="n">
        <v>69506</v>
      </c>
      <c r="H244" s="134" t="n">
        <v>11.1492</v>
      </c>
      <c r="I244" s="135" t="n">
        <v>3.1</v>
      </c>
      <c r="J244" s="136" t="n">
        <v>1</v>
      </c>
      <c r="K244" s="136" t="n">
        <v>0</v>
      </c>
      <c r="L244" s="132" t="n">
        <v>371.165</v>
      </c>
      <c r="M244" s="137" t="n">
        <v>8058441</v>
      </c>
    </row>
    <row r="245" ht="13.5" customHeight="1" s="186">
      <c r="A245" s="193" t="inlineStr">
        <is>
          <t>SE</t>
        </is>
      </c>
      <c r="B245" s="138" t="n">
        <v>2024</v>
      </c>
      <c r="C245" s="139" t="n">
        <v>17.28</v>
      </c>
      <c r="D245" s="139" t="n">
        <v>1.05</v>
      </c>
      <c r="E245" s="140" t="n">
        <v>5.9814</v>
      </c>
      <c r="F245" s="140" t="n">
        <v>3.1781</v>
      </c>
      <c r="G245" s="141" t="n">
        <v>28579</v>
      </c>
      <c r="H245" s="142" t="n">
        <v>10.2604</v>
      </c>
      <c r="I245" s="143" t="n">
        <v>8.9</v>
      </c>
      <c r="J245" s="144" t="n">
        <v>1</v>
      </c>
      <c r="K245" s="144" t="n">
        <v>0</v>
      </c>
      <c r="L245" s="140" t="n">
        <v>47.4207</v>
      </c>
      <c r="M245" s="128" t="n">
        <v>2291077</v>
      </c>
    </row>
    <row r="246" ht="13.5" customHeight="1" s="186">
      <c r="A246" s="129" t="inlineStr">
        <is>
          <t>SP</t>
        </is>
      </c>
      <c r="B246" s="130" t="n">
        <v>2024</v>
      </c>
      <c r="C246" s="131" t="n">
        <v>3.13</v>
      </c>
      <c r="D246" s="131" t="n">
        <v>59.74</v>
      </c>
      <c r="E246" s="132" t="n">
        <v>7.2724</v>
      </c>
      <c r="F246" s="132" t="n">
        <v>10.2206</v>
      </c>
      <c r="G246" s="133" t="n">
        <v>82767</v>
      </c>
      <c r="H246" s="134" t="n">
        <v>11.3238</v>
      </c>
      <c r="I246" s="135" t="n">
        <v>6.5</v>
      </c>
      <c r="J246" s="136" t="n">
        <v>1</v>
      </c>
      <c r="K246" s="136" t="n">
        <v>0</v>
      </c>
      <c r="L246" s="132" t="n">
        <v>190.7603</v>
      </c>
      <c r="M246" s="137" t="n">
        <v>45973194</v>
      </c>
    </row>
    <row r="247" ht="13.5" customHeight="1" s="186">
      <c r="A247" s="193" t="inlineStr">
        <is>
          <t>TO</t>
        </is>
      </c>
      <c r="B247" s="138" t="n">
        <v>2024</v>
      </c>
      <c r="C247" s="139" t="n">
        <v>8.619999999999999</v>
      </c>
      <c r="D247" s="139" t="n">
        <v>41.34</v>
      </c>
      <c r="E247" s="140" t="n">
        <v>4.9127</v>
      </c>
      <c r="F247" s="140" t="n">
        <v>6.48</v>
      </c>
      <c r="G247" s="141" t="n">
        <v>45296</v>
      </c>
      <c r="H247" s="142" t="n">
        <v>10.721</v>
      </c>
      <c r="I247" s="143" t="n">
        <v>5.4</v>
      </c>
      <c r="J247" s="144" t="n">
        <v>1</v>
      </c>
      <c r="K247" s="144" t="n">
        <v>0</v>
      </c>
      <c r="L247" s="140" t="n">
        <v>202.1886</v>
      </c>
      <c r="M247" s="128" t="n">
        <v>1577342</v>
      </c>
    </row>
    <row r="248" ht="409.6" customHeight="1" s="186">
      <c r="A248" s="190" t="inlineStr">
        <is>
          <t>COMO IMPORTAR: df = pd.read_excel('Base_CAC_UF_Ano_2016_2025.xlsx', sheet_name='painel', header=2).dropna(subset=['uf']).set_index(['uf','ano'])  |  216 obs. (27 UFs × 8 anos). ln_crs = None quando CRs = 0 (PI 2023). int_i = CRs_2022/pop_2022×100mil, fixo por UF (variável de intensidade DiD). | 2024†: PIBpc projetado pela média das taxas nominais de crescimento de 2019, 2022 e 2023 por UF (excluindo 2020–2021 pela pandemia). Pop 2024: estimativa oficial IBGE DOU jul/2024.</t>
        </is>
      </c>
    </row>
  </sheetData>
  <mergeCells count="3">
    <mergeCell ref="A2:L2"/>
    <mergeCell ref="A1:L1"/>
    <mergeCell ref="A221:L221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5"/>
  <sheetViews>
    <sheetView showGridLines="0" zoomScaleNormal="100" workbookViewId="0">
      <pane ySplit="4" topLeftCell="A43" activePane="bottomLeft" state="frozen"/>
      <selection pane="bottomLeft" activeCell="A2" sqref="A2:C2"/>
    </sheetView>
  </sheetViews>
  <sheetFormatPr baseColWidth="8" defaultColWidth="8.6328125" defaultRowHeight="14.5"/>
  <cols>
    <col width="7" customWidth="1" style="186" min="1" max="2"/>
    <col width="12" customWidth="1" style="186" min="3" max="3"/>
  </cols>
  <sheetData>
    <row r="1" ht="19.5" customHeight="1" s="186">
      <c r="A1" s="196" t="inlineStr">
        <is>
          <t>dados_crs — Certificados CAC emitidos por UF e Ano (formato long, 2016–2025)</t>
        </is>
      </c>
    </row>
    <row r="2" ht="12.75" customHeight="1" s="186">
      <c r="A2" s="198" t="inlineStr">
        <is>
          <t>Importar: pd.read_excel(..., sheet_name='dados_crs', header=2)  |  Fonte: Exército Brasileiro / PF — Dashboard SINARM/CAC (jul/2025)</t>
        </is>
      </c>
    </row>
    <row r="3" ht="19.5" customHeight="1" s="186">
      <c r="A3" s="145" t="inlineStr">
        <is>
          <t>uf</t>
        </is>
      </c>
      <c r="B3" s="145" t="inlineStr">
        <is>
          <t>ano</t>
        </is>
      </c>
      <c r="C3" s="146" t="inlineStr">
        <is>
          <t>crs</t>
        </is>
      </c>
    </row>
    <row r="4" ht="24" customHeight="1" s="186">
      <c r="A4" s="116" t="inlineStr">
        <is>
          <t>UF (2 letras)</t>
        </is>
      </c>
      <c r="B4" s="116" t="inlineStr">
        <is>
          <t>Ano</t>
        </is>
      </c>
      <c r="C4" s="116" t="inlineStr">
        <is>
          <t>CRs emitidos (absoluto)</t>
        </is>
      </c>
    </row>
    <row r="5" ht="13.5" customHeight="1" s="186">
      <c r="A5" s="97" t="inlineStr">
        <is>
          <t>AC</t>
        </is>
      </c>
      <c r="B5" s="117" t="n">
        <v>2016</v>
      </c>
      <c r="C5" s="76" t="n">
        <v>10</v>
      </c>
    </row>
    <row r="6" ht="13.5" customHeight="1" s="186">
      <c r="A6" s="105" t="inlineStr">
        <is>
          <t>AC</t>
        </is>
      </c>
      <c r="B6" s="119" t="n">
        <v>2017</v>
      </c>
      <c r="C6" s="79" t="n">
        <v>23</v>
      </c>
    </row>
    <row r="7" ht="13.5" customHeight="1" s="186">
      <c r="A7" s="97" t="inlineStr">
        <is>
          <t>AC</t>
        </is>
      </c>
      <c r="B7" s="117" t="n">
        <v>2018</v>
      </c>
      <c r="C7" s="76" t="n">
        <v>66</v>
      </c>
    </row>
    <row r="8" ht="13.5" customHeight="1" s="186">
      <c r="A8" s="105" t="inlineStr">
        <is>
          <t>AC</t>
        </is>
      </c>
      <c r="B8" s="119" t="n">
        <v>2019</v>
      </c>
      <c r="C8" s="79" t="n">
        <v>159</v>
      </c>
    </row>
    <row r="9" ht="13.5" customHeight="1" s="186">
      <c r="A9" s="97" t="inlineStr">
        <is>
          <t>AC</t>
        </is>
      </c>
      <c r="B9" s="117" t="n">
        <v>2020</v>
      </c>
      <c r="C9" s="76" t="n">
        <v>337</v>
      </c>
    </row>
    <row r="10" ht="13.5" customHeight="1" s="186">
      <c r="A10" s="105" t="inlineStr">
        <is>
          <t>AC</t>
        </is>
      </c>
      <c r="B10" s="119" t="n">
        <v>2021</v>
      </c>
      <c r="C10" s="79" t="n">
        <v>544</v>
      </c>
    </row>
    <row r="11" ht="13.5" customHeight="1" s="186">
      <c r="A11" s="97" t="inlineStr">
        <is>
          <t>AC</t>
        </is>
      </c>
      <c r="B11" s="117" t="n">
        <v>2022</v>
      </c>
      <c r="C11" s="77" t="n">
        <v>605</v>
      </c>
    </row>
    <row r="12" ht="13.5" customHeight="1" s="186">
      <c r="A12" s="105" t="inlineStr">
        <is>
          <t>AC</t>
        </is>
      </c>
      <c r="B12" s="119" t="n">
        <v>2023</v>
      </c>
      <c r="C12" s="78" t="n">
        <v>1</v>
      </c>
    </row>
    <row r="13" ht="13.5" customHeight="1" s="186">
      <c r="A13" s="97" t="inlineStr">
        <is>
          <t>AC</t>
        </is>
      </c>
      <c r="B13" s="117" t="n">
        <v>2024</v>
      </c>
      <c r="C13" s="76" t="n">
        <v>39</v>
      </c>
    </row>
    <row r="14" ht="13.5" customHeight="1" s="186">
      <c r="A14" s="105" t="inlineStr">
        <is>
          <t>AC</t>
        </is>
      </c>
      <c r="B14" s="119" t="n">
        <v>2025</v>
      </c>
      <c r="C14" s="79" t="n">
        <v>99</v>
      </c>
    </row>
    <row r="15" ht="13.5" customHeight="1" s="186">
      <c r="A15" s="97" t="inlineStr">
        <is>
          <t>AL</t>
        </is>
      </c>
      <c r="B15" s="117" t="n">
        <v>2016</v>
      </c>
      <c r="C15" s="76" t="n">
        <v>27</v>
      </c>
    </row>
    <row r="16" ht="13.5" customHeight="1" s="186">
      <c r="A16" s="105" t="inlineStr">
        <is>
          <t>AL</t>
        </is>
      </c>
      <c r="B16" s="119" t="n">
        <v>2017</v>
      </c>
      <c r="C16" s="79" t="n">
        <v>77</v>
      </c>
    </row>
    <row r="17" ht="13.5" customHeight="1" s="186">
      <c r="A17" s="97" t="inlineStr">
        <is>
          <t>AL</t>
        </is>
      </c>
      <c r="B17" s="117" t="n">
        <v>2018</v>
      </c>
      <c r="C17" s="76" t="n">
        <v>121</v>
      </c>
    </row>
    <row r="18" ht="13.5" customHeight="1" s="186">
      <c r="A18" s="105" t="inlineStr">
        <is>
          <t>AL</t>
        </is>
      </c>
      <c r="B18" s="119" t="n">
        <v>2019</v>
      </c>
      <c r="C18" s="79" t="n">
        <v>722</v>
      </c>
    </row>
    <row r="19" ht="13.5" customHeight="1" s="186">
      <c r="A19" s="97" t="inlineStr">
        <is>
          <t>AL</t>
        </is>
      </c>
      <c r="B19" s="117" t="n">
        <v>2020</v>
      </c>
      <c r="C19" s="76" t="n">
        <v>1261</v>
      </c>
    </row>
    <row r="20" ht="13.5" customHeight="1" s="186">
      <c r="A20" s="105" t="inlineStr">
        <is>
          <t>AL</t>
        </is>
      </c>
      <c r="B20" s="119" t="n">
        <v>2021</v>
      </c>
      <c r="C20" s="79" t="n">
        <v>2587</v>
      </c>
    </row>
    <row r="21" ht="13.5" customHeight="1" s="186">
      <c r="A21" s="97" t="inlineStr">
        <is>
          <t>AL</t>
        </is>
      </c>
      <c r="B21" s="117" t="n">
        <v>2022</v>
      </c>
      <c r="C21" s="77" t="n">
        <v>3488</v>
      </c>
    </row>
    <row r="22" ht="13.5" customHeight="1" s="186">
      <c r="A22" s="105" t="inlineStr">
        <is>
          <t>AL</t>
        </is>
      </c>
      <c r="B22" s="119" t="n">
        <v>2023</v>
      </c>
      <c r="C22" s="78" t="n">
        <v>4</v>
      </c>
    </row>
    <row r="23" ht="13.5" customHeight="1" s="186">
      <c r="A23" s="97" t="inlineStr">
        <is>
          <t>AL</t>
        </is>
      </c>
      <c r="B23" s="117" t="n">
        <v>2024</v>
      </c>
      <c r="C23" s="76" t="n">
        <v>532</v>
      </c>
    </row>
    <row r="24" ht="13.5" customHeight="1" s="186">
      <c r="A24" s="105" t="inlineStr">
        <is>
          <t>AL</t>
        </is>
      </c>
      <c r="B24" s="119" t="n">
        <v>2025</v>
      </c>
      <c r="C24" s="79" t="n">
        <v>756</v>
      </c>
    </row>
    <row r="25" ht="13.5" customHeight="1" s="186">
      <c r="A25" s="97" t="inlineStr">
        <is>
          <t>AM</t>
        </is>
      </c>
      <c r="B25" s="117" t="n">
        <v>2016</v>
      </c>
      <c r="C25" s="76" t="n">
        <v>20</v>
      </c>
    </row>
    <row r="26" ht="13.5" customHeight="1" s="186">
      <c r="A26" s="105" t="inlineStr">
        <is>
          <t>AM</t>
        </is>
      </c>
      <c r="B26" s="119" t="n">
        <v>2017</v>
      </c>
      <c r="C26" s="79" t="n">
        <v>88</v>
      </c>
    </row>
    <row r="27" ht="13.5" customHeight="1" s="186">
      <c r="A27" s="97" t="inlineStr">
        <is>
          <t>AM</t>
        </is>
      </c>
      <c r="B27" s="117" t="n">
        <v>2018</v>
      </c>
      <c r="C27" s="76" t="n">
        <v>192</v>
      </c>
    </row>
    <row r="28" ht="13.5" customHeight="1" s="186">
      <c r="A28" s="105" t="inlineStr">
        <is>
          <t>AM</t>
        </is>
      </c>
      <c r="B28" s="119" t="n">
        <v>2019</v>
      </c>
      <c r="C28" s="79" t="n">
        <v>397</v>
      </c>
    </row>
    <row r="29" ht="13.5" customHeight="1" s="186">
      <c r="A29" s="97" t="inlineStr">
        <is>
          <t>AM</t>
        </is>
      </c>
      <c r="B29" s="117" t="n">
        <v>2020</v>
      </c>
      <c r="C29" s="76" t="n">
        <v>1067</v>
      </c>
    </row>
    <row r="30" ht="13.5" customHeight="1" s="186">
      <c r="A30" s="105" t="inlineStr">
        <is>
          <t>AM</t>
        </is>
      </c>
      <c r="B30" s="119" t="n">
        <v>2021</v>
      </c>
      <c r="C30" s="79" t="n">
        <v>2142</v>
      </c>
    </row>
    <row r="31" ht="13.5" customHeight="1" s="186">
      <c r="A31" s="97" t="inlineStr">
        <is>
          <t>AM</t>
        </is>
      </c>
      <c r="B31" s="117" t="n">
        <v>2022</v>
      </c>
      <c r="C31" s="77" t="n">
        <v>4005</v>
      </c>
    </row>
    <row r="32" ht="13.5" customHeight="1" s="186">
      <c r="A32" s="105" t="inlineStr">
        <is>
          <t>AM</t>
        </is>
      </c>
      <c r="B32" s="119" t="n">
        <v>2023</v>
      </c>
      <c r="C32" s="78" t="n">
        <v>16</v>
      </c>
    </row>
    <row r="33" ht="13.5" customHeight="1" s="186">
      <c r="A33" s="97" t="inlineStr">
        <is>
          <t>AM</t>
        </is>
      </c>
      <c r="B33" s="117" t="n">
        <v>2024</v>
      </c>
      <c r="C33" s="76" t="n">
        <v>122</v>
      </c>
    </row>
    <row r="34" ht="13.5" customHeight="1" s="186">
      <c r="A34" s="105" t="inlineStr">
        <is>
          <t>AM</t>
        </is>
      </c>
      <c r="B34" s="119" t="n">
        <v>2025</v>
      </c>
      <c r="C34" s="79" t="n">
        <v>232</v>
      </c>
    </row>
    <row r="35" ht="13.5" customHeight="1" s="186">
      <c r="A35" s="97" t="inlineStr">
        <is>
          <t>AP</t>
        </is>
      </c>
      <c r="B35" s="117" t="n">
        <v>2016</v>
      </c>
      <c r="C35" s="76" t="n">
        <v>0</v>
      </c>
    </row>
    <row r="36" ht="13.5" customHeight="1" s="186">
      <c r="A36" s="105" t="inlineStr">
        <is>
          <t>AP</t>
        </is>
      </c>
      <c r="B36" s="119" t="n">
        <v>2017</v>
      </c>
      <c r="C36" s="79" t="n">
        <v>22</v>
      </c>
    </row>
    <row r="37" ht="13.5" customHeight="1" s="186">
      <c r="A37" s="97" t="inlineStr">
        <is>
          <t>AP</t>
        </is>
      </c>
      <c r="B37" s="117" t="n">
        <v>2018</v>
      </c>
      <c r="C37" s="76" t="n">
        <v>21</v>
      </c>
    </row>
    <row r="38" ht="13.5" customHeight="1" s="186">
      <c r="A38" s="105" t="inlineStr">
        <is>
          <t>AP</t>
        </is>
      </c>
      <c r="B38" s="119" t="n">
        <v>2019</v>
      </c>
      <c r="C38" s="79" t="n">
        <v>111</v>
      </c>
    </row>
    <row r="39" ht="13.5" customHeight="1" s="186">
      <c r="A39" s="97" t="inlineStr">
        <is>
          <t>AP</t>
        </is>
      </c>
      <c r="B39" s="117" t="n">
        <v>2020</v>
      </c>
      <c r="C39" s="76" t="n">
        <v>226</v>
      </c>
    </row>
    <row r="40" ht="13.5" customHeight="1" s="186">
      <c r="A40" s="105" t="inlineStr">
        <is>
          <t>AP</t>
        </is>
      </c>
      <c r="B40" s="119" t="n">
        <v>2021</v>
      </c>
      <c r="C40" s="79" t="n">
        <v>355</v>
      </c>
    </row>
    <row r="41" ht="13.5" customHeight="1" s="186">
      <c r="A41" s="97" t="inlineStr">
        <is>
          <t>AP</t>
        </is>
      </c>
      <c r="B41" s="117" t="n">
        <v>2022</v>
      </c>
      <c r="C41" s="77" t="n">
        <v>551</v>
      </c>
    </row>
    <row r="42" ht="13.5" customHeight="1" s="186">
      <c r="A42" s="105" t="inlineStr">
        <is>
          <t>AP</t>
        </is>
      </c>
      <c r="B42" s="119" t="n">
        <v>2023</v>
      </c>
      <c r="C42" s="78" t="n">
        <v>41</v>
      </c>
    </row>
    <row r="43" ht="13.5" customHeight="1" s="186">
      <c r="A43" s="97" t="inlineStr">
        <is>
          <t>AP</t>
        </is>
      </c>
      <c r="B43" s="117" t="n">
        <v>2024</v>
      </c>
      <c r="C43" s="76" t="n">
        <v>66</v>
      </c>
    </row>
    <row r="44" ht="13.5" customHeight="1" s="186">
      <c r="A44" s="105" t="inlineStr">
        <is>
          <t>AP</t>
        </is>
      </c>
      <c r="B44" s="119" t="n">
        <v>2025</v>
      </c>
      <c r="C44" s="79" t="n">
        <v>170</v>
      </c>
    </row>
    <row r="45" ht="13.5" customHeight="1" s="186">
      <c r="A45" s="97" t="inlineStr">
        <is>
          <t>BA</t>
        </is>
      </c>
      <c r="B45" s="117" t="n">
        <v>2016</v>
      </c>
      <c r="C45" s="76" t="n">
        <v>245</v>
      </c>
    </row>
    <row r="46" ht="13.5" customHeight="1" s="186">
      <c r="A46" s="105" t="inlineStr">
        <is>
          <t>BA</t>
        </is>
      </c>
      <c r="B46" s="119" t="n">
        <v>2017</v>
      </c>
      <c r="C46" s="79" t="n">
        <v>455</v>
      </c>
    </row>
    <row r="47" ht="13.5" customHeight="1" s="186">
      <c r="A47" s="97" t="inlineStr">
        <is>
          <t>BA</t>
        </is>
      </c>
      <c r="B47" s="117" t="n">
        <v>2018</v>
      </c>
      <c r="C47" s="76" t="n">
        <v>790</v>
      </c>
    </row>
    <row r="48" ht="13.5" customHeight="1" s="186">
      <c r="A48" s="105" t="inlineStr">
        <is>
          <t>BA</t>
        </is>
      </c>
      <c r="B48" s="119" t="n">
        <v>2019</v>
      </c>
      <c r="C48" s="79" t="n">
        <v>2920</v>
      </c>
    </row>
    <row r="49" ht="13.5" customHeight="1" s="186">
      <c r="A49" s="97" t="inlineStr">
        <is>
          <t>BA</t>
        </is>
      </c>
      <c r="B49" s="117" t="n">
        <v>2020</v>
      </c>
      <c r="C49" s="76" t="n">
        <v>6161</v>
      </c>
    </row>
    <row r="50" ht="13.5" customHeight="1" s="186">
      <c r="A50" s="105" t="inlineStr">
        <is>
          <t>BA</t>
        </is>
      </c>
      <c r="B50" s="119" t="n">
        <v>2021</v>
      </c>
      <c r="C50" s="79" t="n">
        <v>8501</v>
      </c>
    </row>
    <row r="51" ht="13.5" customHeight="1" s="186">
      <c r="A51" s="97" t="inlineStr">
        <is>
          <t>BA</t>
        </is>
      </c>
      <c r="B51" s="117" t="n">
        <v>2022</v>
      </c>
      <c r="C51" s="77" t="n">
        <v>11821</v>
      </c>
    </row>
    <row r="52" ht="13.5" customHeight="1" s="186">
      <c r="A52" s="105" t="inlineStr">
        <is>
          <t>BA</t>
        </is>
      </c>
      <c r="B52" s="119" t="n">
        <v>2023</v>
      </c>
      <c r="C52" s="78" t="n">
        <v>72</v>
      </c>
    </row>
    <row r="53" ht="13.5" customHeight="1" s="186">
      <c r="A53" s="97" t="inlineStr">
        <is>
          <t>BA</t>
        </is>
      </c>
      <c r="B53" s="117" t="n">
        <v>2024</v>
      </c>
      <c r="C53" s="76" t="n">
        <v>1541</v>
      </c>
    </row>
    <row r="54" ht="13.5" customHeight="1" s="186">
      <c r="A54" s="105" t="inlineStr">
        <is>
          <t>BA</t>
        </is>
      </c>
      <c r="B54" s="119" t="n">
        <v>2025</v>
      </c>
      <c r="C54" s="79" t="n">
        <v>4306</v>
      </c>
    </row>
    <row r="55" ht="13.5" customHeight="1" s="186">
      <c r="A55" s="97" t="inlineStr">
        <is>
          <t>CE</t>
        </is>
      </c>
      <c r="B55" s="117" t="n">
        <v>2016</v>
      </c>
      <c r="C55" s="76" t="n">
        <v>388</v>
      </c>
    </row>
    <row r="56" ht="13.5" customHeight="1" s="186">
      <c r="A56" s="105" t="inlineStr">
        <is>
          <t>CE</t>
        </is>
      </c>
      <c r="B56" s="119" t="n">
        <v>2017</v>
      </c>
      <c r="C56" s="79" t="n">
        <v>692</v>
      </c>
    </row>
    <row r="57" ht="13.5" customHeight="1" s="186">
      <c r="A57" s="97" t="inlineStr">
        <is>
          <t>CE</t>
        </is>
      </c>
      <c r="B57" s="117" t="n">
        <v>2018</v>
      </c>
      <c r="C57" s="76" t="n">
        <v>993</v>
      </c>
    </row>
    <row r="58" ht="13.5" customHeight="1" s="186">
      <c r="A58" s="105" t="inlineStr">
        <is>
          <t>CE</t>
        </is>
      </c>
      <c r="B58" s="119" t="n">
        <v>2019</v>
      </c>
      <c r="C58" s="79" t="n">
        <v>2102</v>
      </c>
    </row>
    <row r="59" ht="13.5" customHeight="1" s="186">
      <c r="A59" s="97" t="inlineStr">
        <is>
          <t>CE</t>
        </is>
      </c>
      <c r="B59" s="117" t="n">
        <v>2020</v>
      </c>
      <c r="C59" s="76" t="n">
        <v>3117</v>
      </c>
    </row>
    <row r="60" ht="13.5" customHeight="1" s="186">
      <c r="A60" s="105" t="inlineStr">
        <is>
          <t>CE</t>
        </is>
      </c>
      <c r="B60" s="119" t="n">
        <v>2021</v>
      </c>
      <c r="C60" s="79" t="n">
        <v>6179</v>
      </c>
    </row>
    <row r="61" ht="13.5" customHeight="1" s="186">
      <c r="A61" s="97" t="inlineStr">
        <is>
          <t>CE</t>
        </is>
      </c>
      <c r="B61" s="117" t="n">
        <v>2022</v>
      </c>
      <c r="C61" s="77" t="n">
        <v>6438</v>
      </c>
    </row>
    <row r="62" ht="13.5" customHeight="1" s="186">
      <c r="A62" s="105" t="inlineStr">
        <is>
          <t>CE</t>
        </is>
      </c>
      <c r="B62" s="119" t="n">
        <v>2023</v>
      </c>
      <c r="C62" s="78" t="n">
        <v>18</v>
      </c>
    </row>
    <row r="63" ht="13.5" customHeight="1" s="186">
      <c r="A63" s="97" t="inlineStr">
        <is>
          <t>CE</t>
        </is>
      </c>
      <c r="B63" s="117" t="n">
        <v>2024</v>
      </c>
      <c r="C63" s="76" t="n">
        <v>1324</v>
      </c>
    </row>
    <row r="64" ht="13.5" customHeight="1" s="186">
      <c r="A64" s="105" t="inlineStr">
        <is>
          <t>CE</t>
        </is>
      </c>
      <c r="B64" s="119" t="n">
        <v>2025</v>
      </c>
      <c r="C64" s="79" t="n">
        <v>1409</v>
      </c>
    </row>
    <row r="65" ht="13.5" customHeight="1" s="186">
      <c r="A65" s="97" t="inlineStr">
        <is>
          <t>DF</t>
        </is>
      </c>
      <c r="B65" s="117" t="n">
        <v>2016</v>
      </c>
      <c r="C65" s="76" t="n">
        <v>189</v>
      </c>
    </row>
    <row r="66" ht="13.5" customHeight="1" s="186">
      <c r="A66" s="105" t="inlineStr">
        <is>
          <t>DF</t>
        </is>
      </c>
      <c r="B66" s="119" t="n">
        <v>2017</v>
      </c>
      <c r="C66" s="79" t="n">
        <v>319</v>
      </c>
    </row>
    <row r="67" ht="13.5" customHeight="1" s="186">
      <c r="A67" s="97" t="inlineStr">
        <is>
          <t>DF</t>
        </is>
      </c>
      <c r="B67" s="117" t="n">
        <v>2018</v>
      </c>
      <c r="C67" s="76" t="n">
        <v>500</v>
      </c>
    </row>
    <row r="68" ht="13.5" customHeight="1" s="186">
      <c r="A68" s="105" t="inlineStr">
        <is>
          <t>DF</t>
        </is>
      </c>
      <c r="B68" s="119" t="n">
        <v>2019</v>
      </c>
      <c r="C68" s="79" t="n">
        <v>2483</v>
      </c>
    </row>
    <row r="69" ht="13.5" customHeight="1" s="186">
      <c r="A69" s="97" t="inlineStr">
        <is>
          <t>DF</t>
        </is>
      </c>
      <c r="B69" s="117" t="n">
        <v>2020</v>
      </c>
      <c r="C69" s="76" t="n">
        <v>5045</v>
      </c>
    </row>
    <row r="70" ht="13.5" customHeight="1" s="186">
      <c r="A70" s="105" t="inlineStr">
        <is>
          <t>DF</t>
        </is>
      </c>
      <c r="B70" s="119" t="n">
        <v>2021</v>
      </c>
      <c r="C70" s="79" t="n">
        <v>8289</v>
      </c>
    </row>
    <row r="71" ht="13.5" customHeight="1" s="186">
      <c r="A71" s="97" t="inlineStr">
        <is>
          <t>DF</t>
        </is>
      </c>
      <c r="B71" s="117" t="n">
        <v>2022</v>
      </c>
      <c r="C71" s="77" t="n">
        <v>10861</v>
      </c>
    </row>
    <row r="72" ht="13.5" customHeight="1" s="186">
      <c r="A72" s="105" t="inlineStr">
        <is>
          <t>DF</t>
        </is>
      </c>
      <c r="B72" s="119" t="n">
        <v>2023</v>
      </c>
      <c r="C72" s="78" t="n">
        <v>18</v>
      </c>
    </row>
    <row r="73" ht="13.5" customHeight="1" s="186">
      <c r="A73" s="97" t="inlineStr">
        <is>
          <t>DF</t>
        </is>
      </c>
      <c r="B73" s="117" t="n">
        <v>2024</v>
      </c>
      <c r="C73" s="76" t="n">
        <v>1148</v>
      </c>
    </row>
    <row r="74" ht="13.5" customHeight="1" s="186">
      <c r="A74" s="105" t="inlineStr">
        <is>
          <t>DF</t>
        </is>
      </c>
      <c r="B74" s="119" t="n">
        <v>2025</v>
      </c>
      <c r="C74" s="79" t="n">
        <v>1512</v>
      </c>
    </row>
    <row r="75" ht="13.5" customHeight="1" s="186">
      <c r="A75" s="97" t="inlineStr">
        <is>
          <t>ES</t>
        </is>
      </c>
      <c r="B75" s="117" t="n">
        <v>2016</v>
      </c>
      <c r="C75" s="76" t="n">
        <v>40</v>
      </c>
    </row>
    <row r="76" ht="13.5" customHeight="1" s="186">
      <c r="A76" s="105" t="inlineStr">
        <is>
          <t>ES</t>
        </is>
      </c>
      <c r="B76" s="119" t="n">
        <v>2017</v>
      </c>
      <c r="C76" s="79" t="n">
        <v>135</v>
      </c>
    </row>
    <row r="77" ht="13.5" customHeight="1" s="186">
      <c r="A77" s="97" t="inlineStr">
        <is>
          <t>ES</t>
        </is>
      </c>
      <c r="B77" s="117" t="n">
        <v>2018</v>
      </c>
      <c r="C77" s="76" t="n">
        <v>321</v>
      </c>
    </row>
    <row r="78" ht="13.5" customHeight="1" s="186">
      <c r="A78" s="105" t="inlineStr">
        <is>
          <t>ES</t>
        </is>
      </c>
      <c r="B78" s="119" t="n">
        <v>2019</v>
      </c>
      <c r="C78" s="79" t="n">
        <v>658</v>
      </c>
    </row>
    <row r="79" ht="13.5" customHeight="1" s="186">
      <c r="A79" s="97" t="inlineStr">
        <is>
          <t>ES</t>
        </is>
      </c>
      <c r="B79" s="117" t="n">
        <v>2020</v>
      </c>
      <c r="C79" s="76" t="n">
        <v>750</v>
      </c>
    </row>
    <row r="80" ht="13.5" customHeight="1" s="186">
      <c r="A80" s="105" t="inlineStr">
        <is>
          <t>ES</t>
        </is>
      </c>
      <c r="B80" s="119" t="n">
        <v>2021</v>
      </c>
      <c r="C80" s="79" t="n">
        <v>2320</v>
      </c>
    </row>
    <row r="81" ht="13.5" customHeight="1" s="186">
      <c r="A81" s="97" t="inlineStr">
        <is>
          <t>ES</t>
        </is>
      </c>
      <c r="B81" s="117" t="n">
        <v>2022</v>
      </c>
      <c r="C81" s="77" t="n">
        <v>3015</v>
      </c>
    </row>
    <row r="82" ht="13.5" customHeight="1" s="186">
      <c r="A82" s="105" t="inlineStr">
        <is>
          <t>ES</t>
        </is>
      </c>
      <c r="B82" s="119" t="n">
        <v>2023</v>
      </c>
      <c r="C82" s="78" t="n">
        <v>39</v>
      </c>
    </row>
    <row r="83" ht="13.5" customHeight="1" s="186">
      <c r="A83" s="97" t="inlineStr">
        <is>
          <t>ES</t>
        </is>
      </c>
      <c r="B83" s="117" t="n">
        <v>2024</v>
      </c>
      <c r="C83" s="76" t="n">
        <v>515</v>
      </c>
    </row>
    <row r="84" ht="13.5" customHeight="1" s="186">
      <c r="A84" s="105" t="inlineStr">
        <is>
          <t>ES</t>
        </is>
      </c>
      <c r="B84" s="119" t="n">
        <v>2025</v>
      </c>
      <c r="C84" s="79" t="n">
        <v>1496</v>
      </c>
    </row>
    <row r="85" ht="13.5" customHeight="1" s="186">
      <c r="A85" s="97" t="inlineStr">
        <is>
          <t>GO</t>
        </is>
      </c>
      <c r="B85" s="117" t="n">
        <v>2016</v>
      </c>
      <c r="C85" s="76" t="n">
        <v>115</v>
      </c>
    </row>
    <row r="86" ht="13.5" customHeight="1" s="186">
      <c r="A86" s="105" t="inlineStr">
        <is>
          <t>GO</t>
        </is>
      </c>
      <c r="B86" s="119" t="n">
        <v>2017</v>
      </c>
      <c r="C86" s="79" t="n">
        <v>301</v>
      </c>
    </row>
    <row r="87" ht="13.5" customHeight="1" s="186">
      <c r="A87" s="97" t="inlineStr">
        <is>
          <t>GO</t>
        </is>
      </c>
      <c r="B87" s="117" t="n">
        <v>2018</v>
      </c>
      <c r="C87" s="76" t="n">
        <v>594</v>
      </c>
    </row>
    <row r="88" ht="13.5" customHeight="1" s="186">
      <c r="A88" s="105" t="inlineStr">
        <is>
          <t>GO</t>
        </is>
      </c>
      <c r="B88" s="119" t="n">
        <v>2019</v>
      </c>
      <c r="C88" s="79" t="n">
        <v>3046</v>
      </c>
    </row>
    <row r="89" ht="13.5" customHeight="1" s="186">
      <c r="A89" s="97" t="inlineStr">
        <is>
          <t>GO</t>
        </is>
      </c>
      <c r="B89" s="117" t="n">
        <v>2020</v>
      </c>
      <c r="C89" s="76" t="n">
        <v>8498</v>
      </c>
    </row>
    <row r="90" ht="13.5" customHeight="1" s="186">
      <c r="A90" s="105" t="inlineStr">
        <is>
          <t>GO</t>
        </is>
      </c>
      <c r="B90" s="119" t="n">
        <v>2021</v>
      </c>
      <c r="C90" s="79" t="n">
        <v>22040</v>
      </c>
    </row>
    <row r="91" ht="13.5" customHeight="1" s="186">
      <c r="A91" s="97" t="inlineStr">
        <is>
          <t>GO</t>
        </is>
      </c>
      <c r="B91" s="117" t="n">
        <v>2022</v>
      </c>
      <c r="C91" s="77" t="n">
        <v>29119</v>
      </c>
    </row>
    <row r="92" ht="13.5" customHeight="1" s="186">
      <c r="A92" s="105" t="inlineStr">
        <is>
          <t>GO</t>
        </is>
      </c>
      <c r="B92" s="119" t="n">
        <v>2023</v>
      </c>
      <c r="C92" s="78" t="n">
        <v>52</v>
      </c>
    </row>
    <row r="93" ht="13.5" customHeight="1" s="186">
      <c r="A93" s="97" t="inlineStr">
        <is>
          <t>GO</t>
        </is>
      </c>
      <c r="B93" s="117" t="n">
        <v>2024</v>
      </c>
      <c r="C93" s="76" t="n">
        <v>5050</v>
      </c>
    </row>
    <row r="94" ht="13.5" customHeight="1" s="186">
      <c r="A94" s="105" t="inlineStr">
        <is>
          <t>GO</t>
        </is>
      </c>
      <c r="B94" s="119" t="n">
        <v>2025</v>
      </c>
      <c r="C94" s="79" t="n">
        <v>5594</v>
      </c>
    </row>
    <row r="95" ht="13.5" customHeight="1" s="186">
      <c r="A95" s="97" t="inlineStr">
        <is>
          <t>MA</t>
        </is>
      </c>
      <c r="B95" s="117" t="n">
        <v>2016</v>
      </c>
      <c r="C95" s="76" t="n">
        <v>32</v>
      </c>
    </row>
    <row r="96" ht="13.5" customHeight="1" s="186">
      <c r="A96" s="105" t="inlineStr">
        <is>
          <t>MA</t>
        </is>
      </c>
      <c r="B96" s="119" t="n">
        <v>2017</v>
      </c>
      <c r="C96" s="79" t="n">
        <v>90</v>
      </c>
    </row>
    <row r="97" ht="13.5" customHeight="1" s="186">
      <c r="A97" s="97" t="inlineStr">
        <is>
          <t>MA</t>
        </is>
      </c>
      <c r="B97" s="117" t="n">
        <v>2018</v>
      </c>
      <c r="C97" s="76" t="n">
        <v>118</v>
      </c>
    </row>
    <row r="98" ht="13.5" customHeight="1" s="186">
      <c r="A98" s="105" t="inlineStr">
        <is>
          <t>MA</t>
        </is>
      </c>
      <c r="B98" s="119" t="n">
        <v>2019</v>
      </c>
      <c r="C98" s="79" t="n">
        <v>636</v>
      </c>
    </row>
    <row r="99" ht="13.5" customHeight="1" s="186">
      <c r="A99" s="97" t="inlineStr">
        <is>
          <t>MA</t>
        </is>
      </c>
      <c r="B99" s="117" t="n">
        <v>2020</v>
      </c>
      <c r="C99" s="76" t="n">
        <v>1500</v>
      </c>
    </row>
    <row r="100" ht="13.5" customHeight="1" s="186">
      <c r="A100" s="105" t="inlineStr">
        <is>
          <t>MA</t>
        </is>
      </c>
      <c r="B100" s="119" t="n">
        <v>2021</v>
      </c>
      <c r="C100" s="79" t="n">
        <v>2852</v>
      </c>
    </row>
    <row r="101" ht="13.5" customHeight="1" s="186">
      <c r="A101" s="97" t="inlineStr">
        <is>
          <t>MA</t>
        </is>
      </c>
      <c r="B101" s="117" t="n">
        <v>2022</v>
      </c>
      <c r="C101" s="77" t="n">
        <v>4983</v>
      </c>
    </row>
    <row r="102" ht="13.5" customHeight="1" s="186">
      <c r="A102" s="105" t="inlineStr">
        <is>
          <t>MA</t>
        </is>
      </c>
      <c r="B102" s="119" t="n">
        <v>2023</v>
      </c>
      <c r="C102" s="78" t="n">
        <v>2</v>
      </c>
    </row>
    <row r="103" ht="13.5" customHeight="1" s="186">
      <c r="A103" s="97" t="inlineStr">
        <is>
          <t>MA</t>
        </is>
      </c>
      <c r="B103" s="117" t="n">
        <v>2024</v>
      </c>
      <c r="C103" s="76" t="n">
        <v>513</v>
      </c>
    </row>
    <row r="104" ht="13.5" customHeight="1" s="186">
      <c r="A104" s="105" t="inlineStr">
        <is>
          <t>MA</t>
        </is>
      </c>
      <c r="B104" s="119" t="n">
        <v>2025</v>
      </c>
      <c r="C104" s="79" t="n">
        <v>2285</v>
      </c>
    </row>
    <row r="105" ht="13.5" customHeight="1" s="186">
      <c r="A105" s="97" t="inlineStr">
        <is>
          <t>MG</t>
        </is>
      </c>
      <c r="B105" s="117" t="n">
        <v>2016</v>
      </c>
      <c r="C105" s="76" t="n">
        <v>272</v>
      </c>
    </row>
    <row r="106" ht="13.5" customHeight="1" s="186">
      <c r="A106" s="105" t="inlineStr">
        <is>
          <t>MG</t>
        </is>
      </c>
      <c r="B106" s="119" t="n">
        <v>2017</v>
      </c>
      <c r="C106" s="79" t="n">
        <v>489</v>
      </c>
    </row>
    <row r="107" ht="13.5" customHeight="1" s="186">
      <c r="A107" s="97" t="inlineStr">
        <is>
          <t>MG</t>
        </is>
      </c>
      <c r="B107" s="117" t="n">
        <v>2018</v>
      </c>
      <c r="C107" s="76" t="n">
        <v>1089</v>
      </c>
    </row>
    <row r="108" ht="13.5" customHeight="1" s="186">
      <c r="A108" s="105" t="inlineStr">
        <is>
          <t>MG</t>
        </is>
      </c>
      <c r="B108" s="119" t="n">
        <v>2019</v>
      </c>
      <c r="C108" s="79" t="n">
        <v>6591</v>
      </c>
    </row>
    <row r="109" ht="13.5" customHeight="1" s="186">
      <c r="A109" s="97" t="inlineStr">
        <is>
          <t>MG</t>
        </is>
      </c>
      <c r="B109" s="117" t="n">
        <v>2020</v>
      </c>
      <c r="C109" s="76" t="n">
        <v>10111</v>
      </c>
    </row>
    <row r="110" ht="13.5" customHeight="1" s="186">
      <c r="A110" s="105" t="inlineStr">
        <is>
          <t>MG</t>
        </is>
      </c>
      <c r="B110" s="119" t="n">
        <v>2021</v>
      </c>
      <c r="C110" s="79" t="n">
        <v>23876</v>
      </c>
    </row>
    <row r="111" ht="13.5" customHeight="1" s="186">
      <c r="A111" s="97" t="inlineStr">
        <is>
          <t>MG</t>
        </is>
      </c>
      <c r="B111" s="117" t="n">
        <v>2022</v>
      </c>
      <c r="C111" s="77" t="n">
        <v>36600</v>
      </c>
    </row>
    <row r="112" ht="13.5" customHeight="1" s="186">
      <c r="A112" s="105" t="inlineStr">
        <is>
          <t>MG</t>
        </is>
      </c>
      <c r="B112" s="119" t="n">
        <v>2023</v>
      </c>
      <c r="C112" s="78" t="n">
        <v>101</v>
      </c>
    </row>
    <row r="113" ht="13.5" customHeight="1" s="186">
      <c r="A113" s="97" t="inlineStr">
        <is>
          <t>MG</t>
        </is>
      </c>
      <c r="B113" s="117" t="n">
        <v>2024</v>
      </c>
      <c r="C113" s="76" t="n">
        <v>7766</v>
      </c>
    </row>
    <row r="114" ht="13.5" customHeight="1" s="186">
      <c r="A114" s="105" t="inlineStr">
        <is>
          <t>MG</t>
        </is>
      </c>
      <c r="B114" s="119" t="n">
        <v>2025</v>
      </c>
      <c r="C114" s="79" t="n">
        <v>8984</v>
      </c>
    </row>
    <row r="115" ht="13.5" customHeight="1" s="186">
      <c r="A115" s="97" t="inlineStr">
        <is>
          <t>MS</t>
        </is>
      </c>
      <c r="B115" s="117" t="n">
        <v>2016</v>
      </c>
      <c r="C115" s="76" t="n">
        <v>117</v>
      </c>
    </row>
    <row r="116" ht="13.5" customHeight="1" s="186">
      <c r="A116" s="105" t="inlineStr">
        <is>
          <t>MS</t>
        </is>
      </c>
      <c r="B116" s="119" t="n">
        <v>2017</v>
      </c>
      <c r="C116" s="79" t="n">
        <v>190</v>
      </c>
    </row>
    <row r="117" ht="13.5" customHeight="1" s="186">
      <c r="A117" s="97" t="inlineStr">
        <is>
          <t>MS</t>
        </is>
      </c>
      <c r="B117" s="117" t="n">
        <v>2018</v>
      </c>
      <c r="C117" s="76" t="n">
        <v>187</v>
      </c>
    </row>
    <row r="118" ht="13.5" customHeight="1" s="186">
      <c r="A118" s="105" t="inlineStr">
        <is>
          <t>MS</t>
        </is>
      </c>
      <c r="B118" s="119" t="n">
        <v>2019</v>
      </c>
      <c r="C118" s="79" t="n">
        <v>1053</v>
      </c>
    </row>
    <row r="119" ht="13.5" customHeight="1" s="186">
      <c r="A119" s="97" t="inlineStr">
        <is>
          <t>MS</t>
        </is>
      </c>
      <c r="B119" s="117" t="n">
        <v>2020</v>
      </c>
      <c r="C119" s="76" t="n">
        <v>2364</v>
      </c>
    </row>
    <row r="120" ht="13.5" customHeight="1" s="186">
      <c r="A120" s="105" t="inlineStr">
        <is>
          <t>MS</t>
        </is>
      </c>
      <c r="B120" s="119" t="n">
        <v>2021</v>
      </c>
      <c r="C120" s="79" t="n">
        <v>4750</v>
      </c>
    </row>
    <row r="121" ht="13.5" customHeight="1" s="186">
      <c r="A121" s="97" t="inlineStr">
        <is>
          <t>MS</t>
        </is>
      </c>
      <c r="B121" s="117" t="n">
        <v>2022</v>
      </c>
      <c r="C121" s="77" t="n">
        <v>8979</v>
      </c>
    </row>
    <row r="122" ht="13.5" customHeight="1" s="186">
      <c r="A122" s="105" t="inlineStr">
        <is>
          <t>MS</t>
        </is>
      </c>
      <c r="B122" s="119" t="n">
        <v>2023</v>
      </c>
      <c r="C122" s="78" t="n">
        <v>18</v>
      </c>
    </row>
    <row r="123" ht="13.5" customHeight="1" s="186">
      <c r="A123" s="97" t="inlineStr">
        <is>
          <t>MS</t>
        </is>
      </c>
      <c r="B123" s="117" t="n">
        <v>2024</v>
      </c>
      <c r="C123" s="76" t="n">
        <v>1180</v>
      </c>
    </row>
    <row r="124" ht="13.5" customHeight="1" s="186">
      <c r="A124" s="105" t="inlineStr">
        <is>
          <t>MS</t>
        </is>
      </c>
      <c r="B124" s="119" t="n">
        <v>2025</v>
      </c>
      <c r="C124" s="79" t="n">
        <v>1513</v>
      </c>
    </row>
    <row r="125" ht="13.5" customHeight="1" s="186">
      <c r="A125" s="97" t="inlineStr">
        <is>
          <t>MT</t>
        </is>
      </c>
      <c r="B125" s="117" t="n">
        <v>2016</v>
      </c>
      <c r="C125" s="76" t="n">
        <v>143</v>
      </c>
    </row>
    <row r="126" ht="13.5" customHeight="1" s="186">
      <c r="A126" s="105" t="inlineStr">
        <is>
          <t>MT</t>
        </is>
      </c>
      <c r="B126" s="119" t="n">
        <v>2017</v>
      </c>
      <c r="C126" s="79" t="n">
        <v>226</v>
      </c>
    </row>
    <row r="127" ht="13.5" customHeight="1" s="186">
      <c r="A127" s="97" t="inlineStr">
        <is>
          <t>MT</t>
        </is>
      </c>
      <c r="B127" s="117" t="n">
        <v>2018</v>
      </c>
      <c r="C127" s="76" t="n">
        <v>325</v>
      </c>
    </row>
    <row r="128" ht="13.5" customHeight="1" s="186">
      <c r="A128" s="105" t="inlineStr">
        <is>
          <t>MT</t>
        </is>
      </c>
      <c r="B128" s="119" t="n">
        <v>2019</v>
      </c>
      <c r="C128" s="79" t="n">
        <v>1654</v>
      </c>
    </row>
    <row r="129" ht="13.5" customHeight="1" s="186">
      <c r="A129" s="97" t="inlineStr">
        <is>
          <t>MT</t>
        </is>
      </c>
      <c r="B129" s="117" t="n">
        <v>2020</v>
      </c>
      <c r="C129" s="76" t="n">
        <v>2269</v>
      </c>
    </row>
    <row r="130" ht="13.5" customHeight="1" s="186">
      <c r="A130" s="105" t="inlineStr">
        <is>
          <t>MT</t>
        </is>
      </c>
      <c r="B130" s="119" t="n">
        <v>2021</v>
      </c>
      <c r="C130" s="79" t="n">
        <v>6044</v>
      </c>
    </row>
    <row r="131" ht="13.5" customHeight="1" s="186">
      <c r="A131" s="97" t="inlineStr">
        <is>
          <t>MT</t>
        </is>
      </c>
      <c r="B131" s="117" t="n">
        <v>2022</v>
      </c>
      <c r="C131" s="77" t="n">
        <v>13272</v>
      </c>
    </row>
    <row r="132" ht="13.5" customHeight="1" s="186">
      <c r="A132" s="105" t="inlineStr">
        <is>
          <t>MT</t>
        </is>
      </c>
      <c r="B132" s="119" t="n">
        <v>2023</v>
      </c>
      <c r="C132" s="78" t="n">
        <v>37</v>
      </c>
    </row>
    <row r="133" ht="13.5" customHeight="1" s="186">
      <c r="A133" s="97" t="inlineStr">
        <is>
          <t>MT</t>
        </is>
      </c>
      <c r="B133" s="117" t="n">
        <v>2024</v>
      </c>
      <c r="C133" s="76" t="n">
        <v>2254</v>
      </c>
    </row>
    <row r="134" ht="13.5" customHeight="1" s="186">
      <c r="A134" s="105" t="inlineStr">
        <is>
          <t>MT</t>
        </is>
      </c>
      <c r="B134" s="119" t="n">
        <v>2025</v>
      </c>
      <c r="C134" s="79" t="n">
        <v>3388</v>
      </c>
    </row>
    <row r="135" ht="13.5" customHeight="1" s="186">
      <c r="A135" s="97" t="inlineStr">
        <is>
          <t>PA</t>
        </is>
      </c>
      <c r="B135" s="117" t="n">
        <v>2016</v>
      </c>
      <c r="C135" s="76" t="n">
        <v>51</v>
      </c>
    </row>
    <row r="136" ht="13.5" customHeight="1" s="186">
      <c r="A136" s="105" t="inlineStr">
        <is>
          <t>PA</t>
        </is>
      </c>
      <c r="B136" s="119" t="n">
        <v>2017</v>
      </c>
      <c r="C136" s="79" t="n">
        <v>68</v>
      </c>
    </row>
    <row r="137" ht="13.5" customHeight="1" s="186">
      <c r="A137" s="97" t="inlineStr">
        <is>
          <t>PA</t>
        </is>
      </c>
      <c r="B137" s="117" t="n">
        <v>2018</v>
      </c>
      <c r="C137" s="76" t="n">
        <v>84</v>
      </c>
    </row>
    <row r="138" ht="13.5" customHeight="1" s="186">
      <c r="A138" s="105" t="inlineStr">
        <is>
          <t>PA</t>
        </is>
      </c>
      <c r="B138" s="119" t="n">
        <v>2019</v>
      </c>
      <c r="C138" s="79" t="n">
        <v>490</v>
      </c>
    </row>
    <row r="139" ht="13.5" customHeight="1" s="186">
      <c r="A139" s="97" t="inlineStr">
        <is>
          <t>PA</t>
        </is>
      </c>
      <c r="B139" s="117" t="n">
        <v>2020</v>
      </c>
      <c r="C139" s="76" t="n">
        <v>1937</v>
      </c>
    </row>
    <row r="140" ht="13.5" customHeight="1" s="186">
      <c r="A140" s="105" t="inlineStr">
        <is>
          <t>PA</t>
        </is>
      </c>
      <c r="B140" s="119" t="n">
        <v>2021</v>
      </c>
      <c r="C140" s="79" t="n">
        <v>4052</v>
      </c>
    </row>
    <row r="141" ht="13.5" customHeight="1" s="186">
      <c r="A141" s="97" t="inlineStr">
        <is>
          <t>PA</t>
        </is>
      </c>
      <c r="B141" s="117" t="n">
        <v>2022</v>
      </c>
      <c r="C141" s="77" t="n">
        <v>6128</v>
      </c>
    </row>
    <row r="142" ht="13.5" customHeight="1" s="186">
      <c r="A142" s="105" t="inlineStr">
        <is>
          <t>PA</t>
        </is>
      </c>
      <c r="B142" s="119" t="n">
        <v>2023</v>
      </c>
      <c r="C142" s="78" t="n">
        <v>18</v>
      </c>
    </row>
    <row r="143" ht="13.5" customHeight="1" s="186">
      <c r="A143" s="97" t="inlineStr">
        <is>
          <t>PA</t>
        </is>
      </c>
      <c r="B143" s="117" t="n">
        <v>2024</v>
      </c>
      <c r="C143" s="76" t="n">
        <v>966</v>
      </c>
    </row>
    <row r="144" ht="13.5" customHeight="1" s="186">
      <c r="A144" s="105" t="inlineStr">
        <is>
          <t>PA</t>
        </is>
      </c>
      <c r="B144" s="119" t="n">
        <v>2025</v>
      </c>
      <c r="C144" s="79" t="n">
        <v>1668</v>
      </c>
    </row>
    <row r="145" ht="13.5" customHeight="1" s="186">
      <c r="A145" s="97" t="inlineStr">
        <is>
          <t>PB</t>
        </is>
      </c>
      <c r="B145" s="117" t="n">
        <v>2016</v>
      </c>
      <c r="C145" s="76" t="n">
        <v>60</v>
      </c>
    </row>
    <row r="146" ht="13.5" customHeight="1" s="186">
      <c r="A146" s="105" t="inlineStr">
        <is>
          <t>PB</t>
        </is>
      </c>
      <c r="B146" s="119" t="n">
        <v>2017</v>
      </c>
      <c r="C146" s="79" t="n">
        <v>104</v>
      </c>
    </row>
    <row r="147" ht="13.5" customHeight="1" s="186">
      <c r="A147" s="97" t="inlineStr">
        <is>
          <t>PB</t>
        </is>
      </c>
      <c r="B147" s="117" t="n">
        <v>2018</v>
      </c>
      <c r="C147" s="76" t="n">
        <v>639</v>
      </c>
    </row>
    <row r="148" ht="13.5" customHeight="1" s="186">
      <c r="A148" s="105" t="inlineStr">
        <is>
          <t>PB</t>
        </is>
      </c>
      <c r="B148" s="119" t="n">
        <v>2019</v>
      </c>
      <c r="C148" s="79" t="n">
        <v>1179</v>
      </c>
    </row>
    <row r="149" ht="13.5" customHeight="1" s="186">
      <c r="A149" s="97" t="inlineStr">
        <is>
          <t>PB</t>
        </is>
      </c>
      <c r="B149" s="117" t="n">
        <v>2020</v>
      </c>
      <c r="C149" s="76" t="n">
        <v>1636</v>
      </c>
    </row>
    <row r="150" ht="13.5" customHeight="1" s="186">
      <c r="A150" s="105" t="inlineStr">
        <is>
          <t>PB</t>
        </is>
      </c>
      <c r="B150" s="119" t="n">
        <v>2021</v>
      </c>
      <c r="C150" s="79" t="n">
        <v>2913</v>
      </c>
    </row>
    <row r="151" ht="13.5" customHeight="1" s="186">
      <c r="A151" s="97" t="inlineStr">
        <is>
          <t>PB</t>
        </is>
      </c>
      <c r="B151" s="117" t="n">
        <v>2022</v>
      </c>
      <c r="C151" s="77" t="n">
        <v>3712</v>
      </c>
    </row>
    <row r="152" ht="13.5" customHeight="1" s="186">
      <c r="A152" s="105" t="inlineStr">
        <is>
          <t>PB</t>
        </is>
      </c>
      <c r="B152" s="119" t="n">
        <v>2023</v>
      </c>
      <c r="C152" s="78" t="n">
        <v>4</v>
      </c>
    </row>
    <row r="153" ht="13.5" customHeight="1" s="186">
      <c r="A153" s="97" t="inlineStr">
        <is>
          <t>PB</t>
        </is>
      </c>
      <c r="B153" s="117" t="n">
        <v>2024</v>
      </c>
      <c r="C153" s="76" t="n">
        <v>541</v>
      </c>
    </row>
    <row r="154" ht="13.5" customHeight="1" s="186">
      <c r="A154" s="105" t="inlineStr">
        <is>
          <t>PB</t>
        </is>
      </c>
      <c r="B154" s="119" t="n">
        <v>2025</v>
      </c>
      <c r="C154" s="79" t="n">
        <v>901</v>
      </c>
    </row>
    <row r="155" ht="13.5" customHeight="1" s="186">
      <c r="A155" s="97" t="inlineStr">
        <is>
          <t>PE</t>
        </is>
      </c>
      <c r="B155" s="117" t="n">
        <v>2016</v>
      </c>
      <c r="C155" s="76" t="n">
        <v>125</v>
      </c>
    </row>
    <row r="156" ht="13.5" customHeight="1" s="186">
      <c r="A156" s="105" t="inlineStr">
        <is>
          <t>PE</t>
        </is>
      </c>
      <c r="B156" s="119" t="n">
        <v>2017</v>
      </c>
      <c r="C156" s="79" t="n">
        <v>286</v>
      </c>
    </row>
    <row r="157" ht="13.5" customHeight="1" s="186">
      <c r="A157" s="97" t="inlineStr">
        <is>
          <t>PE</t>
        </is>
      </c>
      <c r="B157" s="117" t="n">
        <v>2018</v>
      </c>
      <c r="C157" s="76" t="n">
        <v>384</v>
      </c>
    </row>
    <row r="158" ht="13.5" customHeight="1" s="186">
      <c r="A158" s="105" t="inlineStr">
        <is>
          <t>PE</t>
        </is>
      </c>
      <c r="B158" s="119" t="n">
        <v>2019</v>
      </c>
      <c r="C158" s="79" t="n">
        <v>1968</v>
      </c>
    </row>
    <row r="159" ht="13.5" customHeight="1" s="186">
      <c r="A159" s="97" t="inlineStr">
        <is>
          <t>PE</t>
        </is>
      </c>
      <c r="B159" s="117" t="n">
        <v>2020</v>
      </c>
      <c r="C159" s="76" t="n">
        <v>3765</v>
      </c>
    </row>
    <row r="160" ht="13.5" customHeight="1" s="186">
      <c r="A160" s="105" t="inlineStr">
        <is>
          <t>PE</t>
        </is>
      </c>
      <c r="B160" s="119" t="n">
        <v>2021</v>
      </c>
      <c r="C160" s="79" t="n">
        <v>6335</v>
      </c>
    </row>
    <row r="161" ht="13.5" customHeight="1" s="186">
      <c r="A161" s="97" t="inlineStr">
        <is>
          <t>PE</t>
        </is>
      </c>
      <c r="B161" s="117" t="n">
        <v>2022</v>
      </c>
      <c r="C161" s="77" t="n">
        <v>8307</v>
      </c>
    </row>
    <row r="162" ht="13.5" customHeight="1" s="186">
      <c r="A162" s="105" t="inlineStr">
        <is>
          <t>PE</t>
        </is>
      </c>
      <c r="B162" s="119" t="n">
        <v>2023</v>
      </c>
      <c r="C162" s="78" t="n">
        <v>10</v>
      </c>
    </row>
    <row r="163" ht="13.5" customHeight="1" s="186">
      <c r="A163" s="97" t="inlineStr">
        <is>
          <t>PE</t>
        </is>
      </c>
      <c r="B163" s="117" t="n">
        <v>2024</v>
      </c>
      <c r="C163" s="76" t="n">
        <v>955</v>
      </c>
    </row>
    <row r="164" ht="13.5" customHeight="1" s="186">
      <c r="A164" s="105" t="inlineStr">
        <is>
          <t>PE</t>
        </is>
      </c>
      <c r="B164" s="119" t="n">
        <v>2025</v>
      </c>
      <c r="C164" s="79" t="n">
        <v>1515</v>
      </c>
    </row>
    <row r="165" ht="13.5" customHeight="1" s="186">
      <c r="A165" s="97" t="inlineStr">
        <is>
          <t>PI</t>
        </is>
      </c>
      <c r="B165" s="117" t="n">
        <v>2016</v>
      </c>
      <c r="C165" s="76" t="n">
        <v>37</v>
      </c>
    </row>
    <row r="166" ht="13.5" customHeight="1" s="186">
      <c r="A166" s="105" t="inlineStr">
        <is>
          <t>PI</t>
        </is>
      </c>
      <c r="B166" s="119" t="n">
        <v>2017</v>
      </c>
      <c r="C166" s="79" t="n">
        <v>112</v>
      </c>
    </row>
    <row r="167" ht="13.5" customHeight="1" s="186">
      <c r="A167" s="97" t="inlineStr">
        <is>
          <t>PI</t>
        </is>
      </c>
      <c r="B167" s="117" t="n">
        <v>2018</v>
      </c>
      <c r="C167" s="76" t="n">
        <v>129</v>
      </c>
    </row>
    <row r="168" ht="13.5" customHeight="1" s="186">
      <c r="A168" s="105" t="inlineStr">
        <is>
          <t>PI</t>
        </is>
      </c>
      <c r="B168" s="119" t="n">
        <v>2019</v>
      </c>
      <c r="C168" s="79" t="n">
        <v>288</v>
      </c>
    </row>
    <row r="169" ht="13.5" customHeight="1" s="186">
      <c r="A169" s="97" t="inlineStr">
        <is>
          <t>PI</t>
        </is>
      </c>
      <c r="B169" s="117" t="n">
        <v>2020</v>
      </c>
      <c r="C169" s="76" t="n">
        <v>462</v>
      </c>
    </row>
    <row r="170" ht="13.5" customHeight="1" s="186">
      <c r="A170" s="105" t="inlineStr">
        <is>
          <t>PI</t>
        </is>
      </c>
      <c r="B170" s="119" t="n">
        <v>2021</v>
      </c>
      <c r="C170" s="79" t="n">
        <v>1209</v>
      </c>
    </row>
    <row r="171" ht="13.5" customHeight="1" s="186">
      <c r="A171" s="97" t="inlineStr">
        <is>
          <t>PI</t>
        </is>
      </c>
      <c r="B171" s="117" t="n">
        <v>2022</v>
      </c>
      <c r="C171" s="77" t="n">
        <v>1426</v>
      </c>
    </row>
    <row r="172" ht="13.5" customHeight="1" s="186">
      <c r="A172" s="105" t="inlineStr">
        <is>
          <t>PI</t>
        </is>
      </c>
      <c r="B172" s="119" t="n">
        <v>2023</v>
      </c>
      <c r="C172" s="78" t="n">
        <v>0</v>
      </c>
    </row>
    <row r="173" ht="13.5" customHeight="1" s="186">
      <c r="A173" s="97" t="inlineStr">
        <is>
          <t>PI</t>
        </is>
      </c>
      <c r="B173" s="117" t="n">
        <v>2024</v>
      </c>
      <c r="C173" s="76" t="n">
        <v>272</v>
      </c>
    </row>
    <row r="174" ht="13.5" customHeight="1" s="186">
      <c r="A174" s="105" t="inlineStr">
        <is>
          <t>PI</t>
        </is>
      </c>
      <c r="B174" s="119" t="n">
        <v>2025</v>
      </c>
      <c r="C174" s="79" t="n">
        <v>284</v>
      </c>
    </row>
    <row r="175" ht="13.5" customHeight="1" s="186">
      <c r="A175" s="97" t="inlineStr">
        <is>
          <t>PR</t>
        </is>
      </c>
      <c r="B175" s="117" t="n">
        <v>2016</v>
      </c>
      <c r="C175" s="76" t="n">
        <v>386</v>
      </c>
    </row>
    <row r="176" ht="13.5" customHeight="1" s="186">
      <c r="A176" s="105" t="inlineStr">
        <is>
          <t>PR</t>
        </is>
      </c>
      <c r="B176" s="119" t="n">
        <v>2017</v>
      </c>
      <c r="C176" s="79" t="n">
        <v>518</v>
      </c>
    </row>
    <row r="177" ht="13.5" customHeight="1" s="186">
      <c r="A177" s="97" t="inlineStr">
        <is>
          <t>PR</t>
        </is>
      </c>
      <c r="B177" s="117" t="n">
        <v>2018</v>
      </c>
      <c r="C177" s="76" t="n">
        <v>1238</v>
      </c>
    </row>
    <row r="178" ht="13.5" customHeight="1" s="186">
      <c r="A178" s="105" t="inlineStr">
        <is>
          <t>PR</t>
        </is>
      </c>
      <c r="B178" s="119" t="n">
        <v>2019</v>
      </c>
      <c r="C178" s="79" t="n">
        <v>7341</v>
      </c>
    </row>
    <row r="179" ht="13.5" customHeight="1" s="186">
      <c r="A179" s="97" t="inlineStr">
        <is>
          <t>PR</t>
        </is>
      </c>
      <c r="B179" s="117" t="n">
        <v>2020</v>
      </c>
      <c r="C179" s="76" t="n">
        <v>17292</v>
      </c>
    </row>
    <row r="180" ht="13.5" customHeight="1" s="186">
      <c r="A180" s="105" t="inlineStr">
        <is>
          <t>PR</t>
        </is>
      </c>
      <c r="B180" s="119" t="n">
        <v>2021</v>
      </c>
      <c r="C180" s="79" t="n">
        <v>15235</v>
      </c>
    </row>
    <row r="181" ht="13.5" customHeight="1" s="186">
      <c r="A181" s="97" t="inlineStr">
        <is>
          <t>PR</t>
        </is>
      </c>
      <c r="B181" s="117" t="n">
        <v>2022</v>
      </c>
      <c r="C181" s="77" t="n">
        <v>38850</v>
      </c>
    </row>
    <row r="182" ht="13.5" customHeight="1" s="186">
      <c r="A182" s="105" t="inlineStr">
        <is>
          <t>PR</t>
        </is>
      </c>
      <c r="B182" s="119" t="n">
        <v>2023</v>
      </c>
      <c r="C182" s="78" t="n">
        <v>87</v>
      </c>
    </row>
    <row r="183" ht="13.5" customHeight="1" s="186">
      <c r="A183" s="97" t="inlineStr">
        <is>
          <t>PR</t>
        </is>
      </c>
      <c r="B183" s="117" t="n">
        <v>2024</v>
      </c>
      <c r="C183" s="76" t="n">
        <v>5326</v>
      </c>
    </row>
    <row r="184" ht="13.5" customHeight="1" s="186">
      <c r="A184" s="105" t="inlineStr">
        <is>
          <t>PR</t>
        </is>
      </c>
      <c r="B184" s="119" t="n">
        <v>2025</v>
      </c>
      <c r="C184" s="79" t="n">
        <v>7310</v>
      </c>
    </row>
    <row r="185" ht="13.5" customHeight="1" s="186">
      <c r="A185" s="97" t="inlineStr">
        <is>
          <t>RJ</t>
        </is>
      </c>
      <c r="B185" s="117" t="n">
        <v>2016</v>
      </c>
      <c r="C185" s="76" t="n">
        <v>399</v>
      </c>
    </row>
    <row r="186" ht="13.5" customHeight="1" s="186">
      <c r="A186" s="105" t="inlineStr">
        <is>
          <t>RJ</t>
        </is>
      </c>
      <c r="B186" s="119" t="n">
        <v>2017</v>
      </c>
      <c r="C186" s="79" t="n">
        <v>672</v>
      </c>
    </row>
    <row r="187" ht="13.5" customHeight="1" s="186">
      <c r="A187" s="97" t="inlineStr">
        <is>
          <t>RJ</t>
        </is>
      </c>
      <c r="B187" s="117" t="n">
        <v>2018</v>
      </c>
      <c r="C187" s="76" t="n">
        <v>1481</v>
      </c>
    </row>
    <row r="188" ht="13.5" customHeight="1" s="186">
      <c r="A188" s="105" t="inlineStr">
        <is>
          <t>RJ</t>
        </is>
      </c>
      <c r="B188" s="119" t="n">
        <v>2019</v>
      </c>
      <c r="C188" s="79" t="n">
        <v>1502</v>
      </c>
    </row>
    <row r="189" ht="13.5" customHeight="1" s="186">
      <c r="A189" s="97" t="inlineStr">
        <is>
          <t>RJ</t>
        </is>
      </c>
      <c r="B189" s="117" t="n">
        <v>2020</v>
      </c>
      <c r="C189" s="76" t="n">
        <v>3221</v>
      </c>
    </row>
    <row r="190" ht="13.5" customHeight="1" s="186">
      <c r="A190" s="105" t="inlineStr">
        <is>
          <t>RJ</t>
        </is>
      </c>
      <c r="B190" s="119" t="n">
        <v>2021</v>
      </c>
      <c r="C190" s="79" t="n">
        <v>7957</v>
      </c>
    </row>
    <row r="191" ht="13.5" customHeight="1" s="186">
      <c r="A191" s="97" t="inlineStr">
        <is>
          <t>RJ</t>
        </is>
      </c>
      <c r="B191" s="117" t="n">
        <v>2022</v>
      </c>
      <c r="C191" s="77" t="n">
        <v>14706</v>
      </c>
    </row>
    <row r="192" ht="13.5" customHeight="1" s="186">
      <c r="A192" s="105" t="inlineStr">
        <is>
          <t>RJ</t>
        </is>
      </c>
      <c r="B192" s="119" t="n">
        <v>2023</v>
      </c>
      <c r="C192" s="78" t="n">
        <v>49</v>
      </c>
    </row>
    <row r="193" ht="13.5" customHeight="1" s="186">
      <c r="A193" s="97" t="inlineStr">
        <is>
          <t>RJ</t>
        </is>
      </c>
      <c r="B193" s="117" t="n">
        <v>2024</v>
      </c>
      <c r="C193" s="76" t="n">
        <v>2736</v>
      </c>
    </row>
    <row r="194" ht="13.5" customHeight="1" s="186">
      <c r="A194" s="105" t="inlineStr">
        <is>
          <t>RJ</t>
        </is>
      </c>
      <c r="B194" s="119" t="n">
        <v>2025</v>
      </c>
      <c r="C194" s="79" t="n">
        <v>5065</v>
      </c>
    </row>
    <row r="195" ht="13.5" customHeight="1" s="186">
      <c r="A195" s="97" t="inlineStr">
        <is>
          <t>RN</t>
        </is>
      </c>
      <c r="B195" s="117" t="n">
        <v>2016</v>
      </c>
      <c r="C195" s="76" t="n">
        <v>76</v>
      </c>
    </row>
    <row r="196" ht="13.5" customHeight="1" s="186">
      <c r="A196" s="105" t="inlineStr">
        <is>
          <t>RN</t>
        </is>
      </c>
      <c r="B196" s="119" t="n">
        <v>2017</v>
      </c>
      <c r="C196" s="79" t="n">
        <v>78</v>
      </c>
    </row>
    <row r="197" ht="13.5" customHeight="1" s="186">
      <c r="A197" s="97" t="inlineStr">
        <is>
          <t>RN</t>
        </is>
      </c>
      <c r="B197" s="117" t="n">
        <v>2018</v>
      </c>
      <c r="C197" s="76" t="n">
        <v>107</v>
      </c>
    </row>
    <row r="198" ht="13.5" customHeight="1" s="186">
      <c r="A198" s="105" t="inlineStr">
        <is>
          <t>RN</t>
        </is>
      </c>
      <c r="B198" s="119" t="n">
        <v>2019</v>
      </c>
      <c r="C198" s="79" t="n">
        <v>939</v>
      </c>
    </row>
    <row r="199" ht="13.5" customHeight="1" s="186">
      <c r="A199" s="97" t="inlineStr">
        <is>
          <t>RN</t>
        </is>
      </c>
      <c r="B199" s="117" t="n">
        <v>2020</v>
      </c>
      <c r="C199" s="76" t="n">
        <v>1181</v>
      </c>
    </row>
    <row r="200" ht="13.5" customHeight="1" s="186">
      <c r="A200" s="105" t="inlineStr">
        <is>
          <t>RN</t>
        </is>
      </c>
      <c r="B200" s="119" t="n">
        <v>2021</v>
      </c>
      <c r="C200" s="79" t="n">
        <v>1932</v>
      </c>
    </row>
    <row r="201" ht="13.5" customHeight="1" s="186">
      <c r="A201" s="97" t="inlineStr">
        <is>
          <t>RN</t>
        </is>
      </c>
      <c r="B201" s="117" t="n">
        <v>2022</v>
      </c>
      <c r="C201" s="77" t="n">
        <v>2477</v>
      </c>
    </row>
    <row r="202" ht="13.5" customHeight="1" s="186">
      <c r="A202" s="105" t="inlineStr">
        <is>
          <t>RN</t>
        </is>
      </c>
      <c r="B202" s="119" t="n">
        <v>2023</v>
      </c>
      <c r="C202" s="78" t="n">
        <v>3</v>
      </c>
    </row>
    <row r="203" ht="13.5" customHeight="1" s="186">
      <c r="A203" s="97" t="inlineStr">
        <is>
          <t>RN</t>
        </is>
      </c>
      <c r="B203" s="117" t="n">
        <v>2024</v>
      </c>
      <c r="C203" s="76" t="n">
        <v>652</v>
      </c>
    </row>
    <row r="204" ht="13.5" customHeight="1" s="186">
      <c r="A204" s="105" t="inlineStr">
        <is>
          <t>RN</t>
        </is>
      </c>
      <c r="B204" s="119" t="n">
        <v>2025</v>
      </c>
      <c r="C204" s="79" t="n">
        <v>564</v>
      </c>
    </row>
    <row r="205" ht="13.5" customHeight="1" s="186">
      <c r="A205" s="97" t="inlineStr">
        <is>
          <t>RO</t>
        </is>
      </c>
      <c r="B205" s="117" t="n">
        <v>2016</v>
      </c>
      <c r="C205" s="76" t="n">
        <v>84</v>
      </c>
    </row>
    <row r="206" ht="13.5" customHeight="1" s="186">
      <c r="A206" s="105" t="inlineStr">
        <is>
          <t>RO</t>
        </is>
      </c>
      <c r="B206" s="119" t="n">
        <v>2017</v>
      </c>
      <c r="C206" s="79" t="n">
        <v>88</v>
      </c>
    </row>
    <row r="207" ht="13.5" customHeight="1" s="186">
      <c r="A207" s="97" t="inlineStr">
        <is>
          <t>RO</t>
        </is>
      </c>
      <c r="B207" s="117" t="n">
        <v>2018</v>
      </c>
      <c r="C207" s="76" t="n">
        <v>207</v>
      </c>
    </row>
    <row r="208" ht="13.5" customHeight="1" s="186">
      <c r="A208" s="105" t="inlineStr">
        <is>
          <t>RO</t>
        </is>
      </c>
      <c r="B208" s="119" t="n">
        <v>2019</v>
      </c>
      <c r="C208" s="79" t="n">
        <v>956</v>
      </c>
    </row>
    <row r="209" ht="13.5" customHeight="1" s="186">
      <c r="A209" s="97" t="inlineStr">
        <is>
          <t>RO</t>
        </is>
      </c>
      <c r="B209" s="117" t="n">
        <v>2020</v>
      </c>
      <c r="C209" s="76" t="n">
        <v>1899</v>
      </c>
    </row>
    <row r="210" ht="13.5" customHeight="1" s="186">
      <c r="A210" s="105" t="inlineStr">
        <is>
          <t>RO</t>
        </is>
      </c>
      <c r="B210" s="119" t="n">
        <v>2021</v>
      </c>
      <c r="C210" s="79" t="n">
        <v>3543</v>
      </c>
    </row>
    <row r="211" ht="13.5" customHeight="1" s="186">
      <c r="A211" s="97" t="inlineStr">
        <is>
          <t>RO</t>
        </is>
      </c>
      <c r="B211" s="117" t="n">
        <v>2022</v>
      </c>
      <c r="C211" s="77" t="n">
        <v>5550</v>
      </c>
    </row>
    <row r="212" ht="13.5" customHeight="1" s="186">
      <c r="A212" s="105" t="inlineStr">
        <is>
          <t>RO</t>
        </is>
      </c>
      <c r="B212" s="119" t="n">
        <v>2023</v>
      </c>
      <c r="C212" s="78" t="n">
        <v>8</v>
      </c>
    </row>
    <row r="213" ht="13.5" customHeight="1" s="186">
      <c r="A213" s="97" t="inlineStr">
        <is>
          <t>RO</t>
        </is>
      </c>
      <c r="B213" s="117" t="n">
        <v>2024</v>
      </c>
      <c r="C213" s="76" t="n">
        <v>378</v>
      </c>
    </row>
    <row r="214" ht="13.5" customHeight="1" s="186">
      <c r="A214" s="105" t="inlineStr">
        <is>
          <t>RO</t>
        </is>
      </c>
      <c r="B214" s="119" t="n">
        <v>2025</v>
      </c>
      <c r="C214" s="79" t="n">
        <v>650</v>
      </c>
    </row>
    <row r="215" ht="13.5" customHeight="1" s="186">
      <c r="A215" s="97" t="inlineStr">
        <is>
          <t>RR</t>
        </is>
      </c>
      <c r="B215" s="117" t="n">
        <v>2016</v>
      </c>
      <c r="C215" s="76" t="n">
        <v>0</v>
      </c>
    </row>
    <row r="216" ht="13.5" customHeight="1" s="186">
      <c r="A216" s="105" t="inlineStr">
        <is>
          <t>RR</t>
        </is>
      </c>
      <c r="B216" s="119" t="n">
        <v>2017</v>
      </c>
      <c r="C216" s="79" t="n">
        <v>7</v>
      </c>
    </row>
    <row r="217" ht="13.5" customHeight="1" s="186">
      <c r="A217" s="97" t="inlineStr">
        <is>
          <t>RR</t>
        </is>
      </c>
      <c r="B217" s="117" t="n">
        <v>2018</v>
      </c>
      <c r="C217" s="76" t="n">
        <v>16</v>
      </c>
    </row>
    <row r="218" ht="13.5" customHeight="1" s="186">
      <c r="A218" s="105" t="inlineStr">
        <is>
          <t>RR</t>
        </is>
      </c>
      <c r="B218" s="119" t="n">
        <v>2019</v>
      </c>
      <c r="C218" s="79" t="n">
        <v>63</v>
      </c>
    </row>
    <row r="219" ht="13.5" customHeight="1" s="186">
      <c r="A219" s="97" t="inlineStr">
        <is>
          <t>RR</t>
        </is>
      </c>
      <c r="B219" s="117" t="n">
        <v>2020</v>
      </c>
      <c r="C219" s="76" t="n">
        <v>104</v>
      </c>
    </row>
    <row r="220" ht="13.5" customHeight="1" s="186">
      <c r="A220" s="105" t="inlineStr">
        <is>
          <t>RR</t>
        </is>
      </c>
      <c r="B220" s="119" t="n">
        <v>2021</v>
      </c>
      <c r="C220" s="79" t="n">
        <v>241</v>
      </c>
    </row>
    <row r="221" ht="13.5" customHeight="1" s="186">
      <c r="A221" s="97" t="inlineStr">
        <is>
          <t>RR</t>
        </is>
      </c>
      <c r="B221" s="117" t="n">
        <v>2022</v>
      </c>
      <c r="C221" s="77" t="n">
        <v>515</v>
      </c>
    </row>
    <row r="222" ht="13.5" customHeight="1" s="186">
      <c r="A222" s="105" t="inlineStr">
        <is>
          <t>RR</t>
        </is>
      </c>
      <c r="B222" s="119" t="n">
        <v>2023</v>
      </c>
      <c r="C222" s="78" t="n">
        <v>6</v>
      </c>
    </row>
    <row r="223" ht="13.5" customHeight="1" s="186">
      <c r="A223" s="97" t="inlineStr">
        <is>
          <t>RR</t>
        </is>
      </c>
      <c r="B223" s="117" t="n">
        <v>2024</v>
      </c>
      <c r="C223" s="76" t="n">
        <v>56</v>
      </c>
    </row>
    <row r="224" ht="13.5" customHeight="1" s="186">
      <c r="A224" s="105" t="inlineStr">
        <is>
          <t>RR</t>
        </is>
      </c>
      <c r="B224" s="119" t="n">
        <v>2025</v>
      </c>
      <c r="C224" s="79" t="n">
        <v>47</v>
      </c>
    </row>
    <row r="225" ht="13.5" customHeight="1" s="186">
      <c r="A225" s="97" t="inlineStr">
        <is>
          <t>RS</t>
        </is>
      </c>
      <c r="B225" s="117" t="n">
        <v>2016</v>
      </c>
      <c r="C225" s="76" t="n">
        <v>863</v>
      </c>
    </row>
    <row r="226" ht="13.5" customHeight="1" s="186">
      <c r="A226" s="105" t="inlineStr">
        <is>
          <t>RS</t>
        </is>
      </c>
      <c r="B226" s="119" t="n">
        <v>2017</v>
      </c>
      <c r="C226" s="79" t="n">
        <v>1460</v>
      </c>
    </row>
    <row r="227" ht="13.5" customHeight="1" s="186">
      <c r="A227" s="97" t="inlineStr">
        <is>
          <t>RS</t>
        </is>
      </c>
      <c r="B227" s="117" t="n">
        <v>2018</v>
      </c>
      <c r="C227" s="76" t="n">
        <v>2059</v>
      </c>
    </row>
    <row r="228" ht="13.5" customHeight="1" s="186">
      <c r="A228" s="105" t="inlineStr">
        <is>
          <t>RS</t>
        </is>
      </c>
      <c r="B228" s="119" t="n">
        <v>2019</v>
      </c>
      <c r="C228" s="79" t="n">
        <v>10957</v>
      </c>
    </row>
    <row r="229" ht="13.5" customHeight="1" s="186">
      <c r="A229" s="97" t="inlineStr">
        <is>
          <t>RS</t>
        </is>
      </c>
      <c r="B229" s="117" t="n">
        <v>2020</v>
      </c>
      <c r="C229" s="76" t="n">
        <v>15875</v>
      </c>
    </row>
    <row r="230" ht="13.5" customHeight="1" s="186">
      <c r="A230" s="105" t="inlineStr">
        <is>
          <t>RS</t>
        </is>
      </c>
      <c r="B230" s="119" t="n">
        <v>2021</v>
      </c>
      <c r="C230" s="79" t="n">
        <v>24668</v>
      </c>
    </row>
    <row r="231" ht="13.5" customHeight="1" s="186">
      <c r="A231" s="97" t="inlineStr">
        <is>
          <t>RS</t>
        </is>
      </c>
      <c r="B231" s="117" t="n">
        <v>2022</v>
      </c>
      <c r="C231" s="77" t="n">
        <v>29744</v>
      </c>
    </row>
    <row r="232" ht="13.5" customHeight="1" s="186">
      <c r="A232" s="105" t="inlineStr">
        <is>
          <t>RS</t>
        </is>
      </c>
      <c r="B232" s="119" t="n">
        <v>2023</v>
      </c>
      <c r="C232" s="78" t="n">
        <v>150</v>
      </c>
    </row>
    <row r="233" ht="13.5" customHeight="1" s="186">
      <c r="A233" s="97" t="inlineStr">
        <is>
          <t>RS</t>
        </is>
      </c>
      <c r="B233" s="117" t="n">
        <v>2024</v>
      </c>
      <c r="C233" s="76" t="n">
        <v>5362</v>
      </c>
    </row>
    <row r="234" ht="13.5" customHeight="1" s="186">
      <c r="A234" s="105" t="inlineStr">
        <is>
          <t>RS</t>
        </is>
      </c>
      <c r="B234" s="119" t="n">
        <v>2025</v>
      </c>
      <c r="C234" s="79" t="n">
        <v>4808</v>
      </c>
    </row>
    <row r="235" ht="13.5" customHeight="1" s="186">
      <c r="A235" s="97" t="inlineStr">
        <is>
          <t>SC</t>
        </is>
      </c>
      <c r="B235" s="117" t="n">
        <v>2016</v>
      </c>
      <c r="C235" s="76" t="n">
        <v>435</v>
      </c>
    </row>
    <row r="236" ht="13.5" customHeight="1" s="186">
      <c r="A236" s="105" t="inlineStr">
        <is>
          <t>SC</t>
        </is>
      </c>
      <c r="B236" s="119" t="n">
        <v>2017</v>
      </c>
      <c r="C236" s="79" t="n">
        <v>500</v>
      </c>
    </row>
    <row r="237" ht="13.5" customHeight="1" s="186">
      <c r="A237" s="97" t="inlineStr">
        <is>
          <t>SC</t>
        </is>
      </c>
      <c r="B237" s="117" t="n">
        <v>2018</v>
      </c>
      <c r="C237" s="76" t="n">
        <v>1043</v>
      </c>
    </row>
    <row r="238" ht="13.5" customHeight="1" s="186">
      <c r="A238" s="105" t="inlineStr">
        <is>
          <t>SC</t>
        </is>
      </c>
      <c r="B238" s="119" t="n">
        <v>2019</v>
      </c>
      <c r="C238" s="79" t="n">
        <v>7220</v>
      </c>
    </row>
    <row r="239" ht="13.5" customHeight="1" s="186">
      <c r="A239" s="97" t="inlineStr">
        <is>
          <t>SC</t>
        </is>
      </c>
      <c r="B239" s="117" t="n">
        <v>2020</v>
      </c>
      <c r="C239" s="76" t="n">
        <v>13006</v>
      </c>
    </row>
    <row r="240" ht="13.5" customHeight="1" s="186">
      <c r="A240" s="105" t="inlineStr">
        <is>
          <t>SC</t>
        </is>
      </c>
      <c r="B240" s="119" t="n">
        <v>2021</v>
      </c>
      <c r="C240" s="79" t="n">
        <v>11286</v>
      </c>
    </row>
    <row r="241" ht="13.5" customHeight="1" s="186">
      <c r="A241" s="97" t="inlineStr">
        <is>
          <t>SC</t>
        </is>
      </c>
      <c r="B241" s="117" t="n">
        <v>2022</v>
      </c>
      <c r="C241" s="77" t="n">
        <v>28247</v>
      </c>
    </row>
    <row r="242" ht="13.5" customHeight="1" s="186">
      <c r="A242" s="105" t="inlineStr">
        <is>
          <t>SC</t>
        </is>
      </c>
      <c r="B242" s="119" t="n">
        <v>2023</v>
      </c>
      <c r="C242" s="78" t="n">
        <v>74</v>
      </c>
    </row>
    <row r="243" ht="13.5" customHeight="1" s="186">
      <c r="A243" s="97" t="inlineStr">
        <is>
          <t>SC</t>
        </is>
      </c>
      <c r="B243" s="117" t="n">
        <v>2024</v>
      </c>
      <c r="C243" s="76" t="n">
        <v>5865</v>
      </c>
    </row>
    <row r="244" ht="13.5" customHeight="1" s="186">
      <c r="A244" s="105" t="inlineStr">
        <is>
          <t>SC</t>
        </is>
      </c>
      <c r="B244" s="119" t="n">
        <v>2025</v>
      </c>
      <c r="C244" s="79" t="n">
        <v>5749</v>
      </c>
    </row>
    <row r="245" ht="13.5" customHeight="1" s="186">
      <c r="A245" s="97" t="inlineStr">
        <is>
          <t>SE</t>
        </is>
      </c>
      <c r="B245" s="117" t="n">
        <v>2016</v>
      </c>
      <c r="C245" s="76" t="n">
        <v>55</v>
      </c>
    </row>
    <row r="246" ht="13.5" customHeight="1" s="186">
      <c r="A246" s="105" t="inlineStr">
        <is>
          <t>SE</t>
        </is>
      </c>
      <c r="B246" s="119" t="n">
        <v>2017</v>
      </c>
      <c r="C246" s="79" t="n">
        <v>86</v>
      </c>
    </row>
    <row r="247" ht="13.5" customHeight="1" s="186">
      <c r="A247" s="97" t="inlineStr">
        <is>
          <t>SE</t>
        </is>
      </c>
      <c r="B247" s="117" t="n">
        <v>2018</v>
      </c>
      <c r="C247" s="76" t="n">
        <v>94</v>
      </c>
    </row>
    <row r="248" ht="13.5" customHeight="1" s="186">
      <c r="A248" s="105" t="inlineStr">
        <is>
          <t>SE</t>
        </is>
      </c>
      <c r="B248" s="119" t="n">
        <v>2019</v>
      </c>
      <c r="C248" s="79" t="n">
        <v>364</v>
      </c>
    </row>
    <row r="249" ht="13.5" customHeight="1" s="186">
      <c r="A249" s="97" t="inlineStr">
        <is>
          <t>SE</t>
        </is>
      </c>
      <c r="B249" s="117" t="n">
        <v>2020</v>
      </c>
      <c r="C249" s="76" t="n">
        <v>619</v>
      </c>
    </row>
    <row r="250" ht="13.5" customHeight="1" s="186">
      <c r="A250" s="105" t="inlineStr">
        <is>
          <t>SE</t>
        </is>
      </c>
      <c r="B250" s="119" t="n">
        <v>2021</v>
      </c>
      <c r="C250" s="79" t="n">
        <v>1003</v>
      </c>
    </row>
    <row r="251" ht="13.5" customHeight="1" s="186">
      <c r="A251" s="97" t="inlineStr">
        <is>
          <t>SE</t>
        </is>
      </c>
      <c r="B251" s="117" t="n">
        <v>2022</v>
      </c>
      <c r="C251" s="77" t="n">
        <v>1048</v>
      </c>
    </row>
    <row r="252" ht="13.5" customHeight="1" s="186">
      <c r="A252" s="105" t="inlineStr">
        <is>
          <t>SE</t>
        </is>
      </c>
      <c r="B252" s="119" t="n">
        <v>2023</v>
      </c>
      <c r="C252" s="78" t="n">
        <v>1</v>
      </c>
    </row>
    <row r="253" ht="13.5" customHeight="1" s="186">
      <c r="A253" s="97" t="inlineStr">
        <is>
          <t>SE</t>
        </is>
      </c>
      <c r="B253" s="117" t="n">
        <v>2024</v>
      </c>
      <c r="C253" s="76" t="n">
        <v>24</v>
      </c>
    </row>
    <row r="254" ht="13.5" customHeight="1" s="186">
      <c r="A254" s="105" t="inlineStr">
        <is>
          <t>SE</t>
        </is>
      </c>
      <c r="B254" s="119" t="n">
        <v>2025</v>
      </c>
      <c r="C254" s="79" t="n">
        <v>467</v>
      </c>
    </row>
    <row r="255" ht="13.5" customHeight="1" s="186">
      <c r="A255" s="97" t="inlineStr">
        <is>
          <t>SP</t>
        </is>
      </c>
      <c r="B255" s="117" t="n">
        <v>2016</v>
      </c>
      <c r="C255" s="76" t="n">
        <v>1994</v>
      </c>
    </row>
    <row r="256" ht="13.5" customHeight="1" s="186">
      <c r="A256" s="105" t="inlineStr">
        <is>
          <t>SP</t>
        </is>
      </c>
      <c r="B256" s="119" t="n">
        <v>2017</v>
      </c>
      <c r="C256" s="79" t="n">
        <v>3248</v>
      </c>
    </row>
    <row r="257" ht="13.5" customHeight="1" s="186">
      <c r="A257" s="97" t="inlineStr">
        <is>
          <t>SP</t>
        </is>
      </c>
      <c r="B257" s="117" t="n">
        <v>2018</v>
      </c>
      <c r="C257" s="76" t="n">
        <v>4559</v>
      </c>
    </row>
    <row r="258" ht="13.5" customHeight="1" s="186">
      <c r="A258" s="105" t="inlineStr">
        <is>
          <t>SP</t>
        </is>
      </c>
      <c r="B258" s="119" t="n">
        <v>2019</v>
      </c>
      <c r="C258" s="79" t="n">
        <v>24737</v>
      </c>
    </row>
    <row r="259" ht="13.5" customHeight="1" s="186">
      <c r="A259" s="97" t="inlineStr">
        <is>
          <t>SP</t>
        </is>
      </c>
      <c r="B259" s="117" t="n">
        <v>2020</v>
      </c>
      <c r="C259" s="76" t="n">
        <v>23416</v>
      </c>
    </row>
    <row r="260" ht="13.5" customHeight="1" s="186">
      <c r="A260" s="105" t="inlineStr">
        <is>
          <t>SP</t>
        </is>
      </c>
      <c r="B260" s="119" t="n">
        <v>2021</v>
      </c>
      <c r="C260" s="79" t="n">
        <v>60194</v>
      </c>
    </row>
    <row r="261" ht="13.5" customHeight="1" s="186">
      <c r="A261" s="97" t="inlineStr">
        <is>
          <t>SP</t>
        </is>
      </c>
      <c r="B261" s="117" t="n">
        <v>2022</v>
      </c>
      <c r="C261" s="77" t="n">
        <v>84719</v>
      </c>
    </row>
    <row r="262" ht="13.5" customHeight="1" s="186">
      <c r="A262" s="105" t="inlineStr">
        <is>
          <t>SP</t>
        </is>
      </c>
      <c r="B262" s="119" t="n">
        <v>2023</v>
      </c>
      <c r="C262" s="78" t="n">
        <v>196</v>
      </c>
    </row>
    <row r="263" ht="13.5" customHeight="1" s="186">
      <c r="A263" s="97" t="inlineStr">
        <is>
          <t>SP</t>
        </is>
      </c>
      <c r="B263" s="117" t="n">
        <v>2024</v>
      </c>
      <c r="C263" s="76" t="n">
        <v>27463</v>
      </c>
    </row>
    <row r="264" ht="13.5" customHeight="1" s="186">
      <c r="A264" s="105" t="inlineStr">
        <is>
          <t>SP</t>
        </is>
      </c>
      <c r="B264" s="119" t="n">
        <v>2025</v>
      </c>
      <c r="C264" s="79" t="n">
        <v>22670</v>
      </c>
    </row>
    <row r="265" ht="13.5" customHeight="1" s="186">
      <c r="A265" s="97" t="inlineStr">
        <is>
          <t>TO</t>
        </is>
      </c>
      <c r="B265" s="117" t="n">
        <v>2016</v>
      </c>
      <c r="C265" s="76" t="n">
        <v>59</v>
      </c>
    </row>
    <row r="266" ht="13.5" customHeight="1" s="186">
      <c r="A266" s="105" t="inlineStr">
        <is>
          <t>TO</t>
        </is>
      </c>
      <c r="B266" s="119" t="n">
        <v>2017</v>
      </c>
      <c r="C266" s="79" t="n">
        <v>58</v>
      </c>
    </row>
    <row r="267" ht="13.5" customHeight="1" s="186">
      <c r="A267" s="97" t="inlineStr">
        <is>
          <t>TO</t>
        </is>
      </c>
      <c r="B267" s="117" t="n">
        <v>2018</v>
      </c>
      <c r="C267" s="76" t="n">
        <v>103</v>
      </c>
    </row>
    <row r="268" ht="13.5" customHeight="1" s="186">
      <c r="A268" s="105" t="inlineStr">
        <is>
          <t>TO</t>
        </is>
      </c>
      <c r="B268" s="119" t="n">
        <v>2019</v>
      </c>
      <c r="C268" s="79" t="n">
        <v>432</v>
      </c>
    </row>
    <row r="269" ht="13.5" customHeight="1" s="186">
      <c r="A269" s="97" t="inlineStr">
        <is>
          <t>TO</t>
        </is>
      </c>
      <c r="B269" s="117" t="n">
        <v>2020</v>
      </c>
      <c r="C269" s="76" t="n">
        <v>753</v>
      </c>
    </row>
    <row r="270" ht="13.5" customHeight="1" s="186">
      <c r="A270" s="105" t="inlineStr">
        <is>
          <t>TO</t>
        </is>
      </c>
      <c r="B270" s="119" t="n">
        <v>2021</v>
      </c>
      <c r="C270" s="79" t="n">
        <v>1622</v>
      </c>
    </row>
    <row r="271" ht="13.5" customHeight="1" s="186">
      <c r="A271" s="97" t="inlineStr">
        <is>
          <t>TO</t>
        </is>
      </c>
      <c r="B271" s="117" t="n">
        <v>2022</v>
      </c>
      <c r="C271" s="77" t="n">
        <v>3056</v>
      </c>
    </row>
    <row r="272" ht="13.5" customHeight="1" s="186">
      <c r="A272" s="105" t="inlineStr">
        <is>
          <t>TO</t>
        </is>
      </c>
      <c r="B272" s="119" t="n">
        <v>2023</v>
      </c>
      <c r="C272" s="78" t="n">
        <v>5</v>
      </c>
    </row>
    <row r="273" ht="13.5" customHeight="1" s="186">
      <c r="A273" s="97" t="inlineStr">
        <is>
          <t>TO</t>
        </is>
      </c>
      <c r="B273" s="117" t="n">
        <v>2024</v>
      </c>
      <c r="C273" s="76" t="n">
        <v>652</v>
      </c>
    </row>
    <row r="274" ht="13.5" customHeight="1" s="186">
      <c r="A274" s="105" t="inlineStr">
        <is>
          <t>TO</t>
        </is>
      </c>
      <c r="B274" s="119" t="n">
        <v>2025</v>
      </c>
      <c r="C274" s="79" t="n">
        <v>819</v>
      </c>
    </row>
    <row r="275" ht="31.5" customHeight="1" s="186">
      <c r="A275" s="197" t="inlineStr">
        <is>
          <t>COMO IMPORTAR: df = pd.read_excel('Base_CAC_UF_Ano_2016_2025.xlsx', sheet_name='dados_crs', header=2)  |  270 obs. (27 UFs × 10 anos). Verde = 2022 (pico). Vermelho = 2023 (colapso -99,7%). Para painel 2016–2023: df = df[df['ano'] &lt;= 2023]</t>
        </is>
      </c>
    </row>
  </sheetData>
  <mergeCells count="3">
    <mergeCell ref="A1:C1"/>
    <mergeCell ref="A275:C275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8" customWidth="1" style="186" min="3" max="23"/>
  </cols>
  <sheetData>
    <row r="1" ht="19.5" customHeight="1" s="186">
      <c r="B1" s="196" t="inlineStr">
        <is>
          <t>CRs Emitidos por UF e Ano (2005–2025) — Série Expandida</t>
        </is>
      </c>
    </row>
    <row r="2" ht="12.75" customHeight="1" s="186">
      <c r="B2" s="198" t="inlineStr">
        <is>
          <t>Fonte: Dashboard PF/Exército — SINARM/CAC (extração manual screenshots, jul/2025). CSV em desenvolvimento pela PF.</t>
        </is>
      </c>
    </row>
    <row r="3" ht="19.5" customHeight="1" s="186">
      <c r="B3" s="145" t="inlineStr">
        <is>
          <t>UF</t>
        </is>
      </c>
      <c r="C3" s="147" t="inlineStr">
        <is>
          <t>2005</t>
        </is>
      </c>
      <c r="D3" s="147" t="inlineStr">
        <is>
          <t>2006</t>
        </is>
      </c>
      <c r="E3" s="147" t="inlineStr">
        <is>
          <t>2007</t>
        </is>
      </c>
      <c r="F3" s="147" t="inlineStr">
        <is>
          <t>2008</t>
        </is>
      </c>
      <c r="G3" s="147" t="inlineStr">
        <is>
          <t>2009</t>
        </is>
      </c>
      <c r="H3" s="147" t="inlineStr">
        <is>
          <t>2010</t>
        </is>
      </c>
      <c r="I3" s="147" t="inlineStr">
        <is>
          <t>2011</t>
        </is>
      </c>
      <c r="J3" s="147" t="inlineStr">
        <is>
          <t>2012</t>
        </is>
      </c>
      <c r="K3" s="147" t="inlineStr">
        <is>
          <t>2013</t>
        </is>
      </c>
      <c r="L3" s="147" t="inlineStr">
        <is>
          <t>2014</t>
        </is>
      </c>
      <c r="M3" s="147" t="inlineStr">
        <is>
          <t>2015</t>
        </is>
      </c>
      <c r="N3" s="148" t="inlineStr">
        <is>
          <t>2016</t>
        </is>
      </c>
      <c r="O3" s="148" t="inlineStr">
        <is>
          <t>2017</t>
        </is>
      </c>
      <c r="P3" s="148" t="inlineStr">
        <is>
          <t>2018</t>
        </is>
      </c>
      <c r="Q3" s="148" t="inlineStr">
        <is>
          <t>2019</t>
        </is>
      </c>
      <c r="R3" s="148" t="inlineStr">
        <is>
          <t>2020</t>
        </is>
      </c>
      <c r="S3" s="148" t="inlineStr">
        <is>
          <t>2021</t>
        </is>
      </c>
      <c r="T3" s="149" t="inlineStr">
        <is>
          <t>2022</t>
        </is>
      </c>
      <c r="U3" s="150" t="inlineStr">
        <is>
          <t>2023</t>
        </is>
      </c>
      <c r="V3" s="148" t="inlineStr">
        <is>
          <t>2024</t>
        </is>
      </c>
      <c r="W3" s="148" t="inlineStr">
        <is>
          <t>2025</t>
        </is>
      </c>
    </row>
    <row r="4" ht="13.5" customHeight="1" s="186">
      <c r="B4" s="97" t="inlineStr">
        <is>
          <t>AC</t>
        </is>
      </c>
      <c r="C4" s="124" t="n">
        <v>0</v>
      </c>
      <c r="D4" s="124" t="n">
        <v>1</v>
      </c>
      <c r="E4" s="124" t="n">
        <v>0</v>
      </c>
      <c r="F4" s="124" t="n">
        <v>0</v>
      </c>
      <c r="G4" s="124" t="n">
        <v>0</v>
      </c>
      <c r="H4" s="124" t="n">
        <v>0</v>
      </c>
      <c r="I4" s="124" t="n">
        <v>0</v>
      </c>
      <c r="J4" s="124" t="n">
        <v>0</v>
      </c>
      <c r="K4" s="124" t="n">
        <v>2</v>
      </c>
      <c r="L4" s="124" t="n">
        <v>0</v>
      </c>
      <c r="M4" s="124" t="n">
        <v>0</v>
      </c>
      <c r="N4" s="76" t="n">
        <v>10</v>
      </c>
      <c r="O4" s="76" t="n">
        <v>23</v>
      </c>
      <c r="P4" s="76" t="n">
        <v>66</v>
      </c>
      <c r="Q4" s="76" t="n">
        <v>159</v>
      </c>
      <c r="R4" s="76" t="n">
        <v>337</v>
      </c>
      <c r="S4" s="76" t="n">
        <v>544</v>
      </c>
      <c r="T4" s="77" t="n">
        <v>605</v>
      </c>
      <c r="U4" s="78" t="n">
        <v>1</v>
      </c>
      <c r="V4" s="76" t="n">
        <v>39</v>
      </c>
      <c r="W4" s="76" t="n">
        <v>99</v>
      </c>
    </row>
    <row r="5" ht="13.5" customHeight="1" s="186">
      <c r="B5" s="105" t="inlineStr">
        <is>
          <t>AL</t>
        </is>
      </c>
      <c r="C5" s="151" t="n">
        <v>2</v>
      </c>
      <c r="D5" s="151" t="n">
        <v>0</v>
      </c>
      <c r="E5" s="151" t="n">
        <v>0</v>
      </c>
      <c r="F5" s="151" t="n">
        <v>2</v>
      </c>
      <c r="G5" s="151" t="n">
        <v>3</v>
      </c>
      <c r="H5" s="151" t="n">
        <v>8</v>
      </c>
      <c r="I5" s="151" t="n">
        <v>11</v>
      </c>
      <c r="J5" s="151" t="n">
        <v>15</v>
      </c>
      <c r="K5" s="151" t="n">
        <v>9</v>
      </c>
      <c r="L5" s="151" t="n">
        <v>6</v>
      </c>
      <c r="M5" s="151" t="n">
        <v>1</v>
      </c>
      <c r="N5" s="79" t="n">
        <v>27</v>
      </c>
      <c r="O5" s="79" t="n">
        <v>77</v>
      </c>
      <c r="P5" s="79" t="n">
        <v>121</v>
      </c>
      <c r="Q5" s="79" t="n">
        <v>722</v>
      </c>
      <c r="R5" s="79" t="n">
        <v>1261</v>
      </c>
      <c r="S5" s="79" t="n">
        <v>2587</v>
      </c>
      <c r="T5" s="77" t="n">
        <v>3488</v>
      </c>
      <c r="U5" s="78" t="n">
        <v>4</v>
      </c>
      <c r="V5" s="79" t="n">
        <v>532</v>
      </c>
      <c r="W5" s="79" t="n">
        <v>756</v>
      </c>
    </row>
    <row r="6" ht="13.5" customHeight="1" s="186">
      <c r="B6" s="97" t="inlineStr">
        <is>
          <t>AM</t>
        </is>
      </c>
      <c r="C6" s="124" t="n">
        <v>11</v>
      </c>
      <c r="D6" s="124" t="n">
        <v>6</v>
      </c>
      <c r="E6" s="124" t="n">
        <v>14</v>
      </c>
      <c r="F6" s="124" t="n">
        <v>9</v>
      </c>
      <c r="G6" s="124" t="n">
        <v>25</v>
      </c>
      <c r="H6" s="124" t="n">
        <v>16</v>
      </c>
      <c r="I6" s="124" t="n">
        <v>19</v>
      </c>
      <c r="J6" s="124" t="n">
        <v>31</v>
      </c>
      <c r="K6" s="124" t="n">
        <v>16</v>
      </c>
      <c r="L6" s="124" t="n">
        <v>5</v>
      </c>
      <c r="M6" s="124" t="n">
        <v>16</v>
      </c>
      <c r="N6" s="76" t="n">
        <v>20</v>
      </c>
      <c r="O6" s="76" t="n">
        <v>88</v>
      </c>
      <c r="P6" s="76" t="n">
        <v>192</v>
      </c>
      <c r="Q6" s="76" t="n">
        <v>397</v>
      </c>
      <c r="R6" s="76" t="n">
        <v>1067</v>
      </c>
      <c r="S6" s="76" t="n">
        <v>2142</v>
      </c>
      <c r="T6" s="77" t="n">
        <v>4005</v>
      </c>
      <c r="U6" s="78" t="n">
        <v>16</v>
      </c>
      <c r="V6" s="76" t="n">
        <v>122</v>
      </c>
      <c r="W6" s="76" t="n">
        <v>232</v>
      </c>
    </row>
    <row r="7" ht="13.5" customHeight="1" s="186">
      <c r="B7" s="105" t="inlineStr">
        <is>
          <t>AP</t>
        </is>
      </c>
      <c r="C7" s="151" t="n">
        <v>0</v>
      </c>
      <c r="D7" s="151" t="n">
        <v>0</v>
      </c>
      <c r="E7" s="151" t="n">
        <v>0</v>
      </c>
      <c r="F7" s="151" t="n">
        <v>0</v>
      </c>
      <c r="G7" s="151" t="n">
        <v>0</v>
      </c>
      <c r="H7" s="151" t="n">
        <v>0</v>
      </c>
      <c r="I7" s="151" t="n">
        <v>1</v>
      </c>
      <c r="J7" s="151" t="n">
        <v>1</v>
      </c>
      <c r="K7" s="151" t="n">
        <v>1</v>
      </c>
      <c r="L7" s="151" t="n">
        <v>0</v>
      </c>
      <c r="M7" s="151" t="n">
        <v>1</v>
      </c>
      <c r="N7" s="79" t="n">
        <v>0</v>
      </c>
      <c r="O7" s="79" t="n">
        <v>22</v>
      </c>
      <c r="P7" s="79" t="n">
        <v>21</v>
      </c>
      <c r="Q7" s="79" t="n">
        <v>111</v>
      </c>
      <c r="R7" s="79" t="n">
        <v>226</v>
      </c>
      <c r="S7" s="79" t="n">
        <v>355</v>
      </c>
      <c r="T7" s="77" t="n">
        <v>551</v>
      </c>
      <c r="U7" s="78" t="n">
        <v>41</v>
      </c>
      <c r="V7" s="79" t="n">
        <v>66</v>
      </c>
      <c r="W7" s="79" t="n">
        <v>170</v>
      </c>
    </row>
    <row r="8" ht="13.5" customHeight="1" s="186">
      <c r="B8" s="97" t="inlineStr">
        <is>
          <t>BA</t>
        </is>
      </c>
      <c r="C8" s="124" t="n">
        <v>6</v>
      </c>
      <c r="D8" s="124" t="n">
        <v>11</v>
      </c>
      <c r="E8" s="124" t="n">
        <v>16</v>
      </c>
      <c r="F8" s="124" t="n">
        <v>32</v>
      </c>
      <c r="G8" s="124" t="n">
        <v>58</v>
      </c>
      <c r="H8" s="124" t="n">
        <v>62</v>
      </c>
      <c r="I8" s="124" t="n">
        <v>153</v>
      </c>
      <c r="J8" s="124" t="n">
        <v>156</v>
      </c>
      <c r="K8" s="124" t="n">
        <v>88</v>
      </c>
      <c r="L8" s="124" t="n">
        <v>26</v>
      </c>
      <c r="M8" s="124" t="n">
        <v>148</v>
      </c>
      <c r="N8" s="76" t="n">
        <v>245</v>
      </c>
      <c r="O8" s="76" t="n">
        <v>455</v>
      </c>
      <c r="P8" s="76" t="n">
        <v>790</v>
      </c>
      <c r="Q8" s="76" t="n">
        <v>2920</v>
      </c>
      <c r="R8" s="76" t="n">
        <v>6161</v>
      </c>
      <c r="S8" s="76" t="n">
        <v>8501</v>
      </c>
      <c r="T8" s="77" t="n">
        <v>11821</v>
      </c>
      <c r="U8" s="78" t="n">
        <v>72</v>
      </c>
      <c r="V8" s="76" t="n">
        <v>1541</v>
      </c>
      <c r="W8" s="76" t="n">
        <v>4306</v>
      </c>
    </row>
    <row r="9" ht="13.5" customHeight="1" s="186">
      <c r="B9" s="105" t="inlineStr">
        <is>
          <t>CE</t>
        </is>
      </c>
      <c r="C9" s="151" t="n">
        <v>17</v>
      </c>
      <c r="D9" s="151" t="n">
        <v>22</v>
      </c>
      <c r="E9" s="151" t="n">
        <v>37</v>
      </c>
      <c r="F9" s="151" t="n">
        <v>43</v>
      </c>
      <c r="G9" s="151" t="n">
        <v>128</v>
      </c>
      <c r="H9" s="151" t="n">
        <v>134</v>
      </c>
      <c r="I9" s="151" t="n">
        <v>221</v>
      </c>
      <c r="J9" s="151" t="n">
        <v>286</v>
      </c>
      <c r="K9" s="151" t="n">
        <v>376</v>
      </c>
      <c r="L9" s="151" t="n">
        <v>162</v>
      </c>
      <c r="M9" s="151" t="n">
        <v>250</v>
      </c>
      <c r="N9" s="79" t="n">
        <v>388</v>
      </c>
      <c r="O9" s="79" t="n">
        <v>692</v>
      </c>
      <c r="P9" s="79" t="n">
        <v>993</v>
      </c>
      <c r="Q9" s="79" t="n">
        <v>2102</v>
      </c>
      <c r="R9" s="79" t="n">
        <v>3117</v>
      </c>
      <c r="S9" s="79" t="n">
        <v>6179</v>
      </c>
      <c r="T9" s="77" t="n">
        <v>6438</v>
      </c>
      <c r="U9" s="78" t="n">
        <v>18</v>
      </c>
      <c r="V9" s="79" t="n">
        <v>1324</v>
      </c>
      <c r="W9" s="79" t="n">
        <v>1409</v>
      </c>
    </row>
    <row r="10" ht="13.5" customHeight="1" s="186">
      <c r="B10" s="97" t="inlineStr">
        <is>
          <t>DF</t>
        </is>
      </c>
      <c r="C10" s="124" t="n">
        <v>75</v>
      </c>
      <c r="D10" s="124" t="n">
        <v>63</v>
      </c>
      <c r="E10" s="124" t="n">
        <v>53</v>
      </c>
      <c r="F10" s="124" t="n">
        <v>65</v>
      </c>
      <c r="G10" s="124" t="n">
        <v>65</v>
      </c>
      <c r="H10" s="124" t="n">
        <v>60</v>
      </c>
      <c r="I10" s="124" t="n">
        <v>157</v>
      </c>
      <c r="J10" s="124" t="n">
        <v>110</v>
      </c>
      <c r="K10" s="124" t="n">
        <v>69</v>
      </c>
      <c r="L10" s="124" t="n">
        <v>47</v>
      </c>
      <c r="M10" s="124" t="n">
        <v>48</v>
      </c>
      <c r="N10" s="76" t="n">
        <v>189</v>
      </c>
      <c r="O10" s="76" t="n">
        <v>319</v>
      </c>
      <c r="P10" s="76" t="n">
        <v>500</v>
      </c>
      <c r="Q10" s="76" t="n">
        <v>2483</v>
      </c>
      <c r="R10" s="76" t="n">
        <v>5045</v>
      </c>
      <c r="S10" s="76" t="n">
        <v>8289</v>
      </c>
      <c r="T10" s="77" t="n">
        <v>10861</v>
      </c>
      <c r="U10" s="78" t="n">
        <v>18</v>
      </c>
      <c r="V10" s="76" t="n">
        <v>1148</v>
      </c>
      <c r="W10" s="76" t="n">
        <v>1512</v>
      </c>
    </row>
    <row r="11" ht="13.5" customHeight="1" s="186">
      <c r="B11" s="105" t="inlineStr">
        <is>
          <t>ES</t>
        </is>
      </c>
      <c r="C11" s="151" t="n">
        <v>39</v>
      </c>
      <c r="D11" s="151" t="n">
        <v>29</v>
      </c>
      <c r="E11" s="151" t="n">
        <v>13</v>
      </c>
      <c r="F11" s="151" t="n">
        <v>19</v>
      </c>
      <c r="G11" s="151" t="n">
        <v>16</v>
      </c>
      <c r="H11" s="151" t="n">
        <v>19</v>
      </c>
      <c r="I11" s="151" t="n">
        <v>46</v>
      </c>
      <c r="J11" s="151" t="n">
        <v>37</v>
      </c>
      <c r="K11" s="151" t="n">
        <v>24</v>
      </c>
      <c r="L11" s="151" t="n">
        <v>8</v>
      </c>
      <c r="M11" s="151" t="n">
        <v>24</v>
      </c>
      <c r="N11" s="79" t="n">
        <v>40</v>
      </c>
      <c r="O11" s="79" t="n">
        <v>135</v>
      </c>
      <c r="P11" s="79" t="n">
        <v>321</v>
      </c>
      <c r="Q11" s="79" t="n">
        <v>658</v>
      </c>
      <c r="R11" s="79" t="n">
        <v>750</v>
      </c>
      <c r="S11" s="79" t="n">
        <v>2320</v>
      </c>
      <c r="T11" s="77" t="n">
        <v>3015</v>
      </c>
      <c r="U11" s="78" t="n">
        <v>39</v>
      </c>
      <c r="V11" s="79" t="n">
        <v>515</v>
      </c>
      <c r="W11" s="79" t="n">
        <v>1496</v>
      </c>
    </row>
    <row r="12" ht="13.5" customHeight="1" s="186">
      <c r="B12" s="97" t="inlineStr">
        <is>
          <t>GO</t>
        </is>
      </c>
      <c r="C12" s="124" t="n">
        <v>45</v>
      </c>
      <c r="D12" s="124" t="n">
        <v>31</v>
      </c>
      <c r="E12" s="124" t="n">
        <v>35</v>
      </c>
      <c r="F12" s="124" t="n">
        <v>54</v>
      </c>
      <c r="G12" s="124" t="n">
        <v>50</v>
      </c>
      <c r="H12" s="124" t="n">
        <v>62</v>
      </c>
      <c r="I12" s="124" t="n">
        <v>97</v>
      </c>
      <c r="J12" s="124" t="n">
        <v>96</v>
      </c>
      <c r="K12" s="124" t="n">
        <v>71</v>
      </c>
      <c r="L12" s="124" t="n">
        <v>54</v>
      </c>
      <c r="M12" s="124" t="n">
        <v>17</v>
      </c>
      <c r="N12" s="76" t="n">
        <v>115</v>
      </c>
      <c r="O12" s="76" t="n">
        <v>301</v>
      </c>
      <c r="P12" s="76" t="n">
        <v>594</v>
      </c>
      <c r="Q12" s="76" t="n">
        <v>3046</v>
      </c>
      <c r="R12" s="76" t="n">
        <v>8498</v>
      </c>
      <c r="S12" s="76" t="n">
        <v>22040</v>
      </c>
      <c r="T12" s="77" t="n">
        <v>29119</v>
      </c>
      <c r="U12" s="78" t="n">
        <v>52</v>
      </c>
      <c r="V12" s="76" t="n">
        <v>5050</v>
      </c>
      <c r="W12" s="76" t="n">
        <v>5594</v>
      </c>
    </row>
    <row r="13" ht="13.5" customHeight="1" s="186">
      <c r="B13" s="105" t="inlineStr">
        <is>
          <t>MA</t>
        </is>
      </c>
      <c r="C13" s="151" t="n">
        <v>6</v>
      </c>
      <c r="D13" s="151" t="n">
        <v>6</v>
      </c>
      <c r="E13" s="151" t="n">
        <v>4</v>
      </c>
      <c r="F13" s="151" t="n">
        <v>8</v>
      </c>
      <c r="G13" s="151" t="n">
        <v>7</v>
      </c>
      <c r="H13" s="151" t="n">
        <v>12</v>
      </c>
      <c r="I13" s="151" t="n">
        <v>23</v>
      </c>
      <c r="J13" s="151" t="n">
        <v>34</v>
      </c>
      <c r="K13" s="151" t="n">
        <v>50</v>
      </c>
      <c r="L13" s="151" t="n">
        <v>39</v>
      </c>
      <c r="M13" s="151" t="n">
        <v>9</v>
      </c>
      <c r="N13" s="79" t="n">
        <v>32</v>
      </c>
      <c r="O13" s="79" t="n">
        <v>90</v>
      </c>
      <c r="P13" s="79" t="n">
        <v>118</v>
      </c>
      <c r="Q13" s="79" t="n">
        <v>636</v>
      </c>
      <c r="R13" s="79" t="n">
        <v>1500</v>
      </c>
      <c r="S13" s="79" t="n">
        <v>2852</v>
      </c>
      <c r="T13" s="77" t="n">
        <v>4983</v>
      </c>
      <c r="U13" s="78" t="n">
        <v>2</v>
      </c>
      <c r="V13" s="79" t="n">
        <v>513</v>
      </c>
      <c r="W13" s="79" t="n">
        <v>2285</v>
      </c>
    </row>
    <row r="14" ht="13.5" customHeight="1" s="186">
      <c r="B14" s="97" t="inlineStr">
        <is>
          <t>MG</t>
        </is>
      </c>
      <c r="C14" s="124" t="n">
        <v>114</v>
      </c>
      <c r="D14" s="124" t="n">
        <v>136</v>
      </c>
      <c r="E14" s="124" t="n">
        <v>89</v>
      </c>
      <c r="F14" s="124" t="n">
        <v>91</v>
      </c>
      <c r="G14" s="124" t="n">
        <v>128</v>
      </c>
      <c r="H14" s="124" t="n">
        <v>68</v>
      </c>
      <c r="I14" s="124" t="n">
        <v>163</v>
      </c>
      <c r="J14" s="124" t="n">
        <v>178</v>
      </c>
      <c r="K14" s="124" t="n">
        <v>126</v>
      </c>
      <c r="L14" s="124" t="n">
        <v>111</v>
      </c>
      <c r="M14" s="124" t="n">
        <v>65</v>
      </c>
      <c r="N14" s="76" t="n">
        <v>272</v>
      </c>
      <c r="O14" s="76" t="n">
        <v>489</v>
      </c>
      <c r="P14" s="76" t="n">
        <v>1089</v>
      </c>
      <c r="Q14" s="76" t="n">
        <v>6591</v>
      </c>
      <c r="R14" s="76" t="n">
        <v>10111</v>
      </c>
      <c r="S14" s="76" t="n">
        <v>23876</v>
      </c>
      <c r="T14" s="77" t="n">
        <v>36600</v>
      </c>
      <c r="U14" s="78" t="n">
        <v>101</v>
      </c>
      <c r="V14" s="76" t="n">
        <v>7766</v>
      </c>
      <c r="W14" s="76" t="n">
        <v>8984</v>
      </c>
    </row>
    <row r="15" ht="13.5" customHeight="1" s="186">
      <c r="B15" s="105" t="inlineStr">
        <is>
          <t>MS</t>
        </is>
      </c>
      <c r="C15" s="151" t="n">
        <v>8</v>
      </c>
      <c r="D15" s="151" t="n">
        <v>15</v>
      </c>
      <c r="E15" s="151" t="n">
        <v>8</v>
      </c>
      <c r="F15" s="151" t="n">
        <v>10</v>
      </c>
      <c r="G15" s="151" t="n">
        <v>27</v>
      </c>
      <c r="H15" s="151" t="n">
        <v>19</v>
      </c>
      <c r="I15" s="151" t="n">
        <v>54</v>
      </c>
      <c r="J15" s="151" t="n">
        <v>37</v>
      </c>
      <c r="K15" s="151" t="n">
        <v>13</v>
      </c>
      <c r="L15" s="151" t="n">
        <v>24</v>
      </c>
      <c r="M15" s="151" t="n">
        <v>15</v>
      </c>
      <c r="N15" s="79" t="n">
        <v>117</v>
      </c>
      <c r="O15" s="79" t="n">
        <v>190</v>
      </c>
      <c r="P15" s="79" t="n">
        <v>187</v>
      </c>
      <c r="Q15" s="79" t="n">
        <v>1053</v>
      </c>
      <c r="R15" s="79" t="n">
        <v>2364</v>
      </c>
      <c r="S15" s="79" t="n">
        <v>4750</v>
      </c>
      <c r="T15" s="77" t="n">
        <v>8979</v>
      </c>
      <c r="U15" s="78" t="n">
        <v>18</v>
      </c>
      <c r="V15" s="79" t="n">
        <v>1180</v>
      </c>
      <c r="W15" s="79" t="n">
        <v>1513</v>
      </c>
    </row>
    <row r="16" ht="13.5" customHeight="1" s="186">
      <c r="B16" s="97" t="inlineStr">
        <is>
          <t>MT</t>
        </is>
      </c>
      <c r="C16" s="124" t="n">
        <v>5</v>
      </c>
      <c r="D16" s="124" t="n">
        <v>0</v>
      </c>
      <c r="E16" s="124" t="n">
        <v>6</v>
      </c>
      <c r="F16" s="124" t="n">
        <v>15</v>
      </c>
      <c r="G16" s="124" t="n">
        <v>32</v>
      </c>
      <c r="H16" s="124" t="n">
        <v>49</v>
      </c>
      <c r="I16" s="124" t="n">
        <v>58</v>
      </c>
      <c r="J16" s="124" t="n">
        <v>103</v>
      </c>
      <c r="K16" s="124" t="n">
        <v>29</v>
      </c>
      <c r="L16" s="124" t="n">
        <v>65</v>
      </c>
      <c r="M16" s="124" t="n">
        <v>24</v>
      </c>
      <c r="N16" s="76" t="n">
        <v>143</v>
      </c>
      <c r="O16" s="76" t="n">
        <v>226</v>
      </c>
      <c r="P16" s="76" t="n">
        <v>325</v>
      </c>
      <c r="Q16" s="76" t="n">
        <v>1654</v>
      </c>
      <c r="R16" s="76" t="n">
        <v>2269</v>
      </c>
      <c r="S16" s="76" t="n">
        <v>6044</v>
      </c>
      <c r="T16" s="77" t="n">
        <v>13272</v>
      </c>
      <c r="U16" s="78" t="n">
        <v>37</v>
      </c>
      <c r="V16" s="76" t="n">
        <v>2254</v>
      </c>
      <c r="W16" s="76" t="n">
        <v>3388</v>
      </c>
    </row>
    <row r="17" ht="13.5" customHeight="1" s="186">
      <c r="B17" s="105" t="inlineStr">
        <is>
          <t>PA</t>
        </is>
      </c>
      <c r="C17" s="151" t="n">
        <v>6</v>
      </c>
      <c r="D17" s="151" t="n">
        <v>3</v>
      </c>
      <c r="E17" s="151" t="n">
        <v>8</v>
      </c>
      <c r="F17" s="151" t="n">
        <v>21</v>
      </c>
      <c r="G17" s="151" t="n">
        <v>26</v>
      </c>
      <c r="H17" s="151" t="n">
        <v>12</v>
      </c>
      <c r="I17" s="151" t="n">
        <v>20</v>
      </c>
      <c r="J17" s="151" t="n">
        <v>25</v>
      </c>
      <c r="K17" s="151" t="n">
        <v>22</v>
      </c>
      <c r="L17" s="151" t="n">
        <v>20</v>
      </c>
      <c r="M17" s="151" t="n">
        <v>17</v>
      </c>
      <c r="N17" s="79" t="n">
        <v>51</v>
      </c>
      <c r="O17" s="79" t="n">
        <v>68</v>
      </c>
      <c r="P17" s="79" t="n">
        <v>84</v>
      </c>
      <c r="Q17" s="79" t="n">
        <v>490</v>
      </c>
      <c r="R17" s="79" t="n">
        <v>1937</v>
      </c>
      <c r="S17" s="79" t="n">
        <v>4052</v>
      </c>
      <c r="T17" s="77" t="n">
        <v>6128</v>
      </c>
      <c r="U17" s="78" t="n">
        <v>18</v>
      </c>
      <c r="V17" s="79" t="n">
        <v>966</v>
      </c>
      <c r="W17" s="79" t="n">
        <v>1668</v>
      </c>
    </row>
    <row r="18" ht="13.5" customHeight="1" s="186">
      <c r="B18" s="97" t="inlineStr">
        <is>
          <t>PB</t>
        </is>
      </c>
      <c r="C18" s="124" t="n">
        <v>8</v>
      </c>
      <c r="D18" s="124" t="n">
        <v>2</v>
      </c>
      <c r="E18" s="124" t="n">
        <v>1</v>
      </c>
      <c r="F18" s="124" t="n">
        <v>12</v>
      </c>
      <c r="G18" s="124" t="n">
        <v>17</v>
      </c>
      <c r="H18" s="124" t="n">
        <v>29</v>
      </c>
      <c r="I18" s="124" t="n">
        <v>16</v>
      </c>
      <c r="J18" s="124" t="n">
        <v>17</v>
      </c>
      <c r="K18" s="124" t="n">
        <v>12</v>
      </c>
      <c r="L18" s="124" t="n">
        <v>6</v>
      </c>
      <c r="M18" s="124" t="n">
        <v>3</v>
      </c>
      <c r="N18" s="76" t="n">
        <v>60</v>
      </c>
      <c r="O18" s="76" t="n">
        <v>104</v>
      </c>
      <c r="P18" s="76" t="n">
        <v>639</v>
      </c>
      <c r="Q18" s="76" t="n">
        <v>1179</v>
      </c>
      <c r="R18" s="76" t="n">
        <v>1636</v>
      </c>
      <c r="S18" s="76" t="n">
        <v>2913</v>
      </c>
      <c r="T18" s="77" t="n">
        <v>3712</v>
      </c>
      <c r="U18" s="78" t="n">
        <v>4</v>
      </c>
      <c r="V18" s="76" t="n">
        <v>541</v>
      </c>
      <c r="W18" s="76" t="n">
        <v>901</v>
      </c>
    </row>
    <row r="19" ht="13.5" customHeight="1" s="186">
      <c r="B19" s="105" t="inlineStr">
        <is>
          <t>PE</t>
        </is>
      </c>
      <c r="C19" s="151" t="n">
        <v>34</v>
      </c>
      <c r="D19" s="151" t="n">
        <v>6</v>
      </c>
      <c r="E19" s="151" t="n">
        <v>5</v>
      </c>
      <c r="F19" s="151" t="n">
        <v>10</v>
      </c>
      <c r="G19" s="151" t="n">
        <v>22</v>
      </c>
      <c r="H19" s="151" t="n">
        <v>40</v>
      </c>
      <c r="I19" s="151" t="n">
        <v>103</v>
      </c>
      <c r="J19" s="151" t="n">
        <v>88</v>
      </c>
      <c r="K19" s="151" t="n">
        <v>46</v>
      </c>
      <c r="L19" s="151" t="n">
        <v>40</v>
      </c>
      <c r="M19" s="151" t="n">
        <v>10</v>
      </c>
      <c r="N19" s="79" t="n">
        <v>125</v>
      </c>
      <c r="O19" s="79" t="n">
        <v>286</v>
      </c>
      <c r="P19" s="79" t="n">
        <v>384</v>
      </c>
      <c r="Q19" s="79" t="n">
        <v>1968</v>
      </c>
      <c r="R19" s="79" t="n">
        <v>3765</v>
      </c>
      <c r="S19" s="79" t="n">
        <v>6335</v>
      </c>
      <c r="T19" s="77" t="n">
        <v>8307</v>
      </c>
      <c r="U19" s="78" t="n">
        <v>10</v>
      </c>
      <c r="V19" s="79" t="n">
        <v>955</v>
      </c>
      <c r="W19" s="79" t="n">
        <v>1515</v>
      </c>
    </row>
    <row r="20" ht="13.5" customHeight="1" s="186">
      <c r="B20" s="97" t="inlineStr">
        <is>
          <t>PI</t>
        </is>
      </c>
      <c r="C20" s="124" t="n">
        <v>0</v>
      </c>
      <c r="D20" s="124" t="n">
        <v>2</v>
      </c>
      <c r="E20" s="124" t="n">
        <v>3</v>
      </c>
      <c r="F20" s="124" t="n">
        <v>0</v>
      </c>
      <c r="G20" s="124" t="n">
        <v>2</v>
      </c>
      <c r="H20" s="124" t="n">
        <v>4</v>
      </c>
      <c r="I20" s="124" t="n">
        <v>7</v>
      </c>
      <c r="J20" s="124" t="n">
        <v>6</v>
      </c>
      <c r="K20" s="124" t="n">
        <v>7</v>
      </c>
      <c r="L20" s="124" t="n">
        <v>7</v>
      </c>
      <c r="M20" s="124" t="n">
        <v>8</v>
      </c>
      <c r="N20" s="76" t="n">
        <v>37</v>
      </c>
      <c r="O20" s="76" t="n">
        <v>112</v>
      </c>
      <c r="P20" s="76" t="n">
        <v>129</v>
      </c>
      <c r="Q20" s="76" t="n">
        <v>288</v>
      </c>
      <c r="R20" s="76" t="n">
        <v>462</v>
      </c>
      <c r="S20" s="76" t="n">
        <v>1209</v>
      </c>
      <c r="T20" s="77" t="n">
        <v>1426</v>
      </c>
      <c r="U20" s="78" t="n">
        <v>0</v>
      </c>
      <c r="V20" s="76" t="n">
        <v>272</v>
      </c>
      <c r="W20" s="76" t="n">
        <v>284</v>
      </c>
    </row>
    <row r="21" ht="13.5" customHeight="1" s="186">
      <c r="B21" s="105" t="inlineStr">
        <is>
          <t>PR</t>
        </is>
      </c>
      <c r="C21" s="151" t="n">
        <v>81</v>
      </c>
      <c r="D21" s="151" t="n">
        <v>74</v>
      </c>
      <c r="E21" s="151" t="n">
        <v>62</v>
      </c>
      <c r="F21" s="151" t="n">
        <v>175</v>
      </c>
      <c r="G21" s="151" t="n">
        <v>192</v>
      </c>
      <c r="H21" s="151" t="n">
        <v>212</v>
      </c>
      <c r="I21" s="151" t="n">
        <v>234</v>
      </c>
      <c r="J21" s="151" t="n">
        <v>157</v>
      </c>
      <c r="K21" s="151" t="n">
        <v>80</v>
      </c>
      <c r="L21" s="151" t="n">
        <v>61</v>
      </c>
      <c r="M21" s="151" t="n">
        <v>124</v>
      </c>
      <c r="N21" s="79" t="n">
        <v>386</v>
      </c>
      <c r="O21" s="79" t="n">
        <v>518</v>
      </c>
      <c r="P21" s="79" t="n">
        <v>1238</v>
      </c>
      <c r="Q21" s="79" t="n">
        <v>7341</v>
      </c>
      <c r="R21" s="79" t="n">
        <v>17292</v>
      </c>
      <c r="S21" s="79" t="n">
        <v>15235</v>
      </c>
      <c r="T21" s="77" t="n">
        <v>38850</v>
      </c>
      <c r="U21" s="78" t="n">
        <v>87</v>
      </c>
      <c r="V21" s="79" t="n">
        <v>5326</v>
      </c>
      <c r="W21" s="79" t="n">
        <v>7310</v>
      </c>
    </row>
    <row r="22" ht="13.5" customHeight="1" s="186">
      <c r="B22" s="97" t="inlineStr">
        <is>
          <t>RJ</t>
        </is>
      </c>
      <c r="C22" s="124" t="n">
        <v>135</v>
      </c>
      <c r="D22" s="124" t="n">
        <v>173</v>
      </c>
      <c r="E22" s="124" t="n">
        <v>202</v>
      </c>
      <c r="F22" s="124" t="n">
        <v>242</v>
      </c>
      <c r="G22" s="124" t="n">
        <v>174</v>
      </c>
      <c r="H22" s="124" t="n">
        <v>345</v>
      </c>
      <c r="I22" s="124" t="n">
        <v>483</v>
      </c>
      <c r="J22" s="124" t="n">
        <v>283</v>
      </c>
      <c r="K22" s="124" t="n">
        <v>139</v>
      </c>
      <c r="L22" s="124" t="n">
        <v>61</v>
      </c>
      <c r="M22" s="124" t="n">
        <v>175</v>
      </c>
      <c r="N22" s="76" t="n">
        <v>399</v>
      </c>
      <c r="O22" s="76" t="n">
        <v>672</v>
      </c>
      <c r="P22" s="76" t="n">
        <v>1481</v>
      </c>
      <c r="Q22" s="76" t="n">
        <v>1502</v>
      </c>
      <c r="R22" s="76" t="n">
        <v>3221</v>
      </c>
      <c r="S22" s="76" t="n">
        <v>7957</v>
      </c>
      <c r="T22" s="77" t="n">
        <v>14706</v>
      </c>
      <c r="U22" s="78" t="n">
        <v>49</v>
      </c>
      <c r="V22" s="76" t="n">
        <v>2736</v>
      </c>
      <c r="W22" s="76" t="n">
        <v>5065</v>
      </c>
    </row>
    <row r="23" ht="13.5" customHeight="1" s="186">
      <c r="B23" s="105" t="inlineStr">
        <is>
          <t>RN</t>
        </is>
      </c>
      <c r="C23" s="151" t="n">
        <v>15</v>
      </c>
      <c r="D23" s="151" t="n">
        <v>8</v>
      </c>
      <c r="E23" s="151" t="n">
        <v>9</v>
      </c>
      <c r="F23" s="151" t="n">
        <v>7</v>
      </c>
      <c r="G23" s="151" t="n">
        <v>10</v>
      </c>
      <c r="H23" s="151" t="n">
        <v>20</v>
      </c>
      <c r="I23" s="151" t="n">
        <v>23</v>
      </c>
      <c r="J23" s="151" t="n">
        <v>47</v>
      </c>
      <c r="K23" s="151" t="n">
        <v>38</v>
      </c>
      <c r="L23" s="151" t="n">
        <v>33</v>
      </c>
      <c r="M23" s="151" t="n">
        <v>11</v>
      </c>
      <c r="N23" s="79" t="n">
        <v>76</v>
      </c>
      <c r="O23" s="79" t="n">
        <v>78</v>
      </c>
      <c r="P23" s="79" t="n">
        <v>107</v>
      </c>
      <c r="Q23" s="79" t="n">
        <v>939</v>
      </c>
      <c r="R23" s="79" t="n">
        <v>1181</v>
      </c>
      <c r="S23" s="79" t="n">
        <v>1932</v>
      </c>
      <c r="T23" s="77" t="n">
        <v>2477</v>
      </c>
      <c r="U23" s="78" t="n">
        <v>3</v>
      </c>
      <c r="V23" s="79" t="n">
        <v>652</v>
      </c>
      <c r="W23" s="79" t="n">
        <v>564</v>
      </c>
    </row>
    <row r="24" ht="13.5" customHeight="1" s="186">
      <c r="B24" s="97" t="inlineStr">
        <is>
          <t>RO</t>
        </is>
      </c>
      <c r="C24" s="124" t="n">
        <v>0</v>
      </c>
      <c r="D24" s="124" t="n">
        <v>2</v>
      </c>
      <c r="E24" s="124" t="n">
        <v>0</v>
      </c>
      <c r="F24" s="124" t="n">
        <v>0</v>
      </c>
      <c r="G24" s="124" t="n">
        <v>0</v>
      </c>
      <c r="H24" s="124" t="n">
        <v>8</v>
      </c>
      <c r="I24" s="124" t="n">
        <v>1</v>
      </c>
      <c r="J24" s="124" t="n">
        <v>2</v>
      </c>
      <c r="K24" s="124" t="n">
        <v>0</v>
      </c>
      <c r="L24" s="124" t="n">
        <v>3</v>
      </c>
      <c r="M24" s="124" t="n">
        <v>4</v>
      </c>
      <c r="N24" s="76" t="n">
        <v>84</v>
      </c>
      <c r="O24" s="76" t="n">
        <v>88</v>
      </c>
      <c r="P24" s="76" t="n">
        <v>207</v>
      </c>
      <c r="Q24" s="76" t="n">
        <v>956</v>
      </c>
      <c r="R24" s="76" t="n">
        <v>1899</v>
      </c>
      <c r="S24" s="76" t="n">
        <v>3543</v>
      </c>
      <c r="T24" s="77" t="n">
        <v>5550</v>
      </c>
      <c r="U24" s="78" t="n">
        <v>8</v>
      </c>
      <c r="V24" s="76" t="n">
        <v>378</v>
      </c>
      <c r="W24" s="76" t="n">
        <v>650</v>
      </c>
    </row>
    <row r="25" ht="13.5" customHeight="1" s="186">
      <c r="B25" s="105" t="inlineStr">
        <is>
          <t>RR</t>
        </is>
      </c>
      <c r="C25" s="151" t="n">
        <v>2</v>
      </c>
      <c r="D25" s="151" t="n">
        <v>0</v>
      </c>
      <c r="E25" s="151" t="n">
        <v>0</v>
      </c>
      <c r="F25" s="151" t="n">
        <v>0</v>
      </c>
      <c r="G25" s="151" t="n">
        <v>0</v>
      </c>
      <c r="H25" s="151" t="n">
        <v>2</v>
      </c>
      <c r="I25" s="151" t="n">
        <v>3</v>
      </c>
      <c r="J25" s="151" t="n">
        <v>8</v>
      </c>
      <c r="K25" s="151" t="n">
        <v>0</v>
      </c>
      <c r="L25" s="151" t="n">
        <v>1</v>
      </c>
      <c r="M25" s="151" t="n">
        <v>1</v>
      </c>
      <c r="N25" s="79" t="n">
        <v>0</v>
      </c>
      <c r="O25" s="79" t="n">
        <v>7</v>
      </c>
      <c r="P25" s="79" t="n">
        <v>16</v>
      </c>
      <c r="Q25" s="79" t="n">
        <v>63</v>
      </c>
      <c r="R25" s="79" t="n">
        <v>104</v>
      </c>
      <c r="S25" s="79" t="n">
        <v>241</v>
      </c>
      <c r="T25" s="77" t="n">
        <v>515</v>
      </c>
      <c r="U25" s="78" t="n">
        <v>6</v>
      </c>
      <c r="V25" s="79" t="n">
        <v>56</v>
      </c>
      <c r="W25" s="79" t="n">
        <v>47</v>
      </c>
    </row>
    <row r="26" ht="13.5" customHeight="1" s="186">
      <c r="B26" s="97" t="inlineStr">
        <is>
          <t>RS</t>
        </is>
      </c>
      <c r="C26" s="124" t="n">
        <v>150</v>
      </c>
      <c r="D26" s="124" t="n">
        <v>1184</v>
      </c>
      <c r="E26" s="124" t="n">
        <v>383</v>
      </c>
      <c r="F26" s="124" t="n">
        <v>318</v>
      </c>
      <c r="G26" s="124" t="n">
        <v>477</v>
      </c>
      <c r="H26" s="124" t="n">
        <v>364</v>
      </c>
      <c r="I26" s="124" t="n">
        <v>915</v>
      </c>
      <c r="J26" s="124" t="n">
        <v>488</v>
      </c>
      <c r="K26" s="124" t="n">
        <v>209</v>
      </c>
      <c r="L26" s="124" t="n">
        <v>208</v>
      </c>
      <c r="M26" s="124" t="n">
        <v>476</v>
      </c>
      <c r="N26" s="76" t="n">
        <v>863</v>
      </c>
      <c r="O26" s="76" t="n">
        <v>1460</v>
      </c>
      <c r="P26" s="76" t="n">
        <v>2059</v>
      </c>
      <c r="Q26" s="76" t="n">
        <v>10957</v>
      </c>
      <c r="R26" s="76" t="n">
        <v>15875</v>
      </c>
      <c r="S26" s="76" t="n">
        <v>24668</v>
      </c>
      <c r="T26" s="77" t="n">
        <v>29744</v>
      </c>
      <c r="U26" s="78" t="n">
        <v>150</v>
      </c>
      <c r="V26" s="76" t="n">
        <v>5362</v>
      </c>
      <c r="W26" s="76" t="n">
        <v>4808</v>
      </c>
    </row>
    <row r="27" ht="13.5" customHeight="1" s="186">
      <c r="B27" s="105" t="inlineStr">
        <is>
          <t>SC</t>
        </is>
      </c>
      <c r="C27" s="151" t="n">
        <v>79</v>
      </c>
      <c r="D27" s="151" t="n">
        <v>53</v>
      </c>
      <c r="E27" s="151" t="n">
        <v>40</v>
      </c>
      <c r="F27" s="151" t="n">
        <v>69</v>
      </c>
      <c r="G27" s="151" t="n">
        <v>151</v>
      </c>
      <c r="H27" s="151" t="n">
        <v>122</v>
      </c>
      <c r="I27" s="151" t="n">
        <v>195</v>
      </c>
      <c r="J27" s="151" t="n">
        <v>156</v>
      </c>
      <c r="K27" s="151" t="n">
        <v>78</v>
      </c>
      <c r="L27" s="151" t="n">
        <v>137</v>
      </c>
      <c r="M27" s="151" t="n">
        <v>152</v>
      </c>
      <c r="N27" s="79" t="n">
        <v>435</v>
      </c>
      <c r="O27" s="79" t="n">
        <v>500</v>
      </c>
      <c r="P27" s="79" t="n">
        <v>1043</v>
      </c>
      <c r="Q27" s="79" t="n">
        <v>7220</v>
      </c>
      <c r="R27" s="79" t="n">
        <v>13006</v>
      </c>
      <c r="S27" s="79" t="n">
        <v>11286</v>
      </c>
      <c r="T27" s="77" t="n">
        <v>28247</v>
      </c>
      <c r="U27" s="78" t="n">
        <v>74</v>
      </c>
      <c r="V27" s="79" t="n">
        <v>5865</v>
      </c>
      <c r="W27" s="79" t="n">
        <v>5749</v>
      </c>
    </row>
    <row r="28" ht="13.5" customHeight="1" s="186">
      <c r="B28" s="97" t="inlineStr">
        <is>
          <t>SE</t>
        </is>
      </c>
      <c r="C28" s="124" t="n">
        <v>0</v>
      </c>
      <c r="D28" s="124" t="n">
        <v>0</v>
      </c>
      <c r="E28" s="124" t="n">
        <v>0</v>
      </c>
      <c r="F28" s="124" t="n">
        <v>0</v>
      </c>
      <c r="G28" s="124" t="n">
        <v>0</v>
      </c>
      <c r="H28" s="124" t="n">
        <v>0</v>
      </c>
      <c r="I28" s="124" t="n">
        <v>0</v>
      </c>
      <c r="J28" s="124" t="n">
        <v>1</v>
      </c>
      <c r="K28" s="124" t="n">
        <v>3</v>
      </c>
      <c r="L28" s="124" t="n">
        <v>0</v>
      </c>
      <c r="M28" s="124" t="n">
        <v>8</v>
      </c>
      <c r="N28" s="76" t="n">
        <v>55</v>
      </c>
      <c r="O28" s="76" t="n">
        <v>86</v>
      </c>
      <c r="P28" s="76" t="n">
        <v>94</v>
      </c>
      <c r="Q28" s="76" t="n">
        <v>364</v>
      </c>
      <c r="R28" s="76" t="n">
        <v>619</v>
      </c>
      <c r="S28" s="76" t="n">
        <v>1003</v>
      </c>
      <c r="T28" s="77" t="n">
        <v>1048</v>
      </c>
      <c r="U28" s="78" t="n">
        <v>1</v>
      </c>
      <c r="V28" s="76" t="n">
        <v>24</v>
      </c>
      <c r="W28" s="76" t="n">
        <v>467</v>
      </c>
    </row>
    <row r="29" ht="13.5" customHeight="1" s="186">
      <c r="B29" s="105" t="inlineStr">
        <is>
          <t>SP</t>
        </is>
      </c>
      <c r="C29" s="151" t="n">
        <v>598</v>
      </c>
      <c r="D29" s="151" t="n">
        <v>650</v>
      </c>
      <c r="E29" s="151" t="n">
        <v>916</v>
      </c>
      <c r="F29" s="151" t="n">
        <v>1291</v>
      </c>
      <c r="G29" s="151" t="n">
        <v>2646</v>
      </c>
      <c r="H29" s="151" t="n">
        <v>2620</v>
      </c>
      <c r="I29" s="151" t="n">
        <v>2457</v>
      </c>
      <c r="J29" s="151" t="n">
        <v>2036</v>
      </c>
      <c r="K29" s="151" t="n">
        <v>1344</v>
      </c>
      <c r="L29" s="151" t="n">
        <v>670</v>
      </c>
      <c r="M29" s="151" t="n">
        <v>951</v>
      </c>
      <c r="N29" s="79" t="n">
        <v>1994</v>
      </c>
      <c r="O29" s="79" t="n">
        <v>3248</v>
      </c>
      <c r="P29" s="79" t="n">
        <v>4559</v>
      </c>
      <c r="Q29" s="79" t="n">
        <v>24737</v>
      </c>
      <c r="R29" s="79" t="n">
        <v>23416</v>
      </c>
      <c r="S29" s="79" t="n">
        <v>60194</v>
      </c>
      <c r="T29" s="77" t="n">
        <v>84719</v>
      </c>
      <c r="U29" s="78" t="n">
        <v>196</v>
      </c>
      <c r="V29" s="79" t="n">
        <v>27463</v>
      </c>
      <c r="W29" s="79" t="n">
        <v>22670</v>
      </c>
    </row>
    <row r="30" ht="13.5" customHeight="1" s="186">
      <c r="B30" s="97" t="inlineStr">
        <is>
          <t>TO</t>
        </is>
      </c>
      <c r="C30" s="124" t="n">
        <v>18</v>
      </c>
      <c r="D30" s="124" t="n">
        <v>22</v>
      </c>
      <c r="E30" s="124" t="n">
        <v>13</v>
      </c>
      <c r="F30" s="124" t="n">
        <v>9</v>
      </c>
      <c r="G30" s="124" t="n">
        <v>12</v>
      </c>
      <c r="H30" s="124" t="n">
        <v>24</v>
      </c>
      <c r="I30" s="124" t="n">
        <v>37</v>
      </c>
      <c r="J30" s="124" t="n">
        <v>44</v>
      </c>
      <c r="K30" s="124" t="n">
        <v>23</v>
      </c>
      <c r="L30" s="124" t="n">
        <v>17</v>
      </c>
      <c r="M30" s="124" t="n">
        <v>8</v>
      </c>
      <c r="N30" s="76" t="n">
        <v>59</v>
      </c>
      <c r="O30" s="76" t="n">
        <v>58</v>
      </c>
      <c r="P30" s="76" t="n">
        <v>103</v>
      </c>
      <c r="Q30" s="76" t="n">
        <v>432</v>
      </c>
      <c r="R30" s="76" t="n">
        <v>753</v>
      </c>
      <c r="S30" s="76" t="n">
        <v>1622</v>
      </c>
      <c r="T30" s="77" t="n">
        <v>3056</v>
      </c>
      <c r="U30" s="78" t="n">
        <v>5</v>
      </c>
      <c r="V30" s="76" t="n">
        <v>652</v>
      </c>
      <c r="W30" s="76" t="n">
        <v>819</v>
      </c>
    </row>
  </sheetData>
  <mergeCells count="2">
    <mergeCell ref="B2:W2"/>
    <mergeCell ref="B1:W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V2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8" customWidth="1" style="186" min="3" max="22"/>
  </cols>
  <sheetData>
    <row r="1" ht="19.5" customHeight="1" s="186">
      <c r="B1" s="199" t="inlineStr">
        <is>
          <t>Homicídios por Arma de Fogo (X93+X94+X95) por UF e Ano (2005–2024)</t>
        </is>
      </c>
    </row>
    <row r="2" ht="12.75" customHeight="1" s="186">
      <c r="B2" s="198" t="inlineStr">
        <is>
          <t>Fonte: SIM/DataSUS — MS/SVSA/CGIAE. CID-10: X93+X94+X95. Óbitos por local de ocorrência. Arquivos: sim_cnv_ext10uf220614189 (2005-2015) e sim_cnv_ext10uf185942189 (2016-2024).</t>
        </is>
      </c>
    </row>
    <row r="3" ht="19.5" customHeight="1" s="186">
      <c r="B3" s="152" t="inlineStr">
        <is>
          <t>UF</t>
        </is>
      </c>
      <c r="C3" s="147" t="inlineStr">
        <is>
          <t>2005</t>
        </is>
      </c>
      <c r="D3" s="147" t="inlineStr">
        <is>
          <t>2006</t>
        </is>
      </c>
      <c r="E3" s="147" t="inlineStr">
        <is>
          <t>2007</t>
        </is>
      </c>
      <c r="F3" s="147" t="inlineStr">
        <is>
          <t>2008</t>
        </is>
      </c>
      <c r="G3" s="147" t="inlineStr">
        <is>
          <t>2009</t>
        </is>
      </c>
      <c r="H3" s="147" t="inlineStr">
        <is>
          <t>2010</t>
        </is>
      </c>
      <c r="I3" s="147" t="inlineStr">
        <is>
          <t>2011</t>
        </is>
      </c>
      <c r="J3" s="147" t="inlineStr">
        <is>
          <t>2012</t>
        </is>
      </c>
      <c r="K3" s="147" t="inlineStr">
        <is>
          <t>2013</t>
        </is>
      </c>
      <c r="L3" s="147" t="inlineStr">
        <is>
          <t>2014</t>
        </is>
      </c>
      <c r="M3" s="147" t="inlineStr">
        <is>
          <t>2015</t>
        </is>
      </c>
      <c r="N3" s="148" t="inlineStr">
        <is>
          <t>2016</t>
        </is>
      </c>
      <c r="O3" s="148" t="inlineStr">
        <is>
          <t>2017</t>
        </is>
      </c>
      <c r="P3" s="148" t="inlineStr">
        <is>
          <t>2018</t>
        </is>
      </c>
      <c r="Q3" s="148" t="inlineStr">
        <is>
          <t>2019</t>
        </is>
      </c>
      <c r="R3" s="148" t="inlineStr">
        <is>
          <t>2020</t>
        </is>
      </c>
      <c r="S3" s="148" t="inlineStr">
        <is>
          <t>2021</t>
        </is>
      </c>
      <c r="T3" s="149" t="inlineStr">
        <is>
          <t>2022</t>
        </is>
      </c>
      <c r="U3" s="153" t="inlineStr">
        <is>
          <t>2023</t>
        </is>
      </c>
      <c r="V3" s="148" t="inlineStr">
        <is>
          <t>2024</t>
        </is>
      </c>
    </row>
    <row r="4" ht="13.5" customHeight="1" s="186">
      <c r="B4" s="97" t="inlineStr">
        <is>
          <t>AC</t>
        </is>
      </c>
      <c r="C4" s="124" t="n">
        <v>36</v>
      </c>
      <c r="D4" s="124" t="n">
        <v>46</v>
      </c>
      <c r="E4" s="124" t="n">
        <v>49</v>
      </c>
      <c r="F4" s="124" t="n">
        <v>39</v>
      </c>
      <c r="G4" s="124" t="n">
        <v>60</v>
      </c>
      <c r="H4" s="124" t="n">
        <v>62</v>
      </c>
      <c r="I4" s="124" t="n">
        <v>50</v>
      </c>
      <c r="J4" s="124" t="n">
        <v>85</v>
      </c>
      <c r="K4" s="124" t="n">
        <v>97</v>
      </c>
      <c r="L4" s="124" t="n">
        <v>116</v>
      </c>
      <c r="M4" s="124" t="n">
        <v>116</v>
      </c>
      <c r="N4" s="76" t="n">
        <v>225</v>
      </c>
      <c r="O4" s="76" t="n">
        <v>381</v>
      </c>
      <c r="P4" s="76" t="n">
        <v>309</v>
      </c>
      <c r="Q4" s="76" t="n">
        <v>220</v>
      </c>
      <c r="R4" s="76" t="n">
        <v>225</v>
      </c>
      <c r="S4" s="76" t="n">
        <v>118</v>
      </c>
      <c r="T4" s="76" t="n">
        <v>143</v>
      </c>
      <c r="U4" s="76" t="n">
        <v>130</v>
      </c>
      <c r="V4" s="76" t="n">
        <v>98</v>
      </c>
    </row>
    <row r="5" ht="13.5" customHeight="1" s="186">
      <c r="B5" s="105" t="inlineStr">
        <is>
          <t>AL</t>
        </is>
      </c>
      <c r="C5" s="151" t="n">
        <v>914</v>
      </c>
      <c r="D5" s="151" t="n">
        <v>1304</v>
      </c>
      <c r="E5" s="151" t="n">
        <v>1555</v>
      </c>
      <c r="F5" s="151" t="n">
        <v>1600</v>
      </c>
      <c r="G5" s="151" t="n">
        <v>1569</v>
      </c>
      <c r="H5" s="151" t="n">
        <v>1721</v>
      </c>
      <c r="I5" s="151" t="n">
        <v>1937</v>
      </c>
      <c r="J5" s="151" t="n">
        <v>1737</v>
      </c>
      <c r="K5" s="151" t="n">
        <v>1872</v>
      </c>
      <c r="L5" s="151" t="n">
        <v>1821</v>
      </c>
      <c r="M5" s="151" t="n">
        <v>1482</v>
      </c>
      <c r="N5" s="79" t="n">
        <v>1546</v>
      </c>
      <c r="O5" s="79" t="n">
        <v>1538</v>
      </c>
      <c r="P5" s="79" t="n">
        <v>1199</v>
      </c>
      <c r="Q5" s="79" t="n">
        <v>857</v>
      </c>
      <c r="R5" s="79" t="n">
        <v>864</v>
      </c>
      <c r="S5" s="79" t="n">
        <v>733</v>
      </c>
      <c r="T5" s="79" t="n">
        <v>828</v>
      </c>
      <c r="U5" s="79" t="n">
        <v>890</v>
      </c>
      <c r="V5" s="79" t="n">
        <v>889</v>
      </c>
    </row>
    <row r="6" ht="13.5" customHeight="1" s="186">
      <c r="B6" s="97" t="inlineStr">
        <is>
          <t>AM</t>
        </is>
      </c>
      <c r="C6" s="124" t="n">
        <v>264</v>
      </c>
      <c r="D6" s="124" t="n">
        <v>377</v>
      </c>
      <c r="E6" s="124" t="n">
        <v>413</v>
      </c>
      <c r="F6" s="124" t="n">
        <v>446</v>
      </c>
      <c r="G6" s="124" t="n">
        <v>571</v>
      </c>
      <c r="H6" s="124" t="n">
        <v>633</v>
      </c>
      <c r="I6" s="124" t="n">
        <v>879</v>
      </c>
      <c r="J6" s="124" t="n">
        <v>853</v>
      </c>
      <c r="K6" s="124" t="n">
        <v>692</v>
      </c>
      <c r="L6" s="124" t="n">
        <v>759</v>
      </c>
      <c r="M6" s="124" t="n">
        <v>927</v>
      </c>
      <c r="N6" s="76" t="n">
        <v>792</v>
      </c>
      <c r="O6" s="76" t="n">
        <v>969</v>
      </c>
      <c r="P6" s="76" t="n">
        <v>956</v>
      </c>
      <c r="Q6" s="76" t="n">
        <v>980</v>
      </c>
      <c r="R6" s="76" t="n">
        <v>782</v>
      </c>
      <c r="S6" s="76" t="n">
        <v>1278</v>
      </c>
      <c r="T6" s="76" t="n">
        <v>1195</v>
      </c>
      <c r="U6" s="76" t="n">
        <v>1052</v>
      </c>
      <c r="V6" s="76" t="n">
        <v>758</v>
      </c>
    </row>
    <row r="7" ht="13.5" customHeight="1" s="186">
      <c r="B7" s="105" t="inlineStr">
        <is>
          <t>AP</t>
        </is>
      </c>
      <c r="C7" s="151" t="n">
        <v>54</v>
      </c>
      <c r="D7" s="151" t="n">
        <v>74</v>
      </c>
      <c r="E7" s="151" t="n">
        <v>59</v>
      </c>
      <c r="F7" s="151" t="n">
        <v>66</v>
      </c>
      <c r="G7" s="151" t="n">
        <v>69</v>
      </c>
      <c r="H7" s="151" t="n">
        <v>103</v>
      </c>
      <c r="I7" s="151" t="n">
        <v>78</v>
      </c>
      <c r="J7" s="151" t="n">
        <v>116</v>
      </c>
      <c r="K7" s="151" t="n">
        <v>99</v>
      </c>
      <c r="L7" s="151" t="n">
        <v>148</v>
      </c>
      <c r="M7" s="151" t="n">
        <v>152</v>
      </c>
      <c r="N7" s="79" t="n">
        <v>216</v>
      </c>
      <c r="O7" s="79" t="n">
        <v>178</v>
      </c>
      <c r="P7" s="79" t="n">
        <v>239</v>
      </c>
      <c r="Q7" s="79" t="n">
        <v>232</v>
      </c>
      <c r="R7" s="79" t="n">
        <v>222</v>
      </c>
      <c r="S7" s="79" t="n">
        <v>311</v>
      </c>
      <c r="T7" s="79" t="n">
        <v>235</v>
      </c>
      <c r="U7" s="79" t="n">
        <v>303</v>
      </c>
      <c r="V7" s="79" t="n">
        <v>196</v>
      </c>
    </row>
    <row r="8" ht="13.5" customHeight="1" s="186">
      <c r="B8" s="97" t="inlineStr">
        <is>
          <t>BA</t>
        </is>
      </c>
      <c r="C8" s="124" t="n">
        <v>2028</v>
      </c>
      <c r="D8" s="124" t="n">
        <v>2396</v>
      </c>
      <c r="E8" s="124" t="n">
        <v>2692</v>
      </c>
      <c r="F8" s="124" t="n">
        <v>3822</v>
      </c>
      <c r="G8" s="124" t="n">
        <v>4367</v>
      </c>
      <c r="H8" s="124" t="n">
        <v>4449</v>
      </c>
      <c r="I8" s="124" t="n">
        <v>4165</v>
      </c>
      <c r="J8" s="124" t="n">
        <v>4600</v>
      </c>
      <c r="K8" s="124" t="n">
        <v>4289</v>
      </c>
      <c r="L8" s="124" t="n">
        <v>4652</v>
      </c>
      <c r="M8" s="124" t="n">
        <v>4553</v>
      </c>
      <c r="N8" s="76" t="n">
        <v>5442</v>
      </c>
      <c r="O8" s="76" t="n">
        <v>5416</v>
      </c>
      <c r="P8" s="76" t="n">
        <v>4958</v>
      </c>
      <c r="Q8" s="76" t="n">
        <v>4586</v>
      </c>
      <c r="R8" s="76" t="n">
        <v>5082</v>
      </c>
      <c r="S8" s="76" t="n">
        <v>5290</v>
      </c>
      <c r="T8" s="76" t="n">
        <v>4825</v>
      </c>
      <c r="U8" s="76" t="n">
        <v>4749</v>
      </c>
      <c r="V8" s="76" t="n">
        <v>3777</v>
      </c>
    </row>
    <row r="9" ht="13.5" customHeight="1" s="186">
      <c r="B9" s="105" t="inlineStr">
        <is>
          <t>CE</t>
        </is>
      </c>
      <c r="C9" s="151" t="n">
        <v>1011</v>
      </c>
      <c r="D9" s="151" t="n">
        <v>1060</v>
      </c>
      <c r="E9" s="151" t="n">
        <v>1231</v>
      </c>
      <c r="F9" s="151" t="n">
        <v>1343</v>
      </c>
      <c r="G9" s="151" t="n">
        <v>1515</v>
      </c>
      <c r="H9" s="151" t="n">
        <v>2056</v>
      </c>
      <c r="I9" s="151" t="n">
        <v>2063</v>
      </c>
      <c r="J9" s="151" t="n">
        <v>3132</v>
      </c>
      <c r="K9" s="151" t="n">
        <v>3652</v>
      </c>
      <c r="L9" s="151" t="n">
        <v>3800</v>
      </c>
      <c r="M9" s="151" t="n">
        <v>3397</v>
      </c>
      <c r="N9" s="79" t="n">
        <v>2892</v>
      </c>
      <c r="O9" s="79" t="n">
        <v>4695</v>
      </c>
      <c r="P9" s="79" t="n">
        <v>4220</v>
      </c>
      <c r="Q9" s="79" t="n">
        <v>1885</v>
      </c>
      <c r="R9" s="79" t="n">
        <v>3434</v>
      </c>
      <c r="S9" s="79" t="n">
        <v>2966</v>
      </c>
      <c r="T9" s="79" t="n">
        <v>2474</v>
      </c>
      <c r="U9" s="79" t="n">
        <v>2513</v>
      </c>
      <c r="V9" s="79" t="n">
        <v>2705</v>
      </c>
    </row>
    <row r="10" ht="13.5" customHeight="1" s="186">
      <c r="B10" s="97" t="inlineStr">
        <is>
          <t>DF</t>
        </is>
      </c>
      <c r="C10" s="124" t="n">
        <v>512</v>
      </c>
      <c r="D10" s="124" t="n">
        <v>502</v>
      </c>
      <c r="E10" s="124" t="n">
        <v>591</v>
      </c>
      <c r="F10" s="124" t="n">
        <v>617</v>
      </c>
      <c r="G10" s="124" t="n">
        <v>745</v>
      </c>
      <c r="H10" s="124" t="n">
        <v>630</v>
      </c>
      <c r="I10" s="124" t="n">
        <v>710</v>
      </c>
      <c r="J10" s="124" t="n">
        <v>786</v>
      </c>
      <c r="K10" s="124" t="n">
        <v>656</v>
      </c>
      <c r="L10" s="124" t="n">
        <v>706</v>
      </c>
      <c r="M10" s="124" t="n">
        <v>535</v>
      </c>
      <c r="N10" s="76" t="n">
        <v>541</v>
      </c>
      <c r="O10" s="76" t="n">
        <v>405</v>
      </c>
      <c r="P10" s="76" t="n">
        <v>340</v>
      </c>
      <c r="Q10" s="76" t="n">
        <v>267</v>
      </c>
      <c r="R10" s="76" t="n">
        <v>253</v>
      </c>
      <c r="S10" s="76" t="n">
        <v>193</v>
      </c>
      <c r="T10" s="76" t="n">
        <v>179</v>
      </c>
      <c r="U10" s="76" t="n">
        <v>132</v>
      </c>
      <c r="V10" s="76" t="n">
        <v>110</v>
      </c>
    </row>
    <row r="11" ht="13.5" customHeight="1" s="186">
      <c r="B11" s="105" t="inlineStr">
        <is>
          <t>ES</t>
        </is>
      </c>
      <c r="C11" s="151" t="n">
        <v>1188</v>
      </c>
      <c r="D11" s="151" t="n">
        <v>1299</v>
      </c>
      <c r="E11" s="151" t="n">
        <v>1372</v>
      </c>
      <c r="F11" s="151" t="n">
        <v>1494</v>
      </c>
      <c r="G11" s="151" t="n">
        <v>1557</v>
      </c>
      <c r="H11" s="151" t="n">
        <v>1359</v>
      </c>
      <c r="I11" s="151" t="n">
        <v>1358</v>
      </c>
      <c r="J11" s="151" t="n">
        <v>1350</v>
      </c>
      <c r="K11" s="151" t="n">
        <v>1289</v>
      </c>
      <c r="L11" s="151" t="n">
        <v>1291</v>
      </c>
      <c r="M11" s="151" t="n">
        <v>1100</v>
      </c>
      <c r="N11" s="79" t="n">
        <v>965</v>
      </c>
      <c r="O11" s="79" t="n">
        <v>1234</v>
      </c>
      <c r="P11" s="79" t="n">
        <v>885</v>
      </c>
      <c r="Q11" s="79" t="n">
        <v>777</v>
      </c>
      <c r="R11" s="79" t="n">
        <v>934</v>
      </c>
      <c r="S11" s="79" t="n">
        <v>908</v>
      </c>
      <c r="T11" s="79" t="n">
        <v>860</v>
      </c>
      <c r="U11" s="79" t="n">
        <v>842</v>
      </c>
      <c r="V11" s="79" t="n">
        <v>744</v>
      </c>
    </row>
    <row r="12" ht="13.5" customHeight="1" s="186">
      <c r="B12" s="97" t="inlineStr">
        <is>
          <t>GO</t>
        </is>
      </c>
      <c r="C12" s="124" t="n">
        <v>891</v>
      </c>
      <c r="D12" s="124" t="n">
        <v>923</v>
      </c>
      <c r="E12" s="124" t="n">
        <v>945</v>
      </c>
      <c r="F12" s="124" t="n">
        <v>1178</v>
      </c>
      <c r="G12" s="124" t="n">
        <v>1192</v>
      </c>
      <c r="H12" s="124" t="n">
        <v>1270</v>
      </c>
      <c r="I12" s="124" t="n">
        <v>1536</v>
      </c>
      <c r="J12" s="124" t="n">
        <v>1902</v>
      </c>
      <c r="K12" s="124" t="n">
        <v>2096</v>
      </c>
      <c r="L12" s="124" t="n">
        <v>1993</v>
      </c>
      <c r="M12" s="124" t="n">
        <v>2120</v>
      </c>
      <c r="N12" s="76" t="n">
        <v>2133</v>
      </c>
      <c r="O12" s="76" t="n">
        <v>2060</v>
      </c>
      <c r="P12" s="76" t="n">
        <v>1885</v>
      </c>
      <c r="Q12" s="76" t="n">
        <v>1476</v>
      </c>
      <c r="R12" s="76" t="n">
        <v>1413</v>
      </c>
      <c r="S12" s="76" t="n">
        <v>1017</v>
      </c>
      <c r="T12" s="76" t="n">
        <v>946</v>
      </c>
      <c r="U12" s="76" t="n">
        <v>840</v>
      </c>
      <c r="V12" s="76" t="n">
        <v>634</v>
      </c>
    </row>
    <row r="13" ht="13.5" customHeight="1" s="186">
      <c r="B13" s="105" t="inlineStr">
        <is>
          <t>MA</t>
        </is>
      </c>
      <c r="C13" s="151" t="n">
        <v>472</v>
      </c>
      <c r="D13" s="151" t="n">
        <v>461</v>
      </c>
      <c r="E13" s="151" t="n">
        <v>585</v>
      </c>
      <c r="F13" s="151" t="n">
        <v>689</v>
      </c>
      <c r="G13" s="151" t="n">
        <v>784</v>
      </c>
      <c r="H13" s="151" t="n">
        <v>812</v>
      </c>
      <c r="I13" s="151" t="n">
        <v>939</v>
      </c>
      <c r="J13" s="151" t="n">
        <v>1142</v>
      </c>
      <c r="K13" s="151" t="n">
        <v>1382</v>
      </c>
      <c r="L13" s="151" t="n">
        <v>1675</v>
      </c>
      <c r="M13" s="151" t="n">
        <v>1722</v>
      </c>
      <c r="N13" s="79" t="n">
        <v>1625</v>
      </c>
      <c r="O13" s="79" t="n">
        <v>1474</v>
      </c>
      <c r="P13" s="79" t="n">
        <v>1257</v>
      </c>
      <c r="Q13" s="79" t="n">
        <v>1061</v>
      </c>
      <c r="R13" s="79" t="n">
        <v>1426</v>
      </c>
      <c r="S13" s="79" t="n">
        <v>1439</v>
      </c>
      <c r="T13" s="79" t="n">
        <v>1322</v>
      </c>
      <c r="U13" s="79" t="n">
        <v>1437</v>
      </c>
      <c r="V13" s="79" t="n">
        <v>1572</v>
      </c>
    </row>
    <row r="14" ht="13.5" customHeight="1" s="186">
      <c r="B14" s="97" t="inlineStr">
        <is>
          <t>MG</t>
        </is>
      </c>
      <c r="C14" s="124" t="n">
        <v>3088</v>
      </c>
      <c r="D14" s="124" t="n">
        <v>3069</v>
      </c>
      <c r="E14" s="124" t="n">
        <v>2971</v>
      </c>
      <c r="F14" s="124" t="n">
        <v>2742</v>
      </c>
      <c r="G14" s="124" t="n">
        <v>2588</v>
      </c>
      <c r="H14" s="124" t="n">
        <v>2455</v>
      </c>
      <c r="I14" s="124" t="n">
        <v>2985</v>
      </c>
      <c r="J14" s="124" t="n">
        <v>3210</v>
      </c>
      <c r="K14" s="124" t="n">
        <v>3455</v>
      </c>
      <c r="L14" s="124" t="n">
        <v>3363</v>
      </c>
      <c r="M14" s="124" t="n">
        <v>3208</v>
      </c>
      <c r="N14" s="76" t="n">
        <v>3310</v>
      </c>
      <c r="O14" s="76" t="n">
        <v>3060</v>
      </c>
      <c r="P14" s="76" t="n">
        <v>2234</v>
      </c>
      <c r="Q14" s="76" t="n">
        <v>1869</v>
      </c>
      <c r="R14" s="76" t="n">
        <v>1692</v>
      </c>
      <c r="S14" s="76" t="n">
        <v>1588</v>
      </c>
      <c r="T14" s="76" t="n">
        <v>1737</v>
      </c>
      <c r="U14" s="76" t="n">
        <v>1749</v>
      </c>
      <c r="V14" s="76" t="n">
        <v>1682</v>
      </c>
    </row>
    <row r="15" ht="13.5" customHeight="1" s="186">
      <c r="B15" s="105" t="inlineStr">
        <is>
          <t>MS</t>
        </is>
      </c>
      <c r="C15" s="151" t="n">
        <v>346</v>
      </c>
      <c r="D15" s="151" t="n">
        <v>372</v>
      </c>
      <c r="E15" s="151" t="n">
        <v>401</v>
      </c>
      <c r="F15" s="151" t="n">
        <v>389</v>
      </c>
      <c r="G15" s="151" t="n">
        <v>433</v>
      </c>
      <c r="H15" s="151" t="n">
        <v>339</v>
      </c>
      <c r="I15" s="151" t="n">
        <v>364</v>
      </c>
      <c r="J15" s="151" t="n">
        <v>335</v>
      </c>
      <c r="K15" s="151" t="n">
        <v>314</v>
      </c>
      <c r="L15" s="151" t="n">
        <v>355</v>
      </c>
      <c r="M15" s="151" t="n">
        <v>317</v>
      </c>
      <c r="N15" s="79" t="n">
        <v>328</v>
      </c>
      <c r="O15" s="79" t="n">
        <v>318</v>
      </c>
      <c r="P15" s="79" t="n">
        <v>246</v>
      </c>
      <c r="Q15" s="79" t="n">
        <v>231</v>
      </c>
      <c r="R15" s="79" t="n">
        <v>215</v>
      </c>
      <c r="S15" s="79" t="n">
        <v>269</v>
      </c>
      <c r="T15" s="79" t="n">
        <v>249</v>
      </c>
      <c r="U15" s="79" t="n">
        <v>227</v>
      </c>
      <c r="V15" s="79" t="n">
        <v>217</v>
      </c>
    </row>
    <row r="16" ht="13.5" customHeight="1" s="186">
      <c r="B16" s="97" t="inlineStr">
        <is>
          <t>MT</t>
        </is>
      </c>
      <c r="C16" s="124" t="n">
        <v>484</v>
      </c>
      <c r="D16" s="124" t="n">
        <v>499</v>
      </c>
      <c r="E16" s="124" t="n">
        <v>542</v>
      </c>
      <c r="F16" s="124" t="n">
        <v>579</v>
      </c>
      <c r="G16" s="124" t="n">
        <v>575</v>
      </c>
      <c r="H16" s="124" t="n">
        <v>568</v>
      </c>
      <c r="I16" s="124" t="n">
        <v>605</v>
      </c>
      <c r="J16" s="124" t="n">
        <v>649</v>
      </c>
      <c r="K16" s="124" t="n">
        <v>750</v>
      </c>
      <c r="L16" s="124" t="n">
        <v>856</v>
      </c>
      <c r="M16" s="124" t="n">
        <v>780</v>
      </c>
      <c r="N16" s="76" t="n">
        <v>757</v>
      </c>
      <c r="O16" s="76" t="n">
        <v>675</v>
      </c>
      <c r="P16" s="76" t="n">
        <v>562</v>
      </c>
      <c r="Q16" s="76" t="n">
        <v>506</v>
      </c>
      <c r="R16" s="76" t="n">
        <v>594</v>
      </c>
      <c r="S16" s="76" t="n">
        <v>556</v>
      </c>
      <c r="T16" s="76" t="n">
        <v>676</v>
      </c>
      <c r="U16" s="76" t="n">
        <v>765</v>
      </c>
      <c r="V16" s="76" t="n">
        <v>693</v>
      </c>
    </row>
    <row r="17" ht="13.5" customHeight="1" s="186">
      <c r="B17" s="105" t="inlineStr">
        <is>
          <t>PA</t>
        </is>
      </c>
      <c r="C17" s="151" t="n">
        <v>1199</v>
      </c>
      <c r="D17" s="151" t="n">
        <v>1296</v>
      </c>
      <c r="E17" s="151" t="n">
        <v>1390</v>
      </c>
      <c r="F17" s="151" t="n">
        <v>1935</v>
      </c>
      <c r="G17" s="151" t="n">
        <v>2042</v>
      </c>
      <c r="H17" s="151" t="n">
        <v>2520</v>
      </c>
      <c r="I17" s="151" t="n">
        <v>2082</v>
      </c>
      <c r="J17" s="151" t="n">
        <v>2150</v>
      </c>
      <c r="K17" s="151" t="n">
        <v>2254</v>
      </c>
      <c r="L17" s="151" t="n">
        <v>2327</v>
      </c>
      <c r="M17" s="151" t="n">
        <v>2546</v>
      </c>
      <c r="N17" s="79" t="n">
        <v>3061</v>
      </c>
      <c r="O17" s="79" t="n">
        <v>3378</v>
      </c>
      <c r="P17" s="79" t="n">
        <v>3461</v>
      </c>
      <c r="Q17" s="79" t="n">
        <v>2356</v>
      </c>
      <c r="R17" s="79" t="n">
        <v>1899</v>
      </c>
      <c r="S17" s="79" t="n">
        <v>1959</v>
      </c>
      <c r="T17" s="79" t="n">
        <v>2039</v>
      </c>
      <c r="U17" s="79" t="n">
        <v>1765</v>
      </c>
      <c r="V17" s="79" t="n">
        <v>1560</v>
      </c>
    </row>
    <row r="18" ht="13.5" customHeight="1" s="186">
      <c r="B18" s="97" t="inlineStr">
        <is>
          <t>PB</t>
        </is>
      </c>
      <c r="C18" s="124" t="n">
        <v>541</v>
      </c>
      <c r="D18" s="124" t="n">
        <v>627</v>
      </c>
      <c r="E18" s="124" t="n">
        <v>659</v>
      </c>
      <c r="F18" s="124" t="n">
        <v>745</v>
      </c>
      <c r="G18" s="124" t="n">
        <v>1022</v>
      </c>
      <c r="H18" s="124" t="n">
        <v>1215</v>
      </c>
      <c r="I18" s="124" t="n">
        <v>1382</v>
      </c>
      <c r="J18" s="124" t="n">
        <v>1230</v>
      </c>
      <c r="K18" s="124" t="n">
        <v>1251</v>
      </c>
      <c r="L18" s="124" t="n">
        <v>1250</v>
      </c>
      <c r="M18" s="124" t="n">
        <v>1265</v>
      </c>
      <c r="N18" s="76" t="n">
        <v>1064</v>
      </c>
      <c r="O18" s="76" t="n">
        <v>1038</v>
      </c>
      <c r="P18" s="76" t="n">
        <v>995</v>
      </c>
      <c r="Q18" s="76" t="n">
        <v>718</v>
      </c>
      <c r="R18" s="76" t="n">
        <v>923</v>
      </c>
      <c r="S18" s="76" t="n">
        <v>940</v>
      </c>
      <c r="T18" s="76" t="n">
        <v>902</v>
      </c>
      <c r="U18" s="76" t="n">
        <v>896</v>
      </c>
      <c r="V18" s="76" t="n">
        <v>892</v>
      </c>
    </row>
    <row r="19" ht="13.5" customHeight="1" s="186">
      <c r="B19" s="105" t="inlineStr">
        <is>
          <t>PE</t>
        </is>
      </c>
      <c r="C19" s="151" t="n">
        <v>3492</v>
      </c>
      <c r="D19" s="151" t="n">
        <v>3594</v>
      </c>
      <c r="E19" s="151" t="n">
        <v>3707</v>
      </c>
      <c r="F19" s="151" t="n">
        <v>3437</v>
      </c>
      <c r="G19" s="151" t="n">
        <v>3106</v>
      </c>
      <c r="H19" s="151" t="n">
        <v>2630</v>
      </c>
      <c r="I19" s="151" t="n">
        <v>2533</v>
      </c>
      <c r="J19" s="151" t="n">
        <v>2467</v>
      </c>
      <c r="K19" s="151" t="n">
        <v>2301</v>
      </c>
      <c r="L19" s="151" t="n">
        <v>2543</v>
      </c>
      <c r="M19" s="151" t="n">
        <v>3073</v>
      </c>
      <c r="N19" s="79" t="n">
        <v>3490</v>
      </c>
      <c r="O19" s="79" t="n">
        <v>4495</v>
      </c>
      <c r="P19" s="79" t="n">
        <v>3378</v>
      </c>
      <c r="Q19" s="79" t="n">
        <v>2699</v>
      </c>
      <c r="R19" s="79" t="n">
        <v>3063</v>
      </c>
      <c r="S19" s="79" t="n">
        <v>2793</v>
      </c>
      <c r="T19" s="79" t="n">
        <v>2766</v>
      </c>
      <c r="U19" s="79" t="n">
        <v>2997</v>
      </c>
      <c r="V19" s="79" t="n">
        <v>2775</v>
      </c>
    </row>
    <row r="20" ht="13.5" customHeight="1" s="186">
      <c r="B20" s="97" t="inlineStr">
        <is>
          <t>PI</t>
        </is>
      </c>
      <c r="C20" s="124" t="n">
        <v>156</v>
      </c>
      <c r="D20" s="124" t="n">
        <v>201</v>
      </c>
      <c r="E20" s="124" t="n">
        <v>196</v>
      </c>
      <c r="F20" s="124" t="n">
        <v>169</v>
      </c>
      <c r="G20" s="124" t="n">
        <v>192</v>
      </c>
      <c r="H20" s="124" t="n">
        <v>220</v>
      </c>
      <c r="I20" s="124" t="n">
        <v>264</v>
      </c>
      <c r="J20" s="124" t="n">
        <v>321</v>
      </c>
      <c r="K20" s="124" t="n">
        <v>373</v>
      </c>
      <c r="L20" s="124" t="n">
        <v>456</v>
      </c>
      <c r="M20" s="124" t="n">
        <v>406</v>
      </c>
      <c r="N20" s="76" t="n">
        <v>448</v>
      </c>
      <c r="O20" s="76" t="n">
        <v>385</v>
      </c>
      <c r="P20" s="76" t="n">
        <v>385</v>
      </c>
      <c r="Q20" s="76" t="n">
        <v>352</v>
      </c>
      <c r="R20" s="76" t="n">
        <v>456</v>
      </c>
      <c r="S20" s="76" t="n">
        <v>566</v>
      </c>
      <c r="T20" s="76" t="n">
        <v>607</v>
      </c>
      <c r="U20" s="76" t="n">
        <v>523</v>
      </c>
      <c r="V20" s="76" t="n">
        <v>483</v>
      </c>
    </row>
    <row r="21" ht="13.5" customHeight="1" s="186">
      <c r="B21" s="105" t="inlineStr">
        <is>
          <t>PR</t>
        </is>
      </c>
      <c r="C21" s="151" t="n">
        <v>2041</v>
      </c>
      <c r="D21" s="151" t="n">
        <v>2234</v>
      </c>
      <c r="E21" s="151" t="n">
        <v>2297</v>
      </c>
      <c r="F21" s="151" t="n">
        <v>2561</v>
      </c>
      <c r="G21" s="151" t="n">
        <v>2686</v>
      </c>
      <c r="H21" s="151" t="n">
        <v>2648</v>
      </c>
      <c r="I21" s="151" t="n">
        <v>2380</v>
      </c>
      <c r="J21" s="151" t="n">
        <v>2441</v>
      </c>
      <c r="K21" s="151" t="n">
        <v>2042</v>
      </c>
      <c r="L21" s="151" t="n">
        <v>2083</v>
      </c>
      <c r="M21" s="151" t="n">
        <v>1981</v>
      </c>
      <c r="N21" s="79" t="n">
        <v>2131</v>
      </c>
      <c r="O21" s="79" t="n">
        <v>1837</v>
      </c>
      <c r="P21" s="79" t="n">
        <v>1526</v>
      </c>
      <c r="Q21" s="79" t="n">
        <v>1182</v>
      </c>
      <c r="R21" s="79" t="n">
        <v>1407</v>
      </c>
      <c r="S21" s="79" t="n">
        <v>1377</v>
      </c>
      <c r="T21" s="79" t="n">
        <v>1501</v>
      </c>
      <c r="U21" s="79" t="n">
        <v>1252</v>
      </c>
      <c r="V21" s="79" t="n">
        <v>1095</v>
      </c>
    </row>
    <row r="22" ht="13.5" customHeight="1" s="186">
      <c r="B22" s="97" t="inlineStr">
        <is>
          <t>RJ</t>
        </is>
      </c>
      <c r="C22" s="124" t="n">
        <v>5987</v>
      </c>
      <c r="D22" s="124" t="n">
        <v>5807</v>
      </c>
      <c r="E22" s="124" t="n">
        <v>5107</v>
      </c>
      <c r="F22" s="124" t="n">
        <v>4346</v>
      </c>
      <c r="G22" s="124" t="n">
        <v>4013</v>
      </c>
      <c r="H22" s="124" t="n">
        <v>4118</v>
      </c>
      <c r="I22" s="124" t="n">
        <v>3414</v>
      </c>
      <c r="J22" s="124" t="n">
        <v>3473</v>
      </c>
      <c r="K22" s="124" t="n">
        <v>3562</v>
      </c>
      <c r="L22" s="124" t="n">
        <v>3656</v>
      </c>
      <c r="M22" s="124" t="n">
        <v>3178</v>
      </c>
      <c r="N22" s="76" t="n">
        <v>4036</v>
      </c>
      <c r="O22" s="76" t="n">
        <v>4419</v>
      </c>
      <c r="P22" s="76" t="n">
        <v>4267</v>
      </c>
      <c r="Q22" s="76" t="n">
        <v>2311</v>
      </c>
      <c r="R22" s="76" t="n">
        <v>2744</v>
      </c>
      <c r="S22" s="76" t="n">
        <v>3000</v>
      </c>
      <c r="T22" s="76" t="n">
        <v>2438</v>
      </c>
      <c r="U22" s="76" t="n">
        <v>2584</v>
      </c>
      <c r="V22" s="76" t="n">
        <v>2033</v>
      </c>
    </row>
    <row r="23" ht="13.5" customHeight="1" s="186">
      <c r="B23" s="105" t="inlineStr">
        <is>
          <t>RN</t>
        </is>
      </c>
      <c r="C23" s="151" t="n">
        <v>270</v>
      </c>
      <c r="D23" s="151" t="n">
        <v>303</v>
      </c>
      <c r="E23" s="151" t="n">
        <v>441</v>
      </c>
      <c r="F23" s="151" t="n">
        <v>541</v>
      </c>
      <c r="G23" s="151" t="n">
        <v>614</v>
      </c>
      <c r="H23" s="151" t="n">
        <v>615</v>
      </c>
      <c r="I23" s="151" t="n">
        <v>779</v>
      </c>
      <c r="J23" s="151" t="n">
        <v>850</v>
      </c>
      <c r="K23" s="151" t="n">
        <v>1153</v>
      </c>
      <c r="L23" s="151" t="n">
        <v>1316</v>
      </c>
      <c r="M23" s="151" t="n">
        <v>1238</v>
      </c>
      <c r="N23" s="79" t="n">
        <v>1568</v>
      </c>
      <c r="O23" s="79" t="n">
        <v>1924</v>
      </c>
      <c r="P23" s="79" t="n">
        <v>1641</v>
      </c>
      <c r="Q23" s="79" t="n">
        <v>1177</v>
      </c>
      <c r="R23" s="79" t="n">
        <v>1230</v>
      </c>
      <c r="S23" s="79" t="n">
        <v>1014</v>
      </c>
      <c r="T23" s="79" t="n">
        <v>965</v>
      </c>
      <c r="U23" s="79" t="n">
        <v>706</v>
      </c>
      <c r="V23" s="79" t="n">
        <v>606</v>
      </c>
    </row>
    <row r="24" ht="13.5" customHeight="1" s="186">
      <c r="B24" s="97" t="inlineStr">
        <is>
          <t>RO</t>
        </is>
      </c>
      <c r="C24" s="124" t="n">
        <v>369</v>
      </c>
      <c r="D24" s="124" t="n">
        <v>388</v>
      </c>
      <c r="E24" s="124" t="n">
        <v>323</v>
      </c>
      <c r="F24" s="124" t="n">
        <v>283</v>
      </c>
      <c r="G24" s="124" t="n">
        <v>349</v>
      </c>
      <c r="H24" s="124" t="n">
        <v>348</v>
      </c>
      <c r="I24" s="124" t="n">
        <v>285</v>
      </c>
      <c r="J24" s="124" t="n">
        <v>338</v>
      </c>
      <c r="K24" s="124" t="n">
        <v>300</v>
      </c>
      <c r="L24" s="124" t="n">
        <v>398</v>
      </c>
      <c r="M24" s="124" t="n">
        <v>382</v>
      </c>
      <c r="N24" s="76" t="n">
        <v>465</v>
      </c>
      <c r="O24" s="76" t="n">
        <v>376</v>
      </c>
      <c r="P24" s="76" t="n">
        <v>302</v>
      </c>
      <c r="Q24" s="76" t="n">
        <v>258</v>
      </c>
      <c r="R24" s="76" t="n">
        <v>256</v>
      </c>
      <c r="S24" s="76" t="n">
        <v>324</v>
      </c>
      <c r="T24" s="76" t="n">
        <v>378</v>
      </c>
      <c r="U24" s="76" t="n">
        <v>327</v>
      </c>
      <c r="V24" s="76" t="n">
        <v>331</v>
      </c>
    </row>
    <row r="25" ht="13.5" customHeight="1" s="186">
      <c r="B25" s="105" t="inlineStr">
        <is>
          <t>RR</t>
        </is>
      </c>
      <c r="C25" s="151" t="n">
        <v>28</v>
      </c>
      <c r="D25" s="151" t="n">
        <v>38</v>
      </c>
      <c r="E25" s="151" t="n">
        <v>28</v>
      </c>
      <c r="F25" s="151" t="n">
        <v>29</v>
      </c>
      <c r="G25" s="151" t="n">
        <v>27</v>
      </c>
      <c r="H25" s="151" t="n">
        <v>29</v>
      </c>
      <c r="I25" s="151" t="n">
        <v>25</v>
      </c>
      <c r="J25" s="151" t="n">
        <v>32</v>
      </c>
      <c r="K25" s="151" t="n">
        <v>69</v>
      </c>
      <c r="L25" s="151" t="n">
        <v>47</v>
      </c>
      <c r="M25" s="151" t="n">
        <v>59</v>
      </c>
      <c r="N25" s="79" t="n">
        <v>70</v>
      </c>
      <c r="O25" s="79" t="n">
        <v>96</v>
      </c>
      <c r="P25" s="79" t="n">
        <v>182</v>
      </c>
      <c r="Q25" s="79" t="n">
        <v>83</v>
      </c>
      <c r="R25" s="79" t="n">
        <v>101</v>
      </c>
      <c r="S25" s="79" t="n">
        <v>105</v>
      </c>
      <c r="T25" s="79" t="n">
        <v>103</v>
      </c>
      <c r="U25" s="79" t="n">
        <v>105</v>
      </c>
      <c r="V25" s="79" t="n">
        <v>69</v>
      </c>
    </row>
    <row r="26" ht="13.5" customHeight="1" s="186">
      <c r="B26" s="97" t="inlineStr">
        <is>
          <t>RS</t>
        </is>
      </c>
      <c r="C26" s="124" t="n">
        <v>1471</v>
      </c>
      <c r="D26" s="124" t="n">
        <v>1419</v>
      </c>
      <c r="E26" s="124" t="n">
        <v>1655</v>
      </c>
      <c r="F26" s="124" t="n">
        <v>1795</v>
      </c>
      <c r="G26" s="124" t="n">
        <v>1641</v>
      </c>
      <c r="H26" s="124" t="n">
        <v>1495</v>
      </c>
      <c r="I26" s="124" t="n">
        <v>1529</v>
      </c>
      <c r="J26" s="124" t="n">
        <v>1737</v>
      </c>
      <c r="K26" s="124" t="n">
        <v>1711</v>
      </c>
      <c r="L26" s="124" t="n">
        <v>2052</v>
      </c>
      <c r="M26" s="124" t="n">
        <v>2281</v>
      </c>
      <c r="N26" s="76" t="n">
        <v>2506</v>
      </c>
      <c r="O26" s="76" t="n">
        <v>2582</v>
      </c>
      <c r="P26" s="76" t="n">
        <v>2069</v>
      </c>
      <c r="Q26" s="76" t="n">
        <v>1599</v>
      </c>
      <c r="R26" s="76" t="n">
        <v>1537</v>
      </c>
      <c r="S26" s="76" t="n">
        <v>1378</v>
      </c>
      <c r="T26" s="76" t="n">
        <v>1478</v>
      </c>
      <c r="U26" s="76" t="n">
        <v>1407</v>
      </c>
      <c r="V26" s="76" t="n">
        <v>1227</v>
      </c>
    </row>
    <row r="27" ht="13.5" customHeight="1" s="186">
      <c r="B27" s="105" t="inlineStr">
        <is>
          <t>SC</t>
        </is>
      </c>
      <c r="C27" s="151" t="n">
        <v>386</v>
      </c>
      <c r="D27" s="151" t="n">
        <v>381</v>
      </c>
      <c r="E27" s="151" t="n">
        <v>378</v>
      </c>
      <c r="F27" s="151" t="n">
        <v>499</v>
      </c>
      <c r="G27" s="151" t="n">
        <v>505</v>
      </c>
      <c r="H27" s="151" t="n">
        <v>477</v>
      </c>
      <c r="I27" s="151" t="n">
        <v>481</v>
      </c>
      <c r="J27" s="151" t="n">
        <v>495</v>
      </c>
      <c r="K27" s="151" t="n">
        <v>439</v>
      </c>
      <c r="L27" s="151" t="n">
        <v>496</v>
      </c>
      <c r="M27" s="151" t="n">
        <v>563</v>
      </c>
      <c r="N27" s="79" t="n">
        <v>608</v>
      </c>
      <c r="O27" s="79" t="n">
        <v>669</v>
      </c>
      <c r="P27" s="79" t="n">
        <v>449</v>
      </c>
      <c r="Q27" s="79" t="n">
        <v>395</v>
      </c>
      <c r="R27" s="79" t="n">
        <v>382</v>
      </c>
      <c r="S27" s="79" t="n">
        <v>380</v>
      </c>
      <c r="T27" s="79" t="n">
        <v>313</v>
      </c>
      <c r="U27" s="79" t="n">
        <v>297</v>
      </c>
      <c r="V27" s="79" t="n">
        <v>305</v>
      </c>
    </row>
    <row r="28" ht="13.5" customHeight="1" s="186">
      <c r="B28" s="97" t="inlineStr">
        <is>
          <t>SE</t>
        </is>
      </c>
      <c r="C28" s="124" t="n">
        <v>325</v>
      </c>
      <c r="D28" s="124" t="n">
        <v>414</v>
      </c>
      <c r="E28" s="124" t="n">
        <v>346</v>
      </c>
      <c r="F28" s="124" t="n">
        <v>373</v>
      </c>
      <c r="G28" s="124" t="n">
        <v>448</v>
      </c>
      <c r="H28" s="124" t="n">
        <v>461</v>
      </c>
      <c r="I28" s="124" t="n">
        <v>526</v>
      </c>
      <c r="J28" s="124" t="n">
        <v>653</v>
      </c>
      <c r="K28" s="124" t="n">
        <v>723</v>
      </c>
      <c r="L28" s="124" t="n">
        <v>896</v>
      </c>
      <c r="M28" s="124" t="n">
        <v>1101</v>
      </c>
      <c r="N28" s="76" t="n">
        <v>1263</v>
      </c>
      <c r="O28" s="76" t="n">
        <v>1097</v>
      </c>
      <c r="P28" s="76" t="n">
        <v>961</v>
      </c>
      <c r="Q28" s="76" t="n">
        <v>780</v>
      </c>
      <c r="R28" s="76" t="n">
        <v>823</v>
      </c>
      <c r="S28" s="76" t="n">
        <v>664</v>
      </c>
      <c r="T28" s="76" t="n">
        <v>654</v>
      </c>
      <c r="U28" s="76" t="n">
        <v>572</v>
      </c>
      <c r="V28" s="76" t="n">
        <v>396</v>
      </c>
    </row>
    <row r="29" ht="13.5" customHeight="1" s="186">
      <c r="B29" s="105" t="inlineStr">
        <is>
          <t>SP</t>
        </is>
      </c>
      <c r="C29" s="151" t="n">
        <v>5784</v>
      </c>
      <c r="D29" s="151" t="n">
        <v>5748</v>
      </c>
      <c r="E29" s="151" t="n">
        <v>4129</v>
      </c>
      <c r="F29" s="151" t="n">
        <v>3865</v>
      </c>
      <c r="G29" s="151" t="n">
        <v>3831</v>
      </c>
      <c r="H29" s="151" t="n">
        <v>3434</v>
      </c>
      <c r="I29" s="151" t="n">
        <v>3231</v>
      </c>
      <c r="J29" s="151" t="n">
        <v>3821</v>
      </c>
      <c r="K29" s="151" t="n">
        <v>3408</v>
      </c>
      <c r="L29" s="151" t="n">
        <v>3536</v>
      </c>
      <c r="M29" s="151" t="n">
        <v>3066</v>
      </c>
      <c r="N29" s="79" t="n">
        <v>2690</v>
      </c>
      <c r="O29" s="79" t="n">
        <v>2490</v>
      </c>
      <c r="P29" s="79" t="n">
        <v>1966</v>
      </c>
      <c r="Q29" s="79" t="n">
        <v>1721</v>
      </c>
      <c r="R29" s="79" t="n">
        <v>1762</v>
      </c>
      <c r="S29" s="79" t="n">
        <v>1622</v>
      </c>
      <c r="T29" s="79" t="n">
        <v>1649</v>
      </c>
      <c r="U29" s="79" t="n">
        <v>1462</v>
      </c>
      <c r="V29" s="79" t="n">
        <v>1440</v>
      </c>
    </row>
    <row r="30" ht="13.5" customHeight="1" s="186">
      <c r="B30" s="97" t="inlineStr">
        <is>
          <t>TO</t>
        </is>
      </c>
      <c r="C30" s="124" t="n">
        <v>82</v>
      </c>
      <c r="D30" s="124" t="n">
        <v>89</v>
      </c>
      <c r="E30" s="124" t="n">
        <v>85</v>
      </c>
      <c r="F30" s="124" t="n">
        <v>94</v>
      </c>
      <c r="G30" s="124" t="n">
        <v>123</v>
      </c>
      <c r="H30" s="124" t="n">
        <v>125</v>
      </c>
      <c r="I30" s="124" t="n">
        <v>157</v>
      </c>
      <c r="J30" s="124" t="n">
        <v>172</v>
      </c>
      <c r="K30" s="124" t="n">
        <v>140</v>
      </c>
      <c r="L30" s="124" t="n">
        <v>164</v>
      </c>
      <c r="M30" s="124" t="n">
        <v>269</v>
      </c>
      <c r="N30" s="76" t="n">
        <v>303</v>
      </c>
      <c r="O30" s="76" t="n">
        <v>321</v>
      </c>
      <c r="P30" s="76" t="n">
        <v>307</v>
      </c>
      <c r="Q30" s="76" t="n">
        <v>247</v>
      </c>
      <c r="R30" s="76" t="n">
        <v>275</v>
      </c>
      <c r="S30" s="76" t="n">
        <v>251</v>
      </c>
      <c r="T30" s="76" t="n">
        <v>248</v>
      </c>
      <c r="U30" s="76" t="n">
        <v>267</v>
      </c>
      <c r="V30" s="76" t="n">
        <v>136</v>
      </c>
    </row>
  </sheetData>
  <mergeCells count="2">
    <mergeCell ref="B1:V1"/>
    <mergeCell ref="B2:V2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V2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11" customWidth="1" style="186" min="3" max="22"/>
  </cols>
  <sheetData>
    <row r="1" ht="19.5" customHeight="1" s="186">
      <c r="B1" s="196" t="inlineStr">
        <is>
          <t>População Residente por UF (2005–2024) — Série Expandida</t>
        </is>
      </c>
    </row>
    <row r="2" ht="12.75" customHeight="1" s="186">
      <c r="B2" s="198" t="inlineStr">
        <is>
          <t>Fontes: IBGE tab.6579 (2005,2006,2008,2009,2011-2021,2024); TCU/DOU 2007 (Contagem Populacional); Censo 2010; Censo 2022 (2022 e 2023=Opção A); IBGE DOU jul/2024.</t>
        </is>
      </c>
    </row>
    <row r="3" ht="19.5" customHeight="1" s="186">
      <c r="B3" s="145" t="inlineStr">
        <is>
          <t>UF</t>
        </is>
      </c>
      <c r="C3" s="147" t="inlineStr">
        <is>
          <t>2005</t>
        </is>
      </c>
      <c r="D3" s="147" t="inlineStr">
        <is>
          <t>2006</t>
        </is>
      </c>
      <c r="E3" s="147" t="inlineStr">
        <is>
          <t>2007</t>
        </is>
      </c>
      <c r="F3" s="147" t="inlineStr">
        <is>
          <t>2008</t>
        </is>
      </c>
      <c r="G3" s="147" t="inlineStr">
        <is>
          <t>2009</t>
        </is>
      </c>
      <c r="H3" s="147" t="inlineStr">
        <is>
          <t>2010</t>
        </is>
      </c>
      <c r="I3" s="147" t="inlineStr">
        <is>
          <t>2011</t>
        </is>
      </c>
      <c r="J3" s="148" t="inlineStr">
        <is>
          <t>2012</t>
        </is>
      </c>
      <c r="K3" s="148" t="inlineStr">
        <is>
          <t>2013</t>
        </is>
      </c>
      <c r="L3" s="148" t="inlineStr">
        <is>
          <t>2014</t>
        </is>
      </c>
      <c r="M3" s="148" t="inlineStr">
        <is>
          <t>2015</t>
        </is>
      </c>
      <c r="N3" s="148" t="inlineStr">
        <is>
          <t>2016</t>
        </is>
      </c>
      <c r="O3" s="148" t="inlineStr">
        <is>
          <t>2017</t>
        </is>
      </c>
      <c r="P3" s="148" t="inlineStr">
        <is>
          <t>2018</t>
        </is>
      </c>
      <c r="Q3" s="148" t="inlineStr">
        <is>
          <t>2019</t>
        </is>
      </c>
      <c r="R3" s="148" t="inlineStr">
        <is>
          <t>2020</t>
        </is>
      </c>
      <c r="S3" s="148" t="inlineStr">
        <is>
          <t>2021</t>
        </is>
      </c>
      <c r="T3" s="149" t="inlineStr">
        <is>
          <t>2022</t>
        </is>
      </c>
      <c r="U3" s="150" t="inlineStr">
        <is>
          <t>2023</t>
        </is>
      </c>
      <c r="V3" s="148" t="inlineStr">
        <is>
          <t>2024</t>
        </is>
      </c>
    </row>
    <row r="4" ht="13.5" customHeight="1" s="186">
      <c r="B4" s="97" t="inlineStr">
        <is>
          <t>AC</t>
        </is>
      </c>
      <c r="C4" s="124" t="n">
        <v>669736</v>
      </c>
      <c r="D4" s="124" t="n">
        <v>686652</v>
      </c>
      <c r="E4" s="124" t="n">
        <v>655385</v>
      </c>
      <c r="F4" s="124" t="n">
        <v>680075</v>
      </c>
      <c r="G4" s="124" t="n">
        <v>691132</v>
      </c>
      <c r="H4" s="124" t="n">
        <v>733559</v>
      </c>
      <c r="I4" s="124" t="n">
        <v>746386</v>
      </c>
      <c r="J4" s="76" t="n">
        <v>758786</v>
      </c>
      <c r="K4" s="76" t="n">
        <v>776463</v>
      </c>
      <c r="L4" s="76" t="n">
        <v>790101</v>
      </c>
      <c r="M4" s="76" t="n">
        <v>803513</v>
      </c>
      <c r="N4" s="76" t="n">
        <v>816687</v>
      </c>
      <c r="O4" s="76" t="n">
        <v>829619</v>
      </c>
      <c r="P4" s="76" t="n">
        <v>869265</v>
      </c>
      <c r="Q4" s="76" t="n">
        <v>881935</v>
      </c>
      <c r="R4" s="76" t="n">
        <v>894470</v>
      </c>
      <c r="S4" s="76" t="n">
        <v>906876</v>
      </c>
      <c r="T4" s="76" t="n">
        <v>830018</v>
      </c>
      <c r="U4" s="76" t="n">
        <v>830018</v>
      </c>
      <c r="V4" s="76" t="n">
        <v>880631</v>
      </c>
    </row>
    <row r="5" ht="13.5" customHeight="1" s="186">
      <c r="B5" s="105" t="inlineStr">
        <is>
          <t>AL</t>
        </is>
      </c>
      <c r="C5" s="151" t="n">
        <v>3015912</v>
      </c>
      <c r="D5" s="151" t="n">
        <v>3050652</v>
      </c>
      <c r="E5" s="151" t="n">
        <v>3037231</v>
      </c>
      <c r="F5" s="151" t="n">
        <v>3127560</v>
      </c>
      <c r="G5" s="151" t="n">
        <v>3156108</v>
      </c>
      <c r="H5" s="151" t="n">
        <v>3120494</v>
      </c>
      <c r="I5" s="151" t="n">
        <v>3143384</v>
      </c>
      <c r="J5" s="79" t="n">
        <v>3165472</v>
      </c>
      <c r="K5" s="79" t="n">
        <v>3300935</v>
      </c>
      <c r="L5" s="79" t="n">
        <v>3321730</v>
      </c>
      <c r="M5" s="79" t="n">
        <v>3340932</v>
      </c>
      <c r="N5" s="79" t="n">
        <v>3358963</v>
      </c>
      <c r="O5" s="79" t="n">
        <v>3375823</v>
      </c>
      <c r="P5" s="79" t="n">
        <v>3322820</v>
      </c>
      <c r="Q5" s="79" t="n">
        <v>3337357</v>
      </c>
      <c r="R5" s="79" t="n">
        <v>3351543</v>
      </c>
      <c r="S5" s="79" t="n">
        <v>3365351</v>
      </c>
      <c r="T5" s="79" t="n">
        <v>3127683</v>
      </c>
      <c r="U5" s="79" t="n">
        <v>3127683</v>
      </c>
      <c r="V5" s="79" t="n">
        <v>3220104</v>
      </c>
    </row>
    <row r="6" ht="13.5" customHeight="1" s="186">
      <c r="B6" s="97" t="inlineStr">
        <is>
          <t>AM</t>
        </is>
      </c>
      <c r="C6" s="124" t="n">
        <v>3232330</v>
      </c>
      <c r="D6" s="124" t="n">
        <v>3311026</v>
      </c>
      <c r="E6" s="124" t="n">
        <v>3221940</v>
      </c>
      <c r="F6" s="124" t="n">
        <v>3341094</v>
      </c>
      <c r="G6" s="124" t="n">
        <v>3393369</v>
      </c>
      <c r="H6" s="124" t="n">
        <v>3483985</v>
      </c>
      <c r="I6" s="124" t="n">
        <v>3538387</v>
      </c>
      <c r="J6" s="76" t="n">
        <v>3590985</v>
      </c>
      <c r="K6" s="76" t="n">
        <v>3807921</v>
      </c>
      <c r="L6" s="76" t="n">
        <v>3873743</v>
      </c>
      <c r="M6" s="76" t="n">
        <v>3938336</v>
      </c>
      <c r="N6" s="76" t="n">
        <v>4001667</v>
      </c>
      <c r="O6" s="76" t="n">
        <v>4063614</v>
      </c>
      <c r="P6" s="76" t="n">
        <v>4080611</v>
      </c>
      <c r="Q6" s="76" t="n">
        <v>4144597</v>
      </c>
      <c r="R6" s="76" t="n">
        <v>4207714</v>
      </c>
      <c r="S6" s="76" t="n">
        <v>4269995</v>
      </c>
      <c r="T6" s="76" t="n">
        <v>3941613</v>
      </c>
      <c r="U6" s="76" t="n">
        <v>3941613</v>
      </c>
      <c r="V6" s="76" t="n">
        <v>4281209</v>
      </c>
    </row>
    <row r="7" ht="13.5" customHeight="1" s="186">
      <c r="B7" s="105" t="inlineStr">
        <is>
          <t>AP</t>
        </is>
      </c>
      <c r="C7" s="151" t="n">
        <v>594587</v>
      </c>
      <c r="D7" s="151" t="n">
        <v>615715</v>
      </c>
      <c r="E7" s="151" t="n">
        <v>587311</v>
      </c>
      <c r="F7" s="151" t="n">
        <v>613166</v>
      </c>
      <c r="G7" s="151" t="n">
        <v>626609</v>
      </c>
      <c r="H7" s="151" t="n">
        <v>669526</v>
      </c>
      <c r="I7" s="151" t="n">
        <v>684309</v>
      </c>
      <c r="J7" s="79" t="n">
        <v>698602</v>
      </c>
      <c r="K7" s="79" t="n">
        <v>734996</v>
      </c>
      <c r="L7" s="79" t="n">
        <v>750912</v>
      </c>
      <c r="M7" s="79" t="n">
        <v>766679</v>
      </c>
      <c r="N7" s="79" t="n">
        <v>782295</v>
      </c>
      <c r="O7" s="79" t="n">
        <v>797722</v>
      </c>
      <c r="P7" s="79" t="n">
        <v>829494</v>
      </c>
      <c r="Q7" s="79" t="n">
        <v>845731</v>
      </c>
      <c r="R7" s="79" t="n">
        <v>861773</v>
      </c>
      <c r="S7" s="79" t="n">
        <v>877613</v>
      </c>
      <c r="T7" s="79" t="n">
        <v>733759</v>
      </c>
      <c r="U7" s="79" t="n">
        <v>733759</v>
      </c>
      <c r="V7" s="79" t="n">
        <v>802837</v>
      </c>
    </row>
    <row r="8" ht="13.5" customHeight="1" s="186">
      <c r="B8" s="97" t="inlineStr">
        <is>
          <t>BA</t>
        </is>
      </c>
      <c r="C8" s="124" t="n">
        <v>13815334</v>
      </c>
      <c r="D8" s="124" t="n">
        <v>13950146</v>
      </c>
      <c r="E8" s="124" t="n">
        <v>14080670</v>
      </c>
      <c r="F8" s="124" t="n">
        <v>14502563</v>
      </c>
      <c r="G8" s="124" t="n">
        <v>14637364</v>
      </c>
      <c r="H8" s="124" t="n">
        <v>14016906</v>
      </c>
      <c r="I8" s="124" t="n">
        <v>14097534</v>
      </c>
      <c r="J8" s="76" t="n">
        <v>14175341</v>
      </c>
      <c r="K8" s="76" t="n">
        <v>15044137</v>
      </c>
      <c r="L8" s="76" t="n">
        <v>15126371</v>
      </c>
      <c r="M8" s="76" t="n">
        <v>15203334</v>
      </c>
      <c r="N8" s="76" t="n">
        <v>15276566</v>
      </c>
      <c r="O8" s="76" t="n">
        <v>15344447</v>
      </c>
      <c r="P8" s="76" t="n">
        <v>14812617</v>
      </c>
      <c r="Q8" s="76" t="n">
        <v>14873064</v>
      </c>
      <c r="R8" s="76" t="n">
        <v>14930634</v>
      </c>
      <c r="S8" s="76" t="n">
        <v>14985284</v>
      </c>
      <c r="T8" s="76" t="n">
        <v>14141626</v>
      </c>
      <c r="U8" s="76" t="n">
        <v>14141626</v>
      </c>
      <c r="V8" s="76" t="n">
        <v>14850513</v>
      </c>
    </row>
    <row r="9" ht="13.5" customHeight="1" s="186">
      <c r="B9" s="105" t="inlineStr">
        <is>
          <t>CE</t>
        </is>
      </c>
      <c r="C9" s="151" t="n">
        <v>8097276</v>
      </c>
      <c r="D9" s="151" t="n">
        <v>8217085</v>
      </c>
      <c r="E9" s="151" t="n">
        <v>8185250</v>
      </c>
      <c r="F9" s="151" t="n">
        <v>8450528</v>
      </c>
      <c r="G9" s="151" t="n">
        <v>8547809</v>
      </c>
      <c r="H9" s="151" t="n">
        <v>8452381</v>
      </c>
      <c r="I9" s="151" t="n">
        <v>8530155</v>
      </c>
      <c r="J9" s="79" t="n">
        <v>8606005</v>
      </c>
      <c r="K9" s="79" t="n">
        <v>8778576</v>
      </c>
      <c r="L9" s="79" t="n">
        <v>8842791</v>
      </c>
      <c r="M9" s="79" t="n">
        <v>8904459</v>
      </c>
      <c r="N9" s="79" t="n">
        <v>8963663</v>
      </c>
      <c r="O9" s="79" t="n">
        <v>9020460</v>
      </c>
      <c r="P9" s="79" t="n">
        <v>9075649</v>
      </c>
      <c r="Q9" s="79" t="n">
        <v>9132078</v>
      </c>
      <c r="R9" s="79" t="n">
        <v>9187103</v>
      </c>
      <c r="S9" s="79" t="n">
        <v>9240580</v>
      </c>
      <c r="T9" s="79" t="n">
        <v>8794957</v>
      </c>
      <c r="U9" s="79" t="n">
        <v>8794957</v>
      </c>
      <c r="V9" s="79" t="n">
        <v>9233656</v>
      </c>
    </row>
    <row r="10" ht="13.5" customHeight="1" s="186">
      <c r="B10" s="97" t="inlineStr">
        <is>
          <t>DF</t>
        </is>
      </c>
      <c r="C10" s="124" t="n">
        <v>2333108</v>
      </c>
      <c r="D10" s="124" t="n">
        <v>2383784</v>
      </c>
      <c r="E10" s="124" t="n">
        <v>2455903</v>
      </c>
      <c r="F10" s="124" t="n">
        <v>2557159</v>
      </c>
      <c r="G10" s="124" t="n">
        <v>2606885</v>
      </c>
      <c r="H10" s="124" t="n">
        <v>2570160</v>
      </c>
      <c r="I10" s="124" t="n">
        <v>2609998</v>
      </c>
      <c r="J10" s="76" t="n">
        <v>2648532</v>
      </c>
      <c r="K10" s="76" t="n">
        <v>2789761</v>
      </c>
      <c r="L10" s="76" t="n">
        <v>2852372</v>
      </c>
      <c r="M10" s="76" t="n">
        <v>2914830</v>
      </c>
      <c r="N10" s="76" t="n">
        <v>2977216</v>
      </c>
      <c r="O10" s="76" t="n">
        <v>3039444</v>
      </c>
      <c r="P10" s="76" t="n">
        <v>2974703</v>
      </c>
      <c r="Q10" s="76" t="n">
        <v>3015268</v>
      </c>
      <c r="R10" s="76" t="n">
        <v>3055149</v>
      </c>
      <c r="S10" s="76" t="n">
        <v>3094325</v>
      </c>
      <c r="T10" s="76" t="n">
        <v>2817381</v>
      </c>
      <c r="U10" s="76" t="n">
        <v>2817381</v>
      </c>
      <c r="V10" s="76" t="n">
        <v>2982818</v>
      </c>
    </row>
    <row r="11" ht="13.5" customHeight="1" s="186">
      <c r="B11" s="105" t="inlineStr">
        <is>
          <t>ES</t>
        </is>
      </c>
      <c r="C11" s="151" t="n">
        <v>3408365</v>
      </c>
      <c r="D11" s="151" t="n">
        <v>3464285</v>
      </c>
      <c r="E11" s="151" t="n">
        <v>3351669</v>
      </c>
      <c r="F11" s="151" t="n">
        <v>3453646</v>
      </c>
      <c r="G11" s="151" t="n">
        <v>3487199</v>
      </c>
      <c r="H11" s="151" t="n">
        <v>3514952</v>
      </c>
      <c r="I11" s="151" t="n">
        <v>3547055</v>
      </c>
      <c r="J11" s="79" t="n">
        <v>3578067</v>
      </c>
      <c r="K11" s="79" t="n">
        <v>3839366</v>
      </c>
      <c r="L11" s="79" t="n">
        <v>3885049</v>
      </c>
      <c r="M11" s="79" t="n">
        <v>3929911</v>
      </c>
      <c r="N11" s="79" t="n">
        <v>3973697</v>
      </c>
      <c r="O11" s="79" t="n">
        <v>4016356</v>
      </c>
      <c r="P11" s="79" t="n">
        <v>3972388</v>
      </c>
      <c r="Q11" s="79" t="n">
        <v>4018650</v>
      </c>
      <c r="R11" s="79" t="n">
        <v>4064052</v>
      </c>
      <c r="S11" s="79" t="n">
        <v>4108508</v>
      </c>
      <c r="T11" s="79" t="n">
        <v>3833712</v>
      </c>
      <c r="U11" s="79" t="n">
        <v>3833712</v>
      </c>
      <c r="V11" s="79" t="n">
        <v>4102129</v>
      </c>
    </row>
    <row r="12" ht="13.5" customHeight="1" s="186">
      <c r="B12" s="97" t="inlineStr">
        <is>
          <t>GO</t>
        </is>
      </c>
      <c r="C12" s="124" t="n">
        <v>5619917</v>
      </c>
      <c r="D12" s="124" t="n">
        <v>5730753</v>
      </c>
      <c r="E12" s="124" t="n">
        <v>5647035</v>
      </c>
      <c r="F12" s="124" t="n">
        <v>5844995</v>
      </c>
      <c r="G12" s="124" t="n">
        <v>5926300</v>
      </c>
      <c r="H12" s="124" t="n">
        <v>6003788</v>
      </c>
      <c r="I12" s="124" t="n">
        <v>6080716</v>
      </c>
      <c r="J12" s="76" t="n">
        <v>6154996</v>
      </c>
      <c r="K12" s="76" t="n">
        <v>6434048</v>
      </c>
      <c r="L12" s="76" t="n">
        <v>6523222</v>
      </c>
      <c r="M12" s="76" t="n">
        <v>6610681</v>
      </c>
      <c r="N12" s="76" t="n">
        <v>6695855</v>
      </c>
      <c r="O12" s="76" t="n">
        <v>6778772</v>
      </c>
      <c r="P12" s="76" t="n">
        <v>6921161</v>
      </c>
      <c r="Q12" s="76" t="n">
        <v>7018354</v>
      </c>
      <c r="R12" s="76" t="n">
        <v>7113540</v>
      </c>
      <c r="S12" s="76" t="n">
        <v>7206589</v>
      </c>
      <c r="T12" s="76" t="n">
        <v>7056495</v>
      </c>
      <c r="U12" s="76" t="n">
        <v>7056495</v>
      </c>
      <c r="V12" s="76" t="n">
        <v>7350483</v>
      </c>
    </row>
    <row r="13" ht="13.5" customHeight="1" s="186">
      <c r="B13" s="105" t="inlineStr">
        <is>
          <t>MA</t>
        </is>
      </c>
      <c r="C13" s="151" t="n">
        <v>6103327</v>
      </c>
      <c r="D13" s="151" t="n">
        <v>6184538</v>
      </c>
      <c r="E13" s="151" t="n">
        <v>6118995</v>
      </c>
      <c r="F13" s="151" t="n">
        <v>6305537</v>
      </c>
      <c r="G13" s="151" t="n">
        <v>6367138</v>
      </c>
      <c r="H13" s="151" t="n">
        <v>6574789</v>
      </c>
      <c r="I13" s="151" t="n">
        <v>6645761</v>
      </c>
      <c r="J13" s="79" t="n">
        <v>6714314</v>
      </c>
      <c r="K13" s="79" t="n">
        <v>6794301</v>
      </c>
      <c r="L13" s="79" t="n">
        <v>6850884</v>
      </c>
      <c r="M13" s="79" t="n">
        <v>6904241</v>
      </c>
      <c r="N13" s="79" t="n">
        <v>6954036</v>
      </c>
      <c r="O13" s="79" t="n">
        <v>7000229</v>
      </c>
      <c r="P13" s="79" t="n">
        <v>7035055</v>
      </c>
      <c r="Q13" s="79" t="n">
        <v>7075181</v>
      </c>
      <c r="R13" s="79" t="n">
        <v>7114598</v>
      </c>
      <c r="S13" s="79" t="n">
        <v>7153262</v>
      </c>
      <c r="T13" s="79" t="n">
        <v>6776699</v>
      </c>
      <c r="U13" s="79" t="n">
        <v>6776699</v>
      </c>
      <c r="V13" s="79" t="n">
        <v>7010960</v>
      </c>
    </row>
    <row r="14" ht="13.5" customHeight="1" s="186">
      <c r="B14" s="97" t="inlineStr">
        <is>
          <t>MG</t>
        </is>
      </c>
      <c r="C14" s="124" t="n">
        <v>19237450</v>
      </c>
      <c r="D14" s="124" t="n">
        <v>19479356</v>
      </c>
      <c r="E14" s="124" t="n">
        <v>19273533</v>
      </c>
      <c r="F14" s="124" t="n">
        <v>19850060</v>
      </c>
      <c r="G14" s="124" t="n">
        <v>20033665</v>
      </c>
      <c r="H14" s="124" t="n">
        <v>19597330</v>
      </c>
      <c r="I14" s="124" t="n">
        <v>19728701</v>
      </c>
      <c r="J14" s="76" t="n">
        <v>19855332</v>
      </c>
      <c r="K14" s="76" t="n">
        <v>20593356</v>
      </c>
      <c r="L14" s="76" t="n">
        <v>20734097</v>
      </c>
      <c r="M14" s="76" t="n">
        <v>20869101</v>
      </c>
      <c r="N14" s="76" t="n">
        <v>20997560</v>
      </c>
      <c r="O14" s="76" t="n">
        <v>21119536</v>
      </c>
      <c r="P14" s="76" t="n">
        <v>21040662</v>
      </c>
      <c r="Q14" s="76" t="n">
        <v>21168791</v>
      </c>
      <c r="R14" s="76" t="n">
        <v>21292666</v>
      </c>
      <c r="S14" s="76" t="n">
        <v>21411923</v>
      </c>
      <c r="T14" s="76" t="n">
        <v>20539989</v>
      </c>
      <c r="U14" s="76" t="n">
        <v>20539989</v>
      </c>
      <c r="V14" s="76" t="n">
        <v>21322691</v>
      </c>
    </row>
    <row r="15" ht="13.5" customHeight="1" s="186">
      <c r="B15" s="105" t="inlineStr">
        <is>
          <t>MS</t>
        </is>
      </c>
      <c r="C15" s="151" t="n">
        <v>2264468</v>
      </c>
      <c r="D15" s="151" t="n">
        <v>2297981</v>
      </c>
      <c r="E15" s="151" t="n">
        <v>2265813</v>
      </c>
      <c r="F15" s="151" t="n">
        <v>2336060</v>
      </c>
      <c r="G15" s="151" t="n">
        <v>2360498</v>
      </c>
      <c r="H15" s="151" t="n">
        <v>2449024</v>
      </c>
      <c r="I15" s="151" t="n">
        <v>2477542</v>
      </c>
      <c r="J15" s="79" t="n">
        <v>2500365</v>
      </c>
      <c r="K15" s="79" t="n">
        <v>2587269</v>
      </c>
      <c r="L15" s="79" t="n">
        <v>2619657</v>
      </c>
      <c r="M15" s="79" t="n">
        <v>2651235</v>
      </c>
      <c r="N15" s="79" t="n">
        <v>2682386</v>
      </c>
      <c r="O15" s="79" t="n">
        <v>2713147</v>
      </c>
      <c r="P15" s="79" t="n">
        <v>2748023</v>
      </c>
      <c r="Q15" s="79" t="n">
        <v>2778986</v>
      </c>
      <c r="R15" s="79" t="n">
        <v>2809394</v>
      </c>
      <c r="S15" s="79" t="n">
        <v>2839188</v>
      </c>
      <c r="T15" s="79" t="n">
        <v>2757013</v>
      </c>
      <c r="U15" s="79" t="n">
        <v>2757013</v>
      </c>
      <c r="V15" s="79" t="n">
        <v>2901895</v>
      </c>
    </row>
    <row r="16" ht="13.5" customHeight="1" s="186">
      <c r="B16" s="97" t="inlineStr">
        <is>
          <t>MT</t>
        </is>
      </c>
      <c r="C16" s="124" t="n">
        <v>2803274</v>
      </c>
      <c r="D16" s="124" t="n">
        <v>2856999</v>
      </c>
      <c r="E16" s="124" t="n">
        <v>2854642</v>
      </c>
      <c r="F16" s="124" t="n">
        <v>2957735</v>
      </c>
      <c r="G16" s="124" t="n">
        <v>3001692</v>
      </c>
      <c r="H16" s="124" t="n">
        <v>3035122</v>
      </c>
      <c r="I16" s="124" t="n">
        <v>3075936</v>
      </c>
      <c r="J16" s="76" t="n">
        <v>3115336</v>
      </c>
      <c r="K16" s="76" t="n">
        <v>3182113</v>
      </c>
      <c r="L16" s="76" t="n">
        <v>3224357</v>
      </c>
      <c r="M16" s="76" t="n">
        <v>3265486</v>
      </c>
      <c r="N16" s="76" t="n">
        <v>3305531</v>
      </c>
      <c r="O16" s="76" t="n">
        <v>3344544</v>
      </c>
      <c r="P16" s="76" t="n">
        <v>3441998</v>
      </c>
      <c r="Q16" s="76" t="n">
        <v>3484466</v>
      </c>
      <c r="R16" s="76" t="n">
        <v>3526220</v>
      </c>
      <c r="S16" s="76" t="n">
        <v>3567234</v>
      </c>
      <c r="T16" s="76" t="n">
        <v>3658649</v>
      </c>
      <c r="U16" s="76" t="n">
        <v>3658649</v>
      </c>
      <c r="V16" s="76" t="n">
        <v>3836399</v>
      </c>
    </row>
    <row r="17" ht="13.5" customHeight="1" s="186">
      <c r="B17" s="105" t="inlineStr">
        <is>
          <t>PA</t>
        </is>
      </c>
      <c r="C17" s="151" t="n">
        <v>6970586</v>
      </c>
      <c r="D17" s="151" t="n">
        <v>7110465</v>
      </c>
      <c r="E17" s="151" t="n">
        <v>7065573</v>
      </c>
      <c r="F17" s="151" t="n">
        <v>7321490</v>
      </c>
      <c r="G17" s="151" t="n">
        <v>7431020</v>
      </c>
      <c r="H17" s="151" t="n">
        <v>7581051</v>
      </c>
      <c r="I17" s="151" t="n">
        <v>7688593</v>
      </c>
      <c r="J17" s="79" t="n">
        <v>7777543</v>
      </c>
      <c r="K17" s="79" t="n">
        <v>7969654</v>
      </c>
      <c r="L17" s="79" t="n">
        <v>8073924</v>
      </c>
      <c r="M17" s="79" t="n">
        <v>8175113</v>
      </c>
      <c r="N17" s="79" t="n">
        <v>8272724</v>
      </c>
      <c r="O17" s="79" t="n">
        <v>8366628</v>
      </c>
      <c r="P17" s="79" t="n">
        <v>8513497</v>
      </c>
      <c r="Q17" s="79" t="n">
        <v>8602865</v>
      </c>
      <c r="R17" s="79" t="n">
        <v>8690745</v>
      </c>
      <c r="S17" s="79" t="n">
        <v>8777124</v>
      </c>
      <c r="T17" s="79" t="n">
        <v>8120131</v>
      </c>
      <c r="U17" s="79" t="n">
        <v>8120131</v>
      </c>
      <c r="V17" s="79" t="n">
        <v>8664306</v>
      </c>
    </row>
    <row r="18" ht="13.5" customHeight="1" s="186">
      <c r="B18" s="97" t="inlineStr">
        <is>
          <t>PB</t>
        </is>
      </c>
      <c r="C18" s="124" t="n">
        <v>3595886</v>
      </c>
      <c r="D18" s="124" t="n">
        <v>3623215</v>
      </c>
      <c r="E18" s="124" t="n">
        <v>3641397</v>
      </c>
      <c r="F18" s="124" t="n">
        <v>3742604</v>
      </c>
      <c r="G18" s="124" t="n">
        <v>3769977</v>
      </c>
      <c r="H18" s="124" t="n">
        <v>3766528</v>
      </c>
      <c r="I18" s="124" t="n">
        <v>3791315</v>
      </c>
      <c r="J18" s="76" t="n">
        <v>3815171</v>
      </c>
      <c r="K18" s="76" t="n">
        <v>3914421</v>
      </c>
      <c r="L18" s="76" t="n">
        <v>3943885</v>
      </c>
      <c r="M18" s="76" t="n">
        <v>3972202</v>
      </c>
      <c r="N18" s="76" t="n">
        <v>3999415</v>
      </c>
      <c r="O18" s="76" t="n">
        <v>4025558</v>
      </c>
      <c r="P18" s="76" t="n">
        <v>3996496</v>
      </c>
      <c r="Q18" s="76" t="n">
        <v>4018127</v>
      </c>
      <c r="R18" s="76" t="n">
        <v>4039277</v>
      </c>
      <c r="S18" s="76" t="n">
        <v>4059905</v>
      </c>
      <c r="T18" s="76" t="n">
        <v>3974687</v>
      </c>
      <c r="U18" s="76" t="n">
        <v>3974687</v>
      </c>
      <c r="V18" s="76" t="n">
        <v>4145040</v>
      </c>
    </row>
    <row r="19" ht="13.5" customHeight="1" s="186">
      <c r="B19" s="105" t="inlineStr">
        <is>
          <t>PE</t>
        </is>
      </c>
      <c r="C19" s="151" t="n">
        <v>8413593</v>
      </c>
      <c r="D19" s="151" t="n">
        <v>8502603</v>
      </c>
      <c r="E19" s="151" t="n">
        <v>8486638</v>
      </c>
      <c r="F19" s="151" t="n">
        <v>8734196</v>
      </c>
      <c r="G19" s="151" t="n">
        <v>8810256</v>
      </c>
      <c r="H19" s="151" t="n">
        <v>8796448</v>
      </c>
      <c r="I19" s="151" t="n">
        <v>8864906</v>
      </c>
      <c r="J19" s="79" t="n">
        <v>8931028</v>
      </c>
      <c r="K19" s="79" t="n">
        <v>9208550</v>
      </c>
      <c r="L19" s="79" t="n">
        <v>9277727</v>
      </c>
      <c r="M19" s="79" t="n">
        <v>9345173</v>
      </c>
      <c r="N19" s="79" t="n">
        <v>9410336</v>
      </c>
      <c r="O19" s="79" t="n">
        <v>9473266</v>
      </c>
      <c r="P19" s="79" t="n">
        <v>9496294</v>
      </c>
      <c r="Q19" s="79" t="n">
        <v>9557071</v>
      </c>
      <c r="R19" s="79" t="n">
        <v>9616621</v>
      </c>
      <c r="S19" s="79" t="n">
        <v>9674793</v>
      </c>
      <c r="T19" s="79" t="n">
        <v>9058931</v>
      </c>
      <c r="U19" s="79" t="n">
        <v>9058931</v>
      </c>
      <c r="V19" s="79" t="n">
        <v>9539029</v>
      </c>
    </row>
    <row r="20" ht="13.5" customHeight="1" s="186">
      <c r="B20" s="97" t="inlineStr">
        <is>
          <t>PI</t>
        </is>
      </c>
      <c r="C20" s="124" t="n">
        <v>3006885</v>
      </c>
      <c r="D20" s="124" t="n">
        <v>3036290</v>
      </c>
      <c r="E20" s="124" t="n">
        <v>3032435</v>
      </c>
      <c r="F20" s="124" t="n">
        <v>3111881</v>
      </c>
      <c r="G20" s="124" t="n">
        <v>3145325</v>
      </c>
      <c r="H20" s="124" t="n">
        <v>3118360</v>
      </c>
      <c r="I20" s="124" t="n">
        <v>3140328</v>
      </c>
      <c r="J20" s="76" t="n">
        <v>3160748</v>
      </c>
      <c r="K20" s="76" t="n">
        <v>3184166</v>
      </c>
      <c r="L20" s="76" t="n">
        <v>3194718</v>
      </c>
      <c r="M20" s="76" t="n">
        <v>3204028</v>
      </c>
      <c r="N20" s="76" t="n">
        <v>3212180</v>
      </c>
      <c r="O20" s="76" t="n">
        <v>3219257</v>
      </c>
      <c r="P20" s="76" t="n">
        <v>3264531</v>
      </c>
      <c r="Q20" s="76" t="n">
        <v>3273227</v>
      </c>
      <c r="R20" s="76" t="n">
        <v>3281480</v>
      </c>
      <c r="S20" s="76" t="n">
        <v>3289290</v>
      </c>
      <c r="T20" s="76" t="n">
        <v>3271199</v>
      </c>
      <c r="U20" s="76" t="n">
        <v>3271199</v>
      </c>
      <c r="V20" s="76" t="n">
        <v>3375646</v>
      </c>
    </row>
    <row r="21" ht="13.5" customHeight="1" s="186">
      <c r="B21" s="105" t="inlineStr">
        <is>
          <t>PR</t>
        </is>
      </c>
      <c r="C21" s="151" t="n">
        <v>10261856</v>
      </c>
      <c r="D21" s="151" t="n">
        <v>10387378</v>
      </c>
      <c r="E21" s="151" t="n">
        <v>10284503</v>
      </c>
      <c r="F21" s="151" t="n">
        <v>10590171</v>
      </c>
      <c r="G21" s="151" t="n">
        <v>10686247</v>
      </c>
      <c r="H21" s="151" t="n">
        <v>10444526</v>
      </c>
      <c r="I21" s="151" t="n">
        <v>10512349</v>
      </c>
      <c r="J21" s="79" t="n">
        <v>10577755</v>
      </c>
      <c r="K21" s="79" t="n">
        <v>10997465</v>
      </c>
      <c r="L21" s="79" t="n">
        <v>11081692</v>
      </c>
      <c r="M21" s="79" t="n">
        <v>11163018</v>
      </c>
      <c r="N21" s="79" t="n">
        <v>11242720</v>
      </c>
      <c r="O21" s="79" t="n">
        <v>11320892</v>
      </c>
      <c r="P21" s="79" t="n">
        <v>11348937</v>
      </c>
      <c r="Q21" s="79" t="n">
        <v>11433957</v>
      </c>
      <c r="R21" s="79" t="n">
        <v>11516840</v>
      </c>
      <c r="S21" s="79" t="n">
        <v>11597484</v>
      </c>
      <c r="T21" s="79" t="n">
        <v>11444380</v>
      </c>
      <c r="U21" s="79" t="n">
        <v>11444380</v>
      </c>
      <c r="V21" s="79" t="n">
        <v>11824665</v>
      </c>
    </row>
    <row r="22" ht="13.5" customHeight="1" s="186">
      <c r="B22" s="97" t="inlineStr">
        <is>
          <t>RJ</t>
        </is>
      </c>
      <c r="C22" s="124" t="n">
        <v>15383407</v>
      </c>
      <c r="D22" s="124" t="n">
        <v>15561720</v>
      </c>
      <c r="E22" s="124" t="n">
        <v>15420450</v>
      </c>
      <c r="F22" s="124" t="n">
        <v>15872362</v>
      </c>
      <c r="G22" s="124" t="n">
        <v>16010429</v>
      </c>
      <c r="H22" s="124" t="n">
        <v>15989929</v>
      </c>
      <c r="I22" s="124" t="n">
        <v>16112678</v>
      </c>
      <c r="J22" s="76" t="n">
        <v>16231365</v>
      </c>
      <c r="K22" s="76" t="n">
        <v>16369179</v>
      </c>
      <c r="L22" s="76" t="n">
        <v>16461173</v>
      </c>
      <c r="M22" s="76" t="n">
        <v>16550024</v>
      </c>
      <c r="N22" s="76" t="n">
        <v>16635996</v>
      </c>
      <c r="O22" s="76" t="n">
        <v>16718956</v>
      </c>
      <c r="P22" s="76" t="n">
        <v>17159960</v>
      </c>
      <c r="Q22" s="76" t="n">
        <v>17264943</v>
      </c>
      <c r="R22" s="76" t="n">
        <v>17366189</v>
      </c>
      <c r="S22" s="76" t="n">
        <v>17463349</v>
      </c>
      <c r="T22" s="76" t="n">
        <v>16055174</v>
      </c>
      <c r="U22" s="76" t="n">
        <v>16055174</v>
      </c>
      <c r="V22" s="76" t="n">
        <v>17219679</v>
      </c>
    </row>
    <row r="23" ht="13.5" customHeight="1" s="186">
      <c r="B23" s="105" t="inlineStr">
        <is>
          <t>RN</t>
        </is>
      </c>
      <c r="C23" s="151" t="n">
        <v>3003087</v>
      </c>
      <c r="D23" s="151" t="n">
        <v>3043760</v>
      </c>
      <c r="E23" s="151" t="n">
        <v>3013740</v>
      </c>
      <c r="F23" s="151" t="n">
        <v>3106436</v>
      </c>
      <c r="G23" s="151" t="n">
        <v>3137541</v>
      </c>
      <c r="H23" s="151" t="n">
        <v>3168027</v>
      </c>
      <c r="I23" s="151" t="n">
        <v>3198657</v>
      </c>
      <c r="J23" s="79" t="n">
        <v>3228198</v>
      </c>
      <c r="K23" s="79" t="n">
        <v>3373959</v>
      </c>
      <c r="L23" s="79" t="n">
        <v>3408510</v>
      </c>
      <c r="M23" s="79" t="n">
        <v>3442175</v>
      </c>
      <c r="N23" s="79" t="n">
        <v>3474998</v>
      </c>
      <c r="O23" s="79" t="n">
        <v>3507003</v>
      </c>
      <c r="P23" s="79" t="n">
        <v>3479010</v>
      </c>
      <c r="Q23" s="79" t="n">
        <v>3506853</v>
      </c>
      <c r="R23" s="79" t="n">
        <v>3534165</v>
      </c>
      <c r="S23" s="79" t="n">
        <v>3560903</v>
      </c>
      <c r="T23" s="79" t="n">
        <v>3302729</v>
      </c>
      <c r="U23" s="79" t="n">
        <v>3302729</v>
      </c>
      <c r="V23" s="79" t="n">
        <v>3446071</v>
      </c>
    </row>
    <row r="24" ht="13.5" customHeight="1" s="186">
      <c r="B24" s="97" t="inlineStr">
        <is>
          <t>RO</t>
        </is>
      </c>
      <c r="C24" s="124" t="n">
        <v>1534594</v>
      </c>
      <c r="D24" s="124" t="n">
        <v>1562417</v>
      </c>
      <c r="E24" s="124" t="n">
        <v>1453756</v>
      </c>
      <c r="F24" s="124" t="n">
        <v>1493565</v>
      </c>
      <c r="G24" s="124" t="n">
        <v>1503928</v>
      </c>
      <c r="H24" s="124" t="n">
        <v>1562409</v>
      </c>
      <c r="I24" s="124" t="n">
        <v>1576455</v>
      </c>
      <c r="J24" s="76" t="n">
        <v>1590011</v>
      </c>
      <c r="K24" s="76" t="n">
        <v>1728214</v>
      </c>
      <c r="L24" s="76" t="n">
        <v>1748531</v>
      </c>
      <c r="M24" s="76" t="n">
        <v>1768204</v>
      </c>
      <c r="N24" s="76" t="n">
        <v>1787279</v>
      </c>
      <c r="O24" s="76" t="n">
        <v>1805788</v>
      </c>
      <c r="P24" s="76" t="n">
        <v>1757589</v>
      </c>
      <c r="Q24" s="76" t="n">
        <v>1777225</v>
      </c>
      <c r="R24" s="76" t="n">
        <v>1796460</v>
      </c>
      <c r="S24" s="76" t="n">
        <v>1815278</v>
      </c>
      <c r="T24" s="76" t="n">
        <v>1581196</v>
      </c>
      <c r="U24" s="76" t="n">
        <v>1581196</v>
      </c>
      <c r="V24" s="76" t="n">
        <v>1746227</v>
      </c>
    </row>
    <row r="25" ht="13.5" customHeight="1" s="186">
      <c r="B25" s="105" t="inlineStr">
        <is>
          <t>RR</t>
        </is>
      </c>
      <c r="C25" s="151" t="n">
        <v>391317</v>
      </c>
      <c r="D25" s="151" t="n">
        <v>403344</v>
      </c>
      <c r="E25" s="151" t="n">
        <v>395725</v>
      </c>
      <c r="F25" s="151" t="n">
        <v>412783</v>
      </c>
      <c r="G25" s="151" t="n">
        <v>421499</v>
      </c>
      <c r="H25" s="151" t="n">
        <v>450479</v>
      </c>
      <c r="I25" s="151" t="n">
        <v>460165</v>
      </c>
      <c r="J25" s="79" t="n">
        <v>469524</v>
      </c>
      <c r="K25" s="79" t="n">
        <v>488072</v>
      </c>
      <c r="L25" s="79" t="n">
        <v>496936</v>
      </c>
      <c r="M25" s="79" t="n">
        <v>505665</v>
      </c>
      <c r="N25" s="79" t="n">
        <v>514229</v>
      </c>
      <c r="O25" s="79" t="n">
        <v>522636</v>
      </c>
      <c r="P25" s="79" t="n">
        <v>576568</v>
      </c>
      <c r="Q25" s="79" t="n">
        <v>605761</v>
      </c>
      <c r="R25" s="79" t="n">
        <v>631181</v>
      </c>
      <c r="S25" s="79" t="n">
        <v>652713</v>
      </c>
      <c r="T25" s="79" t="n">
        <v>636707</v>
      </c>
      <c r="U25" s="79" t="n">
        <v>636707</v>
      </c>
      <c r="V25" s="79" t="n">
        <v>716793</v>
      </c>
    </row>
    <row r="26" ht="13.5" customHeight="1" s="186">
      <c r="B26" s="97" t="inlineStr">
        <is>
          <t>RS</t>
        </is>
      </c>
      <c r="C26" s="124" t="n">
        <v>10845087</v>
      </c>
      <c r="D26" s="124" t="n">
        <v>10963219</v>
      </c>
      <c r="E26" s="124" t="n">
        <v>10582887</v>
      </c>
      <c r="F26" s="124" t="n">
        <v>10855228</v>
      </c>
      <c r="G26" s="124" t="n">
        <v>10914128</v>
      </c>
      <c r="H26" s="124" t="n">
        <v>10693929</v>
      </c>
      <c r="I26" s="124" t="n">
        <v>10733030</v>
      </c>
      <c r="J26" s="76" t="n">
        <v>10768025</v>
      </c>
      <c r="K26" s="76" t="n">
        <v>11164043</v>
      </c>
      <c r="L26" s="76" t="n">
        <v>11207274</v>
      </c>
      <c r="M26" s="76" t="n">
        <v>11247972</v>
      </c>
      <c r="N26" s="76" t="n">
        <v>11286500</v>
      </c>
      <c r="O26" s="76" t="n">
        <v>11322895</v>
      </c>
      <c r="P26" s="76" t="n">
        <v>11329605</v>
      </c>
      <c r="Q26" s="76" t="n">
        <v>11377239</v>
      </c>
      <c r="R26" s="76" t="n">
        <v>11422973</v>
      </c>
      <c r="S26" s="76" t="n">
        <v>11466630</v>
      </c>
      <c r="T26" s="76" t="n">
        <v>10882965</v>
      </c>
      <c r="U26" s="76" t="n">
        <v>10882965</v>
      </c>
      <c r="V26" s="76" t="n">
        <v>11229915</v>
      </c>
    </row>
    <row r="27" ht="13.5" customHeight="1" s="186">
      <c r="B27" s="105" t="inlineStr">
        <is>
          <t>SC</t>
        </is>
      </c>
      <c r="C27" s="151" t="n">
        <v>5866568</v>
      </c>
      <c r="D27" s="151" t="n">
        <v>5958266</v>
      </c>
      <c r="E27" s="151" t="n">
        <v>5866487</v>
      </c>
      <c r="F27" s="151" t="n">
        <v>6052587</v>
      </c>
      <c r="G27" s="151" t="n">
        <v>6118743</v>
      </c>
      <c r="H27" s="151" t="n">
        <v>6248436</v>
      </c>
      <c r="I27" s="151" t="n">
        <v>6317054</v>
      </c>
      <c r="J27" s="79" t="n">
        <v>6362734</v>
      </c>
      <c r="K27" s="79" t="n">
        <v>6634254</v>
      </c>
      <c r="L27" s="79" t="n">
        <v>6727148</v>
      </c>
      <c r="M27" s="79" t="n">
        <v>6819190</v>
      </c>
      <c r="N27" s="79" t="n">
        <v>6910553</v>
      </c>
      <c r="O27" s="79" t="n">
        <v>7001161</v>
      </c>
      <c r="P27" s="79" t="n">
        <v>7075494</v>
      </c>
      <c r="Q27" s="79" t="n">
        <v>7164788</v>
      </c>
      <c r="R27" s="79" t="n">
        <v>7252502</v>
      </c>
      <c r="S27" s="79" t="n">
        <v>7338473</v>
      </c>
      <c r="T27" s="79" t="n">
        <v>7610361</v>
      </c>
      <c r="U27" s="79" t="n">
        <v>7610361</v>
      </c>
      <c r="V27" s="79" t="n">
        <v>8058441</v>
      </c>
    </row>
    <row r="28" ht="13.5" customHeight="1" s="186">
      <c r="B28" s="97" t="inlineStr">
        <is>
          <t>SE</t>
        </is>
      </c>
      <c r="C28" s="124" t="n">
        <v>1967791</v>
      </c>
      <c r="D28" s="124" t="n">
        <v>2000738</v>
      </c>
      <c r="E28" s="124" t="n">
        <v>1939426</v>
      </c>
      <c r="F28" s="124" t="n">
        <v>1999374</v>
      </c>
      <c r="G28" s="124" t="n">
        <v>2019679</v>
      </c>
      <c r="H28" s="124" t="n">
        <v>2068017</v>
      </c>
      <c r="I28" s="124" t="n">
        <v>2089819</v>
      </c>
      <c r="J28" s="76" t="n">
        <v>2110867</v>
      </c>
      <c r="K28" s="76" t="n">
        <v>2195662</v>
      </c>
      <c r="L28" s="76" t="n">
        <v>2219574</v>
      </c>
      <c r="M28" s="76" t="n">
        <v>2242937</v>
      </c>
      <c r="N28" s="76" t="n">
        <v>2265779</v>
      </c>
      <c r="O28" s="76" t="n">
        <v>2288116</v>
      </c>
      <c r="P28" s="76" t="n">
        <v>2278308</v>
      </c>
      <c r="Q28" s="76" t="n">
        <v>2298696</v>
      </c>
      <c r="R28" s="76" t="n">
        <v>2318822</v>
      </c>
      <c r="S28" s="76" t="n">
        <v>2338474</v>
      </c>
      <c r="T28" s="76" t="n">
        <v>2210004</v>
      </c>
      <c r="U28" s="76" t="n">
        <v>2210004</v>
      </c>
      <c r="V28" s="76" t="n">
        <v>2291077</v>
      </c>
    </row>
    <row r="29" ht="13.5" customHeight="1" s="186">
      <c r="B29" s="105" t="inlineStr">
        <is>
          <t>SP</t>
        </is>
      </c>
      <c r="C29" s="151" t="n">
        <v>40442795</v>
      </c>
      <c r="D29" s="151" t="n">
        <v>41055734</v>
      </c>
      <c r="E29" s="151" t="n">
        <v>39827690</v>
      </c>
      <c r="F29" s="151" t="n">
        <v>41011638</v>
      </c>
      <c r="G29" s="151" t="n">
        <v>41384039</v>
      </c>
      <c r="H29" s="151" t="n">
        <v>41262199</v>
      </c>
      <c r="I29" s="151" t="n">
        <v>41587182</v>
      </c>
      <c r="J29" s="79" t="n">
        <v>41901219</v>
      </c>
      <c r="K29" s="79" t="n">
        <v>43663669</v>
      </c>
      <c r="L29" s="79" t="n">
        <v>44035304</v>
      </c>
      <c r="M29" s="79" t="n">
        <v>44396484</v>
      </c>
      <c r="N29" s="79" t="n">
        <v>44749699</v>
      </c>
      <c r="O29" s="79" t="n">
        <v>45094866</v>
      </c>
      <c r="P29" s="79" t="n">
        <v>45538936</v>
      </c>
      <c r="Q29" s="79" t="n">
        <v>45919049</v>
      </c>
      <c r="R29" s="79" t="n">
        <v>46289333</v>
      </c>
      <c r="S29" s="79" t="n">
        <v>46649132</v>
      </c>
      <c r="T29" s="79" t="n">
        <v>44411238</v>
      </c>
      <c r="U29" s="79" t="n">
        <v>44411238</v>
      </c>
      <c r="V29" s="79" t="n">
        <v>45973194</v>
      </c>
    </row>
    <row r="30" ht="13.5" customHeight="1" s="186">
      <c r="B30" s="97" t="inlineStr">
        <is>
          <t>TO</t>
        </is>
      </c>
      <c r="C30" s="124" t="n">
        <v>1305728</v>
      </c>
      <c r="D30" s="124" t="n">
        <v>1332441</v>
      </c>
      <c r="E30" s="124" t="n">
        <v>1243627</v>
      </c>
      <c r="F30" s="124" t="n">
        <v>1280513</v>
      </c>
      <c r="G30" s="124" t="n">
        <v>1292051</v>
      </c>
      <c r="H30" s="124" t="n">
        <v>1383445</v>
      </c>
      <c r="I30" s="124" t="n">
        <v>1400892</v>
      </c>
      <c r="J30" s="76" t="n">
        <v>1417694</v>
      </c>
      <c r="K30" s="76" t="n">
        <v>1478164</v>
      </c>
      <c r="L30" s="76" t="n">
        <v>1496880</v>
      </c>
      <c r="M30" s="76" t="n">
        <v>1515126</v>
      </c>
      <c r="N30" s="76" t="n">
        <v>1532902</v>
      </c>
      <c r="O30" s="76" t="n">
        <v>1550194</v>
      </c>
      <c r="P30" s="76" t="n">
        <v>1555229</v>
      </c>
      <c r="Q30" s="76" t="n">
        <v>1572866</v>
      </c>
      <c r="R30" s="76" t="n">
        <v>1590248</v>
      </c>
      <c r="S30" s="76" t="n">
        <v>1607363</v>
      </c>
      <c r="T30" s="76" t="n">
        <v>1511460</v>
      </c>
      <c r="U30" s="76" t="n">
        <v>1511460</v>
      </c>
      <c r="V30" s="76" t="n">
        <v>1577342</v>
      </c>
    </row>
  </sheetData>
  <mergeCells count="2">
    <mergeCell ref="B1:V1"/>
    <mergeCell ref="B2:V2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" customWidth="1" style="186" min="1" max="1"/>
    <col width="6" customWidth="1" style="186" min="2" max="2"/>
    <col width="8" customWidth="1" style="186" min="3" max="22"/>
  </cols>
  <sheetData>
    <row r="1" ht="19.5" customHeight="1" s="186">
      <c r="B1" s="200" t="inlineStr">
        <is>
          <t>Taxa de Desocupação por UF % (2005–2024) — PNAD anual + PNAD Contínua</t>
        </is>
      </c>
    </row>
    <row r="2" ht="12.75" customHeight="1" s="186">
      <c r="B2" s="198" t="inlineStr">
        <is>
          <t>2005-2014: IBGE/PNAD anual, elaboração Disoc/Ipea (Dese_Pnad, série inativa), pessoas 10+ anos. 2010: interpolação linear 2009↔2011 (PNAD suspensa no Censo). 2015-2024: IBGE PNAD Contínua tabela 4099, pessoas 14+ anos, média 4 trimestres.</t>
        </is>
      </c>
    </row>
    <row r="3" ht="19.5" customHeight="1" s="186">
      <c r="B3" s="64" t="inlineStr">
        <is>
          <t>UF</t>
        </is>
      </c>
      <c r="C3" s="147" t="inlineStr">
        <is>
          <t>2005</t>
        </is>
      </c>
      <c r="D3" s="147" t="inlineStr">
        <is>
          <t>2006</t>
        </is>
      </c>
      <c r="E3" s="147" t="inlineStr">
        <is>
          <t>2007</t>
        </is>
      </c>
      <c r="F3" s="147" t="inlineStr">
        <is>
          <t>2008</t>
        </is>
      </c>
      <c r="G3" s="147" t="inlineStr">
        <is>
          <t>2009</t>
        </is>
      </c>
      <c r="H3" s="154" t="inlineStr">
        <is>
          <t>2010 *</t>
        </is>
      </c>
      <c r="I3" s="147" t="inlineStr">
        <is>
          <t>2011</t>
        </is>
      </c>
      <c r="J3" s="147" t="inlineStr">
        <is>
          <t>2012</t>
        </is>
      </c>
      <c r="K3" s="147" t="inlineStr">
        <is>
          <t>2013</t>
        </is>
      </c>
      <c r="L3" s="147" t="inlineStr">
        <is>
          <t>2014</t>
        </is>
      </c>
      <c r="M3" s="148" t="inlineStr">
        <is>
          <t>2015</t>
        </is>
      </c>
      <c r="N3" s="148" t="inlineStr">
        <is>
          <t>2016</t>
        </is>
      </c>
      <c r="O3" s="148" t="inlineStr">
        <is>
          <t>2017</t>
        </is>
      </c>
      <c r="P3" s="148" t="inlineStr">
        <is>
          <t>2018</t>
        </is>
      </c>
      <c r="Q3" s="148" t="inlineStr">
        <is>
          <t>2019</t>
        </is>
      </c>
      <c r="R3" s="148" t="inlineStr">
        <is>
          <t>2020</t>
        </is>
      </c>
      <c r="S3" s="148" t="inlineStr">
        <is>
          <t>2021</t>
        </is>
      </c>
      <c r="T3" s="149" t="inlineStr">
        <is>
          <t>2022</t>
        </is>
      </c>
      <c r="U3" s="153" t="inlineStr">
        <is>
          <t>2023</t>
        </is>
      </c>
      <c r="V3" s="148" t="inlineStr">
        <is>
          <t>2024</t>
        </is>
      </c>
    </row>
    <row r="4" ht="13.5" customHeight="1" s="186">
      <c r="B4" s="97" t="inlineStr">
        <is>
          <t>AC</t>
        </is>
      </c>
      <c r="C4" s="155" t="n">
        <v>11.33</v>
      </c>
      <c r="D4" s="155" t="n">
        <v>8.58</v>
      </c>
      <c r="E4" s="155" t="n">
        <v>5.79</v>
      </c>
      <c r="F4" s="155" t="n">
        <v>7.74</v>
      </c>
      <c r="G4" s="155" t="n">
        <v>7.56</v>
      </c>
      <c r="H4" s="143" t="n">
        <v>6.46</v>
      </c>
      <c r="I4" s="155" t="n">
        <v>5.36</v>
      </c>
      <c r="J4" s="155" t="n">
        <v>8</v>
      </c>
      <c r="K4" s="155" t="n">
        <v>9.56</v>
      </c>
      <c r="L4" s="155" t="n">
        <v>9.81</v>
      </c>
      <c r="M4" s="85" t="n">
        <v>8.6</v>
      </c>
      <c r="N4" s="85" t="n">
        <v>10.9</v>
      </c>
      <c r="O4" s="85" t="n">
        <v>14.2</v>
      </c>
      <c r="P4" s="85" t="n">
        <v>13.7</v>
      </c>
      <c r="Q4" s="85" t="n">
        <v>14.7</v>
      </c>
      <c r="R4" s="85" t="n">
        <v>15.2</v>
      </c>
      <c r="S4" s="85" t="n">
        <v>15.3</v>
      </c>
      <c r="T4" s="85" t="n">
        <v>11.6</v>
      </c>
      <c r="U4" s="85" t="n">
        <v>7.9</v>
      </c>
      <c r="V4" s="85" t="n">
        <v>7.9</v>
      </c>
    </row>
    <row r="5" ht="13.5" customHeight="1" s="186">
      <c r="B5" s="105" t="inlineStr">
        <is>
          <t>AL</t>
        </is>
      </c>
      <c r="C5" s="156" t="n">
        <v>9.779999999999999</v>
      </c>
      <c r="D5" s="156" t="n">
        <v>10.64</v>
      </c>
      <c r="E5" s="156" t="n">
        <v>8.359999999999999</v>
      </c>
      <c r="F5" s="156" t="n">
        <v>8.01</v>
      </c>
      <c r="G5" s="156" t="n">
        <v>12.13</v>
      </c>
      <c r="H5" s="143" t="n">
        <v>11.27</v>
      </c>
      <c r="I5" s="156" t="n">
        <v>10.41</v>
      </c>
      <c r="J5" s="156" t="n">
        <v>12.24</v>
      </c>
      <c r="K5" s="156" t="n">
        <v>13.19</v>
      </c>
      <c r="L5" s="156" t="n">
        <v>13.13</v>
      </c>
      <c r="M5" s="89" t="n">
        <v>11.3</v>
      </c>
      <c r="N5" s="89" t="n">
        <v>14.2</v>
      </c>
      <c r="O5" s="89" t="n">
        <v>16.9</v>
      </c>
      <c r="P5" s="89" t="n">
        <v>17.3</v>
      </c>
      <c r="Q5" s="89" t="n">
        <v>15.1</v>
      </c>
      <c r="R5" s="89" t="n">
        <v>19.1</v>
      </c>
      <c r="S5" s="89" t="n">
        <v>17.8</v>
      </c>
      <c r="T5" s="89" t="n">
        <v>11.2</v>
      </c>
      <c r="U5" s="89" t="n">
        <v>9.6</v>
      </c>
      <c r="V5" s="89" t="n">
        <v>8.6</v>
      </c>
    </row>
    <row r="6" ht="13.5" customHeight="1" s="186">
      <c r="B6" s="97" t="inlineStr">
        <is>
          <t>AM</t>
        </is>
      </c>
      <c r="C6" s="155" t="n">
        <v>12.83</v>
      </c>
      <c r="D6" s="155" t="n">
        <v>9.43</v>
      </c>
      <c r="E6" s="155" t="n">
        <v>12.24</v>
      </c>
      <c r="F6" s="155" t="n">
        <v>10.01</v>
      </c>
      <c r="G6" s="155" t="n">
        <v>12.44</v>
      </c>
      <c r="H6" s="143" t="n">
        <v>10.86</v>
      </c>
      <c r="I6" s="155" t="n">
        <v>9.279999999999999</v>
      </c>
      <c r="J6" s="155" t="n">
        <v>9</v>
      </c>
      <c r="K6" s="155" t="n">
        <v>10.19</v>
      </c>
      <c r="L6" s="155" t="n">
        <v>10.84</v>
      </c>
      <c r="M6" s="85" t="n">
        <v>9.699999999999999</v>
      </c>
      <c r="N6" s="85" t="n">
        <v>13.8</v>
      </c>
      <c r="O6" s="85" t="n">
        <v>15.9</v>
      </c>
      <c r="P6" s="85" t="n">
        <v>14</v>
      </c>
      <c r="Q6" s="85" t="n">
        <v>14.2</v>
      </c>
      <c r="R6" s="85" t="n">
        <v>16</v>
      </c>
      <c r="S6" s="85" t="n">
        <v>15</v>
      </c>
      <c r="T6" s="85" t="n">
        <v>10.8</v>
      </c>
      <c r="U6" s="85" t="n">
        <v>9.699999999999999</v>
      </c>
      <c r="V6" s="85" t="n">
        <v>8.800000000000001</v>
      </c>
    </row>
    <row r="7" ht="13.5" customHeight="1" s="186">
      <c r="B7" s="105" t="inlineStr">
        <is>
          <t>AP</t>
        </is>
      </c>
      <c r="C7" s="156" t="n">
        <v>11.96</v>
      </c>
      <c r="D7" s="156" t="n">
        <v>6.67</v>
      </c>
      <c r="E7" s="156" t="n">
        <v>16.33</v>
      </c>
      <c r="F7" s="156" t="n">
        <v>15.19</v>
      </c>
      <c r="G7" s="156" t="n">
        <v>13.76</v>
      </c>
      <c r="H7" s="143" t="n">
        <v>13.98</v>
      </c>
      <c r="I7" s="156" t="n">
        <v>14.21</v>
      </c>
      <c r="J7" s="156" t="n">
        <v>10.91</v>
      </c>
      <c r="K7" s="156" t="n">
        <v>13.1</v>
      </c>
      <c r="L7" s="156" t="n">
        <v>10.33</v>
      </c>
      <c r="M7" s="89" t="n">
        <v>11.2</v>
      </c>
      <c r="N7" s="89" t="n">
        <v>15.8</v>
      </c>
      <c r="O7" s="89" t="n">
        <v>18.1</v>
      </c>
      <c r="P7" s="89" t="n">
        <v>20.4</v>
      </c>
      <c r="Q7" s="89" t="n">
        <v>17.6</v>
      </c>
      <c r="R7" s="89" t="n">
        <v>15</v>
      </c>
      <c r="S7" s="89" t="n">
        <v>16.6</v>
      </c>
      <c r="T7" s="89" t="n">
        <v>12.5</v>
      </c>
      <c r="U7" s="89" t="n">
        <v>12.8</v>
      </c>
      <c r="V7" s="89" t="n">
        <v>9.300000000000001</v>
      </c>
    </row>
    <row r="8" ht="13.5" customHeight="1" s="186">
      <c r="B8" s="97" t="inlineStr">
        <is>
          <t>BA</t>
        </is>
      </c>
      <c r="C8" s="155" t="n">
        <v>11.07</v>
      </c>
      <c r="D8" s="155" t="n">
        <v>10.25</v>
      </c>
      <c r="E8" s="155" t="n">
        <v>10.34</v>
      </c>
      <c r="F8" s="155" t="n">
        <v>10.53</v>
      </c>
      <c r="G8" s="155" t="n">
        <v>10.67</v>
      </c>
      <c r="H8" s="143" t="n">
        <v>10.59</v>
      </c>
      <c r="I8" s="155" t="n">
        <v>10.51</v>
      </c>
      <c r="J8" s="155" t="n">
        <v>10.18</v>
      </c>
      <c r="K8" s="155" t="n">
        <v>9.869999999999999</v>
      </c>
      <c r="L8" s="155" t="n">
        <v>9.98</v>
      </c>
      <c r="M8" s="85" t="n">
        <v>12.4</v>
      </c>
      <c r="N8" s="85" t="n">
        <v>16</v>
      </c>
      <c r="O8" s="85" t="n">
        <v>17.1</v>
      </c>
      <c r="P8" s="85" t="n">
        <v>17.2</v>
      </c>
      <c r="Q8" s="85" t="n">
        <v>17.4</v>
      </c>
      <c r="R8" s="85" t="n">
        <v>20.2</v>
      </c>
      <c r="S8" s="85" t="n">
        <v>19.5</v>
      </c>
      <c r="T8" s="85" t="n">
        <v>15.3</v>
      </c>
      <c r="U8" s="85" t="n">
        <v>13.4</v>
      </c>
      <c r="V8" s="85" t="n">
        <v>11.2</v>
      </c>
    </row>
    <row r="9" ht="13.5" customHeight="1" s="186">
      <c r="B9" s="105" t="inlineStr">
        <is>
          <t>CE</t>
        </is>
      </c>
      <c r="C9" s="156" t="n">
        <v>9.119999999999999</v>
      </c>
      <c r="D9" s="156" t="n">
        <v>8.359999999999999</v>
      </c>
      <c r="E9" s="156" t="n">
        <v>7.88</v>
      </c>
      <c r="F9" s="156" t="n">
        <v>7</v>
      </c>
      <c r="G9" s="156" t="n">
        <v>7.91</v>
      </c>
      <c r="H9" s="143" t="n">
        <v>7.02</v>
      </c>
      <c r="I9" s="156" t="n">
        <v>6.12</v>
      </c>
      <c r="J9" s="156" t="n">
        <v>6.58</v>
      </c>
      <c r="K9" s="156" t="n">
        <v>7.42</v>
      </c>
      <c r="L9" s="156" t="n">
        <v>8.23</v>
      </c>
      <c r="M9" s="89" t="n">
        <v>8.9</v>
      </c>
      <c r="N9" s="89" t="n">
        <v>12.1</v>
      </c>
      <c r="O9" s="89" t="n">
        <v>12.7</v>
      </c>
      <c r="P9" s="89" t="n">
        <v>11.4</v>
      </c>
      <c r="Q9" s="89" t="n">
        <v>11.1</v>
      </c>
      <c r="R9" s="89" t="n">
        <v>13.3</v>
      </c>
      <c r="S9" s="89" t="n">
        <v>13.4</v>
      </c>
      <c r="T9" s="89" t="n">
        <v>9.5</v>
      </c>
      <c r="U9" s="89" t="n">
        <v>9.1</v>
      </c>
      <c r="V9" s="89" t="n">
        <v>7.3</v>
      </c>
    </row>
    <row r="10" ht="13.5" customHeight="1" s="186">
      <c r="B10" s="97" t="inlineStr">
        <is>
          <t>DF</t>
        </is>
      </c>
      <c r="C10" s="155" t="n">
        <v>13.51</v>
      </c>
      <c r="D10" s="155" t="n">
        <v>11.63</v>
      </c>
      <c r="E10" s="155" t="n">
        <v>11.95</v>
      </c>
      <c r="F10" s="155" t="n">
        <v>11.24</v>
      </c>
      <c r="G10" s="155" t="n">
        <v>11.46</v>
      </c>
      <c r="H10" s="143" t="n">
        <v>9.67</v>
      </c>
      <c r="I10" s="155" t="n">
        <v>7.88</v>
      </c>
      <c r="J10" s="155" t="n">
        <v>8.390000000000001</v>
      </c>
      <c r="K10" s="155" t="n">
        <v>9.32</v>
      </c>
      <c r="L10" s="155" t="n">
        <v>9.48</v>
      </c>
      <c r="M10" s="85" t="n">
        <v>10.2</v>
      </c>
      <c r="N10" s="85" t="n">
        <v>12.1</v>
      </c>
      <c r="O10" s="85" t="n">
        <v>13.3</v>
      </c>
      <c r="P10" s="85" t="n">
        <v>12.8</v>
      </c>
      <c r="Q10" s="85" t="n">
        <v>13.4</v>
      </c>
      <c r="R10" s="85" t="n">
        <v>14.8</v>
      </c>
      <c r="S10" s="85" t="n">
        <v>14</v>
      </c>
      <c r="T10" s="85" t="n">
        <v>11.4</v>
      </c>
      <c r="U10" s="85" t="n">
        <v>9.800000000000001</v>
      </c>
      <c r="V10" s="85" t="n">
        <v>9.199999999999999</v>
      </c>
    </row>
    <row r="11" ht="13.5" customHeight="1" s="186">
      <c r="B11" s="105" t="inlineStr">
        <is>
          <t>ES</t>
        </is>
      </c>
      <c r="C11" s="156" t="n">
        <v>10.33</v>
      </c>
      <c r="D11" s="156" t="n">
        <v>7.5</v>
      </c>
      <c r="E11" s="156" t="n">
        <v>10.81</v>
      </c>
      <c r="F11" s="156" t="n">
        <v>6.24</v>
      </c>
      <c r="G11" s="156" t="n">
        <v>8.48</v>
      </c>
      <c r="H11" s="143" t="n">
        <v>8.220000000000001</v>
      </c>
      <c r="I11" s="156" t="n">
        <v>7.97</v>
      </c>
      <c r="J11" s="156" t="n">
        <v>5.78</v>
      </c>
      <c r="K11" s="156" t="n">
        <v>6.19</v>
      </c>
      <c r="L11" s="156" t="n">
        <v>7.14</v>
      </c>
      <c r="M11" s="89" t="n">
        <v>7.8</v>
      </c>
      <c r="N11" s="89" t="n">
        <v>12.4</v>
      </c>
      <c r="O11" s="89" t="n">
        <v>13.3</v>
      </c>
      <c r="P11" s="89" t="n">
        <v>11.7</v>
      </c>
      <c r="Q11" s="89" t="n">
        <v>11.2</v>
      </c>
      <c r="R11" s="89" t="n">
        <v>12.9</v>
      </c>
      <c r="S11" s="89" t="n">
        <v>11.2</v>
      </c>
      <c r="T11" s="89" t="n">
        <v>8</v>
      </c>
      <c r="U11" s="89" t="n">
        <v>6.1</v>
      </c>
      <c r="V11" s="89" t="n">
        <v>4.7</v>
      </c>
    </row>
    <row r="12" ht="13.5" customHeight="1" s="186">
      <c r="B12" s="97" t="inlineStr">
        <is>
          <t>GO</t>
        </is>
      </c>
      <c r="C12" s="155" t="n">
        <v>9.81</v>
      </c>
      <c r="D12" s="155" t="n">
        <v>7.65</v>
      </c>
      <c r="E12" s="155" t="n">
        <v>8.220000000000001</v>
      </c>
      <c r="F12" s="155" t="n">
        <v>7.22</v>
      </c>
      <c r="G12" s="155" t="n">
        <v>8.51</v>
      </c>
      <c r="H12" s="143" t="n">
        <v>6.72</v>
      </c>
      <c r="I12" s="155" t="n">
        <v>4.94</v>
      </c>
      <c r="J12" s="155" t="n">
        <v>4.92</v>
      </c>
      <c r="K12" s="155" t="n">
        <v>5.74</v>
      </c>
      <c r="L12" s="155" t="n">
        <v>5.17</v>
      </c>
      <c r="M12" s="85" t="n">
        <v>7.4</v>
      </c>
      <c r="N12" s="85" t="n">
        <v>10.7</v>
      </c>
      <c r="O12" s="85" t="n">
        <v>10.7</v>
      </c>
      <c r="P12" s="85" t="n">
        <v>9.300000000000001</v>
      </c>
      <c r="Q12" s="85" t="n">
        <v>10.8</v>
      </c>
      <c r="R12" s="85" t="n">
        <v>12.8</v>
      </c>
      <c r="S12" s="85" t="n">
        <v>11.3</v>
      </c>
      <c r="T12" s="85" t="n">
        <v>7.2</v>
      </c>
      <c r="U12" s="85" t="n">
        <v>6.2</v>
      </c>
      <c r="V12" s="85" t="n">
        <v>5.4</v>
      </c>
    </row>
    <row r="13" ht="13.5" customHeight="1" s="186">
      <c r="B13" s="105" t="inlineStr">
        <is>
          <t>MA</t>
        </is>
      </c>
      <c r="C13" s="156" t="n">
        <v>7.53</v>
      </c>
      <c r="D13" s="156" t="n">
        <v>8.449999999999999</v>
      </c>
      <c r="E13" s="156" t="n">
        <v>8.289999999999999</v>
      </c>
      <c r="F13" s="156" t="n">
        <v>6.69</v>
      </c>
      <c r="G13" s="156" t="n">
        <v>8.359999999999999</v>
      </c>
      <c r="H13" s="143" t="n">
        <v>8.24</v>
      </c>
      <c r="I13" s="156" t="n">
        <v>8.119999999999999</v>
      </c>
      <c r="J13" s="156" t="n">
        <v>6.83</v>
      </c>
      <c r="K13" s="156" t="n">
        <v>9.02</v>
      </c>
      <c r="L13" s="156" t="n">
        <v>8.1</v>
      </c>
      <c r="M13" s="89" t="n">
        <v>8.800000000000001</v>
      </c>
      <c r="N13" s="89" t="n">
        <v>12.1</v>
      </c>
      <c r="O13" s="89" t="n">
        <v>14.5</v>
      </c>
      <c r="P13" s="89" t="n">
        <v>14.7</v>
      </c>
      <c r="Q13" s="89" t="n">
        <v>14.7</v>
      </c>
      <c r="R13" s="89" t="n">
        <v>16.4</v>
      </c>
      <c r="S13" s="89" t="n">
        <v>16.1</v>
      </c>
      <c r="T13" s="89" t="n">
        <v>10.5</v>
      </c>
      <c r="U13" s="89" t="n">
        <v>8.199999999999999</v>
      </c>
      <c r="V13" s="89" t="n">
        <v>7.7</v>
      </c>
    </row>
    <row r="14" ht="13.5" customHeight="1" s="186">
      <c r="B14" s="97" t="inlineStr">
        <is>
          <t>MG</t>
        </is>
      </c>
      <c r="C14" s="155" t="n">
        <v>9.390000000000001</v>
      </c>
      <c r="D14" s="155" t="n">
        <v>8.74</v>
      </c>
      <c r="E14" s="155" t="n">
        <v>8.220000000000001</v>
      </c>
      <c r="F14" s="155" t="n">
        <v>6.72</v>
      </c>
      <c r="G14" s="155" t="n">
        <v>8.1</v>
      </c>
      <c r="H14" s="143" t="n">
        <v>7.26</v>
      </c>
      <c r="I14" s="155" t="n">
        <v>6.43</v>
      </c>
      <c r="J14" s="155" t="n">
        <v>6.21</v>
      </c>
      <c r="K14" s="155" t="n">
        <v>6.63</v>
      </c>
      <c r="L14" s="155" t="n">
        <v>7.06</v>
      </c>
      <c r="M14" s="85" t="n">
        <v>8.6</v>
      </c>
      <c r="N14" s="85" t="n">
        <v>11.2</v>
      </c>
      <c r="O14" s="85" t="n">
        <v>12.2</v>
      </c>
      <c r="P14" s="85" t="n">
        <v>10.8</v>
      </c>
      <c r="Q14" s="85" t="n">
        <v>10.1</v>
      </c>
      <c r="R14" s="85" t="n">
        <v>12.8</v>
      </c>
      <c r="S14" s="85" t="n">
        <v>11.7</v>
      </c>
      <c r="T14" s="85" t="n">
        <v>7.2</v>
      </c>
      <c r="U14" s="85" t="n">
        <v>6.1</v>
      </c>
      <c r="V14" s="85" t="n">
        <v>5.2</v>
      </c>
    </row>
    <row r="15" ht="13.5" customHeight="1" s="186">
      <c r="B15" s="105" t="inlineStr">
        <is>
          <t>MS</t>
        </is>
      </c>
      <c r="C15" s="156" t="n">
        <v>9.199999999999999</v>
      </c>
      <c r="D15" s="156" t="n">
        <v>8.470000000000001</v>
      </c>
      <c r="E15" s="156" t="n">
        <v>6.48</v>
      </c>
      <c r="F15" s="156" t="n">
        <v>7.87</v>
      </c>
      <c r="G15" s="156" t="n">
        <v>7.21</v>
      </c>
      <c r="H15" s="143" t="n">
        <v>6.04</v>
      </c>
      <c r="I15" s="156" t="n">
        <v>4.86</v>
      </c>
      <c r="J15" s="156" t="n">
        <v>3.73</v>
      </c>
      <c r="K15" s="156" t="n">
        <v>3.87</v>
      </c>
      <c r="L15" s="156" t="n">
        <v>4.49</v>
      </c>
      <c r="M15" s="89" t="n">
        <v>6.2</v>
      </c>
      <c r="N15" s="89" t="n">
        <v>7.7</v>
      </c>
      <c r="O15" s="89" t="n">
        <v>8.6</v>
      </c>
      <c r="P15" s="89" t="n">
        <v>7.6</v>
      </c>
      <c r="Q15" s="89" t="n">
        <v>8.1</v>
      </c>
      <c r="R15" s="89" t="n">
        <v>10.2</v>
      </c>
      <c r="S15" s="89" t="n">
        <v>8.699999999999999</v>
      </c>
      <c r="T15" s="89" t="n">
        <v>5</v>
      </c>
      <c r="U15" s="89" t="n">
        <v>4.2</v>
      </c>
      <c r="V15" s="89" t="n">
        <v>4</v>
      </c>
    </row>
    <row r="16" ht="13.5" customHeight="1" s="186">
      <c r="B16" s="97" t="inlineStr">
        <is>
          <t>MT</t>
        </is>
      </c>
      <c r="C16" s="155" t="n">
        <v>8.69</v>
      </c>
      <c r="D16" s="155" t="n">
        <v>9.1</v>
      </c>
      <c r="E16" s="155" t="n">
        <v>8.42</v>
      </c>
      <c r="F16" s="155" t="n">
        <v>6.22</v>
      </c>
      <c r="G16" s="155" t="n">
        <v>6.87</v>
      </c>
      <c r="H16" s="143" t="n">
        <v>7.25</v>
      </c>
      <c r="I16" s="155" t="n">
        <v>7.63</v>
      </c>
      <c r="J16" s="155" t="n">
        <v>5.26</v>
      </c>
      <c r="K16" s="155" t="n">
        <v>4.9</v>
      </c>
      <c r="L16" s="155" t="n">
        <v>4.81</v>
      </c>
      <c r="M16" s="85" t="n">
        <v>6.2</v>
      </c>
      <c r="N16" s="85" t="n">
        <v>9.5</v>
      </c>
      <c r="O16" s="85" t="n">
        <v>9.1</v>
      </c>
      <c r="P16" s="85" t="n">
        <v>8</v>
      </c>
      <c r="Q16" s="85" t="n">
        <v>8</v>
      </c>
      <c r="R16" s="85" t="n">
        <v>9.9</v>
      </c>
      <c r="S16" s="85" t="n">
        <v>8</v>
      </c>
      <c r="T16" s="85" t="n">
        <v>4.3</v>
      </c>
      <c r="U16" s="85" t="n">
        <v>3.5</v>
      </c>
      <c r="V16" s="85" t="n">
        <v>2.9</v>
      </c>
    </row>
    <row r="17" ht="13.5" customHeight="1" s="186">
      <c r="B17" s="105" t="inlineStr">
        <is>
          <t>PA</t>
        </is>
      </c>
      <c r="C17" s="156" t="n">
        <v>9.699999999999999</v>
      </c>
      <c r="D17" s="156" t="n">
        <v>9.26</v>
      </c>
      <c r="E17" s="156" t="n">
        <v>8.720000000000001</v>
      </c>
      <c r="F17" s="156" t="n">
        <v>6.78</v>
      </c>
      <c r="G17" s="156" t="n">
        <v>10.24</v>
      </c>
      <c r="H17" s="143" t="n">
        <v>9.93</v>
      </c>
      <c r="I17" s="156" t="n">
        <v>9.619999999999999</v>
      </c>
      <c r="J17" s="156" t="n">
        <v>7.8</v>
      </c>
      <c r="K17" s="156" t="n">
        <v>9.59</v>
      </c>
      <c r="L17" s="156" t="n">
        <v>9.710000000000001</v>
      </c>
      <c r="M17" s="89" t="n">
        <v>8.9</v>
      </c>
      <c r="N17" s="89" t="n">
        <v>11.2</v>
      </c>
      <c r="O17" s="89" t="n">
        <v>11.8</v>
      </c>
      <c r="P17" s="89" t="n">
        <v>11.2</v>
      </c>
      <c r="Q17" s="89" t="n">
        <v>10.8</v>
      </c>
      <c r="R17" s="89" t="n">
        <v>10.5</v>
      </c>
      <c r="S17" s="89" t="n">
        <v>12.5</v>
      </c>
      <c r="T17" s="89" t="n">
        <v>9.6</v>
      </c>
      <c r="U17" s="89" t="n">
        <v>8.5</v>
      </c>
      <c r="V17" s="89" t="n">
        <v>7.5</v>
      </c>
    </row>
    <row r="18" ht="13.5" customHeight="1" s="186">
      <c r="B18" s="97" t="inlineStr">
        <is>
          <t>PB</t>
        </is>
      </c>
      <c r="C18" s="155" t="n">
        <v>8.69</v>
      </c>
      <c r="D18" s="155" t="n">
        <v>8.69</v>
      </c>
      <c r="E18" s="155" t="n">
        <v>8.5</v>
      </c>
      <c r="F18" s="155" t="n">
        <v>7.86</v>
      </c>
      <c r="G18" s="155" t="n">
        <v>9.84</v>
      </c>
      <c r="H18" s="143" t="n">
        <v>10.11</v>
      </c>
      <c r="I18" s="155" t="n">
        <v>10.37</v>
      </c>
      <c r="J18" s="155" t="n">
        <v>8.98</v>
      </c>
      <c r="K18" s="155" t="n">
        <v>9.83</v>
      </c>
      <c r="L18" s="155" t="n">
        <v>8.5</v>
      </c>
      <c r="M18" s="85" t="n">
        <v>9.699999999999999</v>
      </c>
      <c r="N18" s="85" t="n">
        <v>11.6</v>
      </c>
      <c r="O18" s="85" t="n">
        <v>11.5</v>
      </c>
      <c r="P18" s="85" t="n">
        <v>11.3</v>
      </c>
      <c r="Q18" s="85" t="n">
        <v>11.8</v>
      </c>
      <c r="R18" s="85" t="n">
        <v>15</v>
      </c>
      <c r="S18" s="85" t="n">
        <v>14.8</v>
      </c>
      <c r="T18" s="85" t="n">
        <v>12</v>
      </c>
      <c r="U18" s="85" t="n">
        <v>10.1</v>
      </c>
      <c r="V18" s="85" t="n">
        <v>8.699999999999999</v>
      </c>
    </row>
    <row r="19" ht="13.5" customHeight="1" s="186">
      <c r="B19" s="105" t="inlineStr">
        <is>
          <t>PE</t>
        </is>
      </c>
      <c r="C19" s="156" t="n">
        <v>12.69</v>
      </c>
      <c r="D19" s="156" t="n">
        <v>11.3</v>
      </c>
      <c r="E19" s="156" t="n">
        <v>12.98</v>
      </c>
      <c r="F19" s="156" t="n">
        <v>10.74</v>
      </c>
      <c r="G19" s="156" t="n">
        <v>13.09</v>
      </c>
      <c r="H19" s="143" t="n">
        <v>11.31</v>
      </c>
      <c r="I19" s="156" t="n">
        <v>9.539999999999999</v>
      </c>
      <c r="J19" s="156" t="n">
        <v>10.29</v>
      </c>
      <c r="K19" s="156" t="n">
        <v>9.09</v>
      </c>
      <c r="L19" s="156" t="n">
        <v>9.470000000000001</v>
      </c>
      <c r="M19" s="89" t="n">
        <v>9.9</v>
      </c>
      <c r="N19" s="89" t="n">
        <v>14.8</v>
      </c>
      <c r="O19" s="89" t="n">
        <v>17.9</v>
      </c>
      <c r="P19" s="89" t="n">
        <v>16.9</v>
      </c>
      <c r="Q19" s="89" t="n">
        <v>15.7</v>
      </c>
      <c r="R19" s="89" t="n">
        <v>17.2</v>
      </c>
      <c r="S19" s="89" t="n">
        <v>19.9</v>
      </c>
      <c r="T19" s="89" t="n">
        <v>14.2</v>
      </c>
      <c r="U19" s="89" t="n">
        <v>13.4</v>
      </c>
      <c r="V19" s="89" t="n">
        <v>11.1</v>
      </c>
    </row>
    <row r="20" ht="13.5" customHeight="1" s="186">
      <c r="B20" s="97" t="inlineStr">
        <is>
          <t>PI</t>
        </is>
      </c>
      <c r="C20" s="155" t="n">
        <v>6.83</v>
      </c>
      <c r="D20" s="155" t="n">
        <v>5.25</v>
      </c>
      <c r="E20" s="155" t="n">
        <v>4.61</v>
      </c>
      <c r="F20" s="155" t="n">
        <v>5.01</v>
      </c>
      <c r="G20" s="155" t="n">
        <v>5.21</v>
      </c>
      <c r="H20" s="143" t="n">
        <v>6.12</v>
      </c>
      <c r="I20" s="155" t="n">
        <v>7.04</v>
      </c>
      <c r="J20" s="155" t="n">
        <v>5.62</v>
      </c>
      <c r="K20" s="155" t="n">
        <v>6.99</v>
      </c>
      <c r="L20" s="155" t="n">
        <v>6.01</v>
      </c>
      <c r="M20" s="85" t="n">
        <v>7.7</v>
      </c>
      <c r="N20" s="85" t="n">
        <v>9.6</v>
      </c>
      <c r="O20" s="85" t="n">
        <v>13</v>
      </c>
      <c r="P20" s="85" t="n">
        <v>12.9</v>
      </c>
      <c r="Q20" s="85" t="n">
        <v>13</v>
      </c>
      <c r="R20" s="85" t="n">
        <v>13.3</v>
      </c>
      <c r="S20" s="85" t="n">
        <v>13.6</v>
      </c>
      <c r="T20" s="85" t="n">
        <v>10.2</v>
      </c>
      <c r="U20" s="85" t="n">
        <v>10.3</v>
      </c>
      <c r="V20" s="85" t="n">
        <v>8.5</v>
      </c>
    </row>
    <row r="21" ht="13.5" customHeight="1" s="186">
      <c r="B21" s="105" t="inlineStr">
        <is>
          <t>PR</t>
        </is>
      </c>
      <c r="C21" s="156" t="n">
        <v>7.5</v>
      </c>
      <c r="D21" s="156" t="n">
        <v>7.36</v>
      </c>
      <c r="E21" s="156" t="n">
        <v>6.22</v>
      </c>
      <c r="F21" s="156" t="n">
        <v>5</v>
      </c>
      <c r="G21" s="156" t="n">
        <v>6.8</v>
      </c>
      <c r="H21" s="143" t="n">
        <v>5.89</v>
      </c>
      <c r="I21" s="156" t="n">
        <v>4.99</v>
      </c>
      <c r="J21" s="156" t="n">
        <v>4.88</v>
      </c>
      <c r="K21" s="156" t="n">
        <v>4.51</v>
      </c>
      <c r="L21" s="156" t="n">
        <v>4.62</v>
      </c>
      <c r="M21" s="89" t="n">
        <v>5.9</v>
      </c>
      <c r="N21" s="89" t="n">
        <v>8.300000000000001</v>
      </c>
      <c r="O21" s="89" t="n">
        <v>9</v>
      </c>
      <c r="P21" s="89" t="n">
        <v>8.800000000000001</v>
      </c>
      <c r="Q21" s="89" t="n">
        <v>8.699999999999999</v>
      </c>
      <c r="R21" s="89" t="n">
        <v>9.6</v>
      </c>
      <c r="S21" s="89" t="n">
        <v>8.4</v>
      </c>
      <c r="T21" s="89" t="n">
        <v>5.8</v>
      </c>
      <c r="U21" s="89" t="n">
        <v>4.9</v>
      </c>
      <c r="V21" s="89" t="n">
        <v>4</v>
      </c>
    </row>
    <row r="22" ht="13.5" customHeight="1" s="186">
      <c r="B22" s="97" t="inlineStr">
        <is>
          <t>RJ</t>
        </is>
      </c>
      <c r="C22" s="155" t="n">
        <v>12.86</v>
      </c>
      <c r="D22" s="155" t="n">
        <v>11.93</v>
      </c>
      <c r="E22" s="155" t="n">
        <v>10.3</v>
      </c>
      <c r="F22" s="155" t="n">
        <v>9.66</v>
      </c>
      <c r="G22" s="155" t="n">
        <v>9.25</v>
      </c>
      <c r="H22" s="143" t="n">
        <v>8.75</v>
      </c>
      <c r="I22" s="155" t="n">
        <v>8.26</v>
      </c>
      <c r="J22" s="155" t="n">
        <v>6.83</v>
      </c>
      <c r="K22" s="155" t="n">
        <v>7.63</v>
      </c>
      <c r="L22" s="155" t="n">
        <v>8.09</v>
      </c>
      <c r="M22" s="85" t="n">
        <v>7.7</v>
      </c>
      <c r="N22" s="85" t="n">
        <v>11.9</v>
      </c>
      <c r="O22" s="85" t="n">
        <v>15.1</v>
      </c>
      <c r="P22" s="85" t="n">
        <v>15.1</v>
      </c>
      <c r="Q22" s="85" t="n">
        <v>14.8</v>
      </c>
      <c r="R22" s="85" t="n">
        <v>17.6</v>
      </c>
      <c r="S22" s="85" t="n">
        <v>16.9</v>
      </c>
      <c r="T22" s="85" t="n">
        <v>12.8</v>
      </c>
      <c r="U22" s="85" t="n">
        <v>11</v>
      </c>
      <c r="V22" s="85" t="n">
        <v>9</v>
      </c>
    </row>
    <row r="23" ht="13.5" customHeight="1" s="186">
      <c r="B23" s="105" t="inlineStr">
        <is>
          <t>RN</t>
        </is>
      </c>
      <c r="C23" s="156" t="n">
        <v>11.98</v>
      </c>
      <c r="D23" s="156" t="n">
        <v>9.73</v>
      </c>
      <c r="E23" s="156" t="n">
        <v>10.05</v>
      </c>
      <c r="F23" s="156" t="n">
        <v>8.630000000000001</v>
      </c>
      <c r="G23" s="156" t="n">
        <v>11.69</v>
      </c>
      <c r="H23" s="143" t="n">
        <v>11.11</v>
      </c>
      <c r="I23" s="156" t="n">
        <v>10.53</v>
      </c>
      <c r="J23" s="156" t="n">
        <v>8.119999999999999</v>
      </c>
      <c r="K23" s="156" t="n">
        <v>11.82</v>
      </c>
      <c r="L23" s="156" t="n">
        <v>12.14</v>
      </c>
      <c r="M23" s="89" t="n">
        <v>12.1</v>
      </c>
      <c r="N23" s="89" t="n">
        <v>14.3</v>
      </c>
      <c r="O23" s="89" t="n">
        <v>14.7</v>
      </c>
      <c r="P23" s="89" t="n">
        <v>13.7</v>
      </c>
      <c r="Q23" s="89" t="n">
        <v>13.3</v>
      </c>
      <c r="R23" s="89" t="n">
        <v>16.1</v>
      </c>
      <c r="S23" s="89" t="n">
        <v>14.9</v>
      </c>
      <c r="T23" s="89" t="n">
        <v>11.7</v>
      </c>
      <c r="U23" s="89" t="n">
        <v>10.3</v>
      </c>
      <c r="V23" s="89" t="n">
        <v>9.1</v>
      </c>
    </row>
    <row r="24" ht="13.5" customHeight="1" s="186">
      <c r="B24" s="97" t="inlineStr">
        <is>
          <t>RO</t>
        </is>
      </c>
      <c r="C24" s="155" t="n">
        <v>7.68</v>
      </c>
      <c r="D24" s="155" t="n">
        <v>7.72</v>
      </c>
      <c r="E24" s="155" t="n">
        <v>8.369999999999999</v>
      </c>
      <c r="F24" s="155" t="n">
        <v>8.050000000000001</v>
      </c>
      <c r="G24" s="155" t="n">
        <v>9.119999999999999</v>
      </c>
      <c r="H24" s="143" t="n">
        <v>6.66</v>
      </c>
      <c r="I24" s="155" t="n">
        <v>4.21</v>
      </c>
      <c r="J24" s="155" t="n">
        <v>6.39</v>
      </c>
      <c r="K24" s="155" t="n">
        <v>6.1</v>
      </c>
      <c r="L24" s="155" t="n">
        <v>5.41</v>
      </c>
      <c r="M24" s="85" t="n">
        <v>5.7</v>
      </c>
      <c r="N24" s="85" t="n">
        <v>8</v>
      </c>
      <c r="O24" s="85" t="n">
        <v>8.199999999999999</v>
      </c>
      <c r="P24" s="85" t="n">
        <v>9.199999999999999</v>
      </c>
      <c r="Q24" s="85" t="n">
        <v>8.1</v>
      </c>
      <c r="R24" s="85" t="n">
        <v>10.6</v>
      </c>
      <c r="S24" s="85" t="n">
        <v>8.9</v>
      </c>
      <c r="T24" s="85" t="n">
        <v>4.9</v>
      </c>
      <c r="U24" s="85" t="n">
        <v>2.9</v>
      </c>
      <c r="V24" s="85" t="n">
        <v>2.9</v>
      </c>
    </row>
    <row r="25" ht="13.5" customHeight="1" s="186">
      <c r="B25" s="105" t="inlineStr">
        <is>
          <t>RR</t>
        </is>
      </c>
      <c r="C25" s="156" t="n">
        <v>16.89</v>
      </c>
      <c r="D25" s="156" t="n">
        <v>9.91</v>
      </c>
      <c r="E25" s="156" t="n">
        <v>12.07</v>
      </c>
      <c r="F25" s="156" t="n">
        <v>7.35</v>
      </c>
      <c r="G25" s="156" t="n">
        <v>11.32</v>
      </c>
      <c r="H25" s="143" t="n">
        <v>10.54</v>
      </c>
      <c r="I25" s="156" t="n">
        <v>9.77</v>
      </c>
      <c r="J25" s="156" t="n">
        <v>10.18</v>
      </c>
      <c r="K25" s="156" t="n">
        <v>7.96</v>
      </c>
      <c r="L25" s="156" t="n">
        <v>8.24</v>
      </c>
      <c r="M25" s="89" t="n">
        <v>8.699999999999999</v>
      </c>
      <c r="N25" s="89" t="n">
        <v>8.9</v>
      </c>
      <c r="O25" s="89" t="n">
        <v>10</v>
      </c>
      <c r="P25" s="89" t="n">
        <v>12.4</v>
      </c>
      <c r="Q25" s="89" t="n">
        <v>15.1</v>
      </c>
      <c r="R25" s="89" t="n">
        <v>16.8</v>
      </c>
      <c r="S25" s="89" t="n">
        <v>12.1</v>
      </c>
      <c r="T25" s="89" t="n">
        <v>6.1</v>
      </c>
      <c r="U25" s="89" t="n">
        <v>6.7</v>
      </c>
      <c r="V25" s="89" t="n">
        <v>6.8</v>
      </c>
    </row>
    <row r="26" ht="13.5" customHeight="1" s="186">
      <c r="B26" s="97" t="inlineStr">
        <is>
          <t>RS</t>
        </is>
      </c>
      <c r="C26" s="155" t="n">
        <v>7.21</v>
      </c>
      <c r="D26" s="155" t="n">
        <v>6.92</v>
      </c>
      <c r="E26" s="155" t="n">
        <v>7.33</v>
      </c>
      <c r="F26" s="155" t="n">
        <v>6.08</v>
      </c>
      <c r="G26" s="155" t="n">
        <v>6.69</v>
      </c>
      <c r="H26" s="143" t="n">
        <v>5.85</v>
      </c>
      <c r="I26" s="155" t="n">
        <v>5.01</v>
      </c>
      <c r="J26" s="155" t="n">
        <v>4.96</v>
      </c>
      <c r="K26" s="155" t="n">
        <v>4.82</v>
      </c>
      <c r="L26" s="155" t="n">
        <v>5</v>
      </c>
      <c r="M26" s="85" t="n">
        <v>6.4</v>
      </c>
      <c r="N26" s="85" t="n">
        <v>8.300000000000001</v>
      </c>
      <c r="O26" s="85" t="n">
        <v>8.5</v>
      </c>
      <c r="P26" s="85" t="n">
        <v>8.199999999999999</v>
      </c>
      <c r="Q26" s="85" t="n">
        <v>8.199999999999999</v>
      </c>
      <c r="R26" s="85" t="n">
        <v>9.300000000000001</v>
      </c>
      <c r="S26" s="85" t="n">
        <v>8.699999999999999</v>
      </c>
      <c r="T26" s="85" t="n">
        <v>6.1</v>
      </c>
      <c r="U26" s="85" t="n">
        <v>5.3</v>
      </c>
      <c r="V26" s="85" t="n">
        <v>5.1</v>
      </c>
    </row>
    <row r="27" ht="13.5" customHeight="1" s="186">
      <c r="B27" s="105" t="inlineStr">
        <is>
          <t>SC</t>
        </is>
      </c>
      <c r="C27" s="156" t="n">
        <v>4.91</v>
      </c>
      <c r="D27" s="156" t="n">
        <v>5.16</v>
      </c>
      <c r="E27" s="156" t="n">
        <v>5.2</v>
      </c>
      <c r="F27" s="156" t="n">
        <v>4.75</v>
      </c>
      <c r="G27" s="156" t="n">
        <v>5.65</v>
      </c>
      <c r="H27" s="143" t="n">
        <v>4.63</v>
      </c>
      <c r="I27" s="156" t="n">
        <v>3.61</v>
      </c>
      <c r="J27" s="156" t="n">
        <v>3.14</v>
      </c>
      <c r="K27" s="156" t="n">
        <v>3.36</v>
      </c>
      <c r="L27" s="156" t="n">
        <v>3.13</v>
      </c>
      <c r="M27" s="89" t="n">
        <v>4.2</v>
      </c>
      <c r="N27" s="89" t="n">
        <v>6.4</v>
      </c>
      <c r="O27" s="89" t="n">
        <v>7.2</v>
      </c>
      <c r="P27" s="89" t="n">
        <v>6.5</v>
      </c>
      <c r="Q27" s="89" t="n">
        <v>6.2</v>
      </c>
      <c r="R27" s="89" t="n">
        <v>6.3</v>
      </c>
      <c r="S27" s="89" t="n">
        <v>5.5</v>
      </c>
      <c r="T27" s="89" t="n">
        <v>3.9</v>
      </c>
      <c r="U27" s="89" t="n">
        <v>3.5</v>
      </c>
      <c r="V27" s="89" t="n">
        <v>3.1</v>
      </c>
    </row>
    <row r="28" ht="13.5" customHeight="1" s="186">
      <c r="B28" s="97" t="inlineStr">
        <is>
          <t>SE</t>
        </is>
      </c>
      <c r="C28" s="155" t="n">
        <v>13.98</v>
      </c>
      <c r="D28" s="155" t="n">
        <v>10.29</v>
      </c>
      <c r="E28" s="155" t="n">
        <v>9.77</v>
      </c>
      <c r="F28" s="155" t="n">
        <v>8.43</v>
      </c>
      <c r="G28" s="155" t="n">
        <v>12.01</v>
      </c>
      <c r="H28" s="143" t="n">
        <v>10.48</v>
      </c>
      <c r="I28" s="155" t="n">
        <v>8.960000000000001</v>
      </c>
      <c r="J28" s="155" t="n">
        <v>8.5</v>
      </c>
      <c r="K28" s="155" t="n">
        <v>9.32</v>
      </c>
      <c r="L28" s="155" t="n">
        <v>8.65</v>
      </c>
      <c r="M28" s="85" t="n">
        <v>9.199999999999999</v>
      </c>
      <c r="N28" s="85" t="n">
        <v>13.6</v>
      </c>
      <c r="O28" s="85" t="n">
        <v>14.6</v>
      </c>
      <c r="P28" s="85" t="n">
        <v>16.8</v>
      </c>
      <c r="Q28" s="85" t="n">
        <v>15.2</v>
      </c>
      <c r="R28" s="85" t="n">
        <v>18.9</v>
      </c>
      <c r="S28" s="85" t="n">
        <v>18</v>
      </c>
      <c r="T28" s="85" t="n">
        <v>13.1</v>
      </c>
      <c r="U28" s="85" t="n">
        <v>10.9</v>
      </c>
      <c r="V28" s="85" t="n">
        <v>8.9</v>
      </c>
    </row>
    <row r="29" ht="13.5" customHeight="1" s="186">
      <c r="B29" s="105" t="inlineStr">
        <is>
          <t>SP</t>
        </is>
      </c>
      <c r="C29" s="156" t="n">
        <v>11.76</v>
      </c>
      <c r="D29" s="156" t="n">
        <v>10.23</v>
      </c>
      <c r="E29" s="156" t="n">
        <v>9.52</v>
      </c>
      <c r="F29" s="156" t="n">
        <v>8.19</v>
      </c>
      <c r="G29" s="156" t="n">
        <v>9.800000000000001</v>
      </c>
      <c r="H29" s="143" t="n">
        <v>8.48</v>
      </c>
      <c r="I29" s="156" t="n">
        <v>7.15</v>
      </c>
      <c r="J29" s="156" t="n">
        <v>6.37</v>
      </c>
      <c r="K29" s="156" t="n">
        <v>6.67</v>
      </c>
      <c r="L29" s="156" t="n">
        <v>7.9</v>
      </c>
      <c r="M29" s="89" t="n">
        <v>9.4</v>
      </c>
      <c r="N29" s="89" t="n">
        <v>12.5</v>
      </c>
      <c r="O29" s="89" t="n">
        <v>13.5</v>
      </c>
      <c r="P29" s="89" t="n">
        <v>13.4</v>
      </c>
      <c r="Q29" s="89" t="n">
        <v>12.6</v>
      </c>
      <c r="R29" s="89" t="n">
        <v>14.1</v>
      </c>
      <c r="S29" s="89" t="n">
        <v>13.5</v>
      </c>
      <c r="T29" s="89" t="n">
        <v>9.1</v>
      </c>
      <c r="U29" s="89" t="n">
        <v>7.6</v>
      </c>
      <c r="V29" s="89" t="n">
        <v>6.5</v>
      </c>
    </row>
    <row r="30" ht="13.5" customHeight="1" s="186">
      <c r="B30" s="97" t="inlineStr">
        <is>
          <t>TO</t>
        </is>
      </c>
      <c r="C30" s="155" t="n">
        <v>7.1</v>
      </c>
      <c r="D30" s="155" t="n">
        <v>6.91</v>
      </c>
      <c r="E30" s="155" t="n">
        <v>6.83</v>
      </c>
      <c r="F30" s="155" t="n">
        <v>6.49</v>
      </c>
      <c r="G30" s="155" t="n">
        <v>7.88</v>
      </c>
      <c r="H30" s="143" t="n">
        <v>7.61</v>
      </c>
      <c r="I30" s="155" t="n">
        <v>7.33</v>
      </c>
      <c r="J30" s="155" t="n">
        <v>6.47</v>
      </c>
      <c r="K30" s="155" t="n">
        <v>7.06</v>
      </c>
      <c r="L30" s="155" t="n">
        <v>6.44</v>
      </c>
      <c r="M30" s="85" t="n">
        <v>8.699999999999999</v>
      </c>
      <c r="N30" s="85" t="n">
        <v>11.5</v>
      </c>
      <c r="O30" s="85" t="n">
        <v>11.7</v>
      </c>
      <c r="P30" s="85" t="n">
        <v>10.7</v>
      </c>
      <c r="Q30" s="85" t="n">
        <v>11</v>
      </c>
      <c r="R30" s="85" t="n">
        <v>12.1</v>
      </c>
      <c r="S30" s="85" t="n">
        <v>13.4</v>
      </c>
      <c r="T30" s="85" t="n">
        <v>6.4</v>
      </c>
      <c r="U30" s="85" t="n">
        <v>6.1</v>
      </c>
      <c r="V30" s="85" t="n">
        <v>5.4</v>
      </c>
    </row>
  </sheetData>
  <mergeCells count="2">
    <mergeCell ref="B1:V1"/>
    <mergeCell ref="B2:V2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44"/>
  <sheetViews>
    <sheetView showGridLines="0" zoomScaleNormal="100" workbookViewId="0">
      <pane xSplit="3" ySplit="3" topLeftCell="D31" activePane="bottomRight" state="frozen"/>
      <selection pane="topRight" activeCell="D1" sqref="D1"/>
      <selection pane="bottomLeft" activeCell="A4" sqref="A4"/>
      <selection pane="bottomRight" activeCell="A1" sqref="A1:O1"/>
    </sheetView>
  </sheetViews>
  <sheetFormatPr baseColWidth="8" defaultColWidth="8.6328125" defaultRowHeight="14.5"/>
  <cols>
    <col width="2" customWidth="1" style="186" min="1" max="1"/>
    <col width="6" customWidth="1" style="186" min="2" max="3"/>
    <col width="10" customWidth="1" style="186" min="4" max="5"/>
    <col width="12" customWidth="1" style="186" min="6" max="6"/>
    <col width="10" customWidth="1" style="186" min="7" max="8"/>
    <col width="13" customWidth="1" style="186" min="9" max="9"/>
    <col width="10" customWidth="1" style="186" min="10" max="10"/>
    <col width="9" customWidth="1" style="186" min="11" max="11"/>
    <col width="7" customWidth="1" style="186" min="12" max="13"/>
    <col width="10" customWidth="1" style="186" min="14" max="14"/>
    <col width="13" customWidth="1" style="186" min="15" max="15"/>
    <col width="18" customWidth="1" style="186" min="16" max="16"/>
    <col width="18" customWidth="1" style="186" min="17" max="17"/>
    <col width="18" customWidth="1" style="186" min="18" max="18"/>
  </cols>
  <sheetData>
    <row r="1" ht="19.5" customHeight="1" s="186">
      <c r="A1" s="196" t="inlineStr">
        <is>
          <t>painel_expandido — 27 UFs × 20 Anos (2005–2024) = 540 obs.</t>
        </is>
      </c>
    </row>
    <row r="2" ht="12.75" customHeight="1" s="186">
      <c r="A2" s="198" t="inlineStr">
        <is>
          <t>Importar: pd.read_excel(..., sheet_name='painel_expandido', header=1).dropna(subset=['uf']).set_index(['uf','ano'])  |  estoque_crs = acumulado de CRs emitidos até o ano t por UF i. int_i = CRs_2022/pop_2022×100mil (fixo por UF).</t>
        </is>
      </c>
    </row>
    <row r="3" ht="36" customHeight="1" s="186">
      <c r="B3" s="92" t="inlineStr">
        <is>
          <t>uf</t>
        </is>
      </c>
      <c r="C3" s="92" t="inlineStr">
        <is>
          <t>ano</t>
        </is>
      </c>
      <c r="D3" s="3" t="inlineStr">
        <is>
          <t>hom100</t>
        </is>
      </c>
      <c r="E3" s="93" t="inlineStr">
        <is>
          <t>crs100</t>
        </is>
      </c>
      <c r="F3" s="55" t="inlineStr">
        <is>
          <t>estoque_crs</t>
        </is>
      </c>
      <c r="G3" s="3" t="inlineStr">
        <is>
          <t>ln_hom</t>
        </is>
      </c>
      <c r="H3" s="93" t="inlineStr">
        <is>
          <t>ln_crs</t>
        </is>
      </c>
      <c r="I3" s="94" t="inlineStr">
        <is>
          <t>pibpc</t>
        </is>
      </c>
      <c r="J3" s="94" t="inlineStr">
        <is>
          <t>ln_pibpc</t>
        </is>
      </c>
      <c r="K3" s="95" t="inlineStr">
        <is>
          <t>desemp</t>
        </is>
      </c>
      <c r="L3" s="96" t="inlineStr">
        <is>
          <t>post</t>
        </is>
      </c>
      <c r="M3" s="95" t="inlineStr">
        <is>
          <t>d_pan</t>
        </is>
      </c>
      <c r="N3" s="55" t="inlineStr">
        <is>
          <t>int_i</t>
        </is>
      </c>
      <c r="O3" s="94" t="inlineStr">
        <is>
          <t>pop</t>
        </is>
      </c>
      <c r="P3" s="201" t="inlineStr">
        <is>
          <t>hom_gun_abs</t>
        </is>
      </c>
      <c r="Q3" s="201" t="inlineStr">
        <is>
          <t>hom_extXX_abs</t>
        </is>
      </c>
      <c r="R3" s="201" t="inlineStr">
        <is>
          <t>hom_nongun_abs</t>
        </is>
      </c>
    </row>
    <row r="4" ht="12.75" customHeight="1" s="186">
      <c r="B4" s="157" t="inlineStr">
        <is>
          <t>AC</t>
        </is>
      </c>
      <c r="C4" s="158" t="n">
        <v>2005</v>
      </c>
      <c r="D4" s="159" t="n">
        <v>5.38</v>
      </c>
      <c r="E4" s="159" t="n">
        <v>0</v>
      </c>
      <c r="F4" s="160" t="n">
        <v>0</v>
      </c>
      <c r="G4" s="161" t="n">
        <v>3.5835</v>
      </c>
      <c r="H4" s="161" t="n"/>
      <c r="I4" s="160" t="n">
        <v>6694</v>
      </c>
      <c r="J4" s="161" t="n">
        <v>8.808999999999999</v>
      </c>
      <c r="K4" s="162" t="n">
        <v>11.33</v>
      </c>
      <c r="L4" s="163" t="n">
        <v>0</v>
      </c>
      <c r="M4" s="163" t="n">
        <v>0</v>
      </c>
      <c r="N4" s="161" t="n">
        <v>72.89</v>
      </c>
      <c r="O4" s="160" t="n">
        <v>669736</v>
      </c>
      <c r="P4" s="202" t="n">
        <v>36</v>
      </c>
      <c r="Q4" s="202" t="n">
        <v>309</v>
      </c>
      <c r="R4" s="202" t="n">
        <v>273</v>
      </c>
    </row>
    <row r="5" ht="12.75" customHeight="1" s="186">
      <c r="B5" s="164" t="inlineStr">
        <is>
          <t>AC</t>
        </is>
      </c>
      <c r="C5" s="165" t="n">
        <v>2006</v>
      </c>
      <c r="D5" s="166" t="n">
        <v>6.7</v>
      </c>
      <c r="E5" s="166" t="n">
        <v>0.15</v>
      </c>
      <c r="F5" s="167" t="n">
        <v>1</v>
      </c>
      <c r="G5" s="168" t="n">
        <v>3.8286</v>
      </c>
      <c r="H5" s="168" t="n">
        <v>0</v>
      </c>
      <c r="I5" s="167" t="n">
        <v>7041</v>
      </c>
      <c r="J5" s="168" t="n">
        <v>8.859500000000001</v>
      </c>
      <c r="K5" s="169" t="n">
        <v>8.58</v>
      </c>
      <c r="L5" s="170" t="n">
        <v>0</v>
      </c>
      <c r="M5" s="170" t="n">
        <v>0</v>
      </c>
      <c r="N5" s="168" t="n">
        <v>72.89</v>
      </c>
      <c r="O5" s="167" t="n">
        <v>686652</v>
      </c>
      <c r="P5" s="202" t="n">
        <v>50</v>
      </c>
      <c r="Q5" s="202" t="n">
        <v>341</v>
      </c>
      <c r="R5" s="202" t="n">
        <v>291</v>
      </c>
    </row>
    <row r="6" ht="12.75" customHeight="1" s="186">
      <c r="B6" s="157" t="inlineStr">
        <is>
          <t>AC</t>
        </is>
      </c>
      <c r="C6" s="158" t="n">
        <v>2007</v>
      </c>
      <c r="D6" s="159" t="n">
        <v>7.48</v>
      </c>
      <c r="E6" s="159" t="n">
        <v>0</v>
      </c>
      <c r="F6" s="160" t="n">
        <v>1</v>
      </c>
      <c r="G6" s="161" t="n">
        <v>3.8918</v>
      </c>
      <c r="H6" s="161" t="n"/>
      <c r="I6" s="160" t="n">
        <v>8790</v>
      </c>
      <c r="J6" s="161" t="n">
        <v>9.0814</v>
      </c>
      <c r="K6" s="162" t="n">
        <v>5.79</v>
      </c>
      <c r="L6" s="163" t="n">
        <v>0</v>
      </c>
      <c r="M6" s="163" t="n">
        <v>0</v>
      </c>
      <c r="N6" s="161" t="n">
        <v>72.89</v>
      </c>
      <c r="O6" s="160" t="n">
        <v>655385</v>
      </c>
      <c r="P6" s="202" t="n">
        <v>51</v>
      </c>
      <c r="Q6" s="202" t="n">
        <v>327</v>
      </c>
      <c r="R6" s="202" t="n">
        <v>276</v>
      </c>
    </row>
    <row r="7" ht="12.75" customHeight="1" s="186">
      <c r="B7" s="164" t="inlineStr">
        <is>
          <t>AC</t>
        </is>
      </c>
      <c r="C7" s="165" t="n">
        <v>2008</v>
      </c>
      <c r="D7" s="166" t="n">
        <v>5.73</v>
      </c>
      <c r="E7" s="166" t="n">
        <v>0</v>
      </c>
      <c r="F7" s="167" t="n">
        <v>1</v>
      </c>
      <c r="G7" s="168" t="n">
        <v>3.6636</v>
      </c>
      <c r="H7" s="168" t="n"/>
      <c r="I7" s="167" t="n">
        <v>9896</v>
      </c>
      <c r="J7" s="168" t="n">
        <v>9.1999</v>
      </c>
      <c r="K7" s="169" t="n">
        <v>7.74</v>
      </c>
      <c r="L7" s="170" t="n">
        <v>0</v>
      </c>
      <c r="M7" s="170" t="n">
        <v>0</v>
      </c>
      <c r="N7" s="168" t="n">
        <v>72.89</v>
      </c>
      <c r="O7" s="167" t="n">
        <v>680075</v>
      </c>
      <c r="P7" s="202" t="n">
        <v>40</v>
      </c>
      <c r="Q7" s="202" t="n">
        <v>334</v>
      </c>
      <c r="R7" s="202" t="n">
        <v>294</v>
      </c>
    </row>
    <row r="8" ht="12.75" customHeight="1" s="186">
      <c r="B8" s="157" t="inlineStr">
        <is>
          <t>AC</t>
        </is>
      </c>
      <c r="C8" s="158" t="n">
        <v>2009</v>
      </c>
      <c r="D8" s="159" t="n">
        <v>8.68</v>
      </c>
      <c r="E8" s="159" t="n">
        <v>0</v>
      </c>
      <c r="F8" s="160" t="n">
        <v>1</v>
      </c>
      <c r="G8" s="161" t="n">
        <v>4.0943</v>
      </c>
      <c r="H8" s="161" t="n"/>
      <c r="I8" s="160" t="n">
        <v>10687</v>
      </c>
      <c r="J8" s="161" t="n">
        <v>9.2768</v>
      </c>
      <c r="K8" s="162" t="n">
        <v>7.56</v>
      </c>
      <c r="L8" s="163" t="n">
        <v>0</v>
      </c>
      <c r="M8" s="163" t="n">
        <v>0</v>
      </c>
      <c r="N8" s="161" t="n">
        <v>72.89</v>
      </c>
      <c r="O8" s="160" t="n">
        <v>691132</v>
      </c>
      <c r="P8" s="202" t="n">
        <v>60</v>
      </c>
      <c r="Q8" s="202" t="n">
        <v>356</v>
      </c>
      <c r="R8" s="202" t="n">
        <v>296</v>
      </c>
    </row>
    <row r="9" ht="12.75" customHeight="1" s="186">
      <c r="B9" s="164" t="inlineStr">
        <is>
          <t>AC</t>
        </is>
      </c>
      <c r="C9" s="165" t="n">
        <v>2010</v>
      </c>
      <c r="D9" s="166" t="n">
        <v>8.449999999999999</v>
      </c>
      <c r="E9" s="166" t="n">
        <v>0</v>
      </c>
      <c r="F9" s="167" t="n">
        <v>1</v>
      </c>
      <c r="G9" s="168" t="n">
        <v>4.1271</v>
      </c>
      <c r="H9" s="168" t="n"/>
      <c r="I9" s="167" t="n">
        <v>11372</v>
      </c>
      <c r="J9" s="168" t="n">
        <v>9.338900000000001</v>
      </c>
      <c r="K9" s="169" t="n">
        <v>6.46</v>
      </c>
      <c r="L9" s="170" t="n">
        <v>0</v>
      </c>
      <c r="M9" s="170" t="n">
        <v>0</v>
      </c>
      <c r="N9" s="168" t="n">
        <v>72.89</v>
      </c>
      <c r="O9" s="167" t="n">
        <v>733559</v>
      </c>
      <c r="P9" s="202" t="n">
        <v>63</v>
      </c>
      <c r="Q9" s="202" t="n">
        <v>403</v>
      </c>
      <c r="R9" s="202" t="n">
        <v>340</v>
      </c>
    </row>
    <row r="10" ht="12.75" customHeight="1" s="186">
      <c r="B10" s="157" t="inlineStr">
        <is>
          <t>AC</t>
        </is>
      </c>
      <c r="C10" s="158" t="n">
        <v>2011</v>
      </c>
      <c r="D10" s="159" t="n">
        <v>6.7</v>
      </c>
      <c r="E10" s="159" t="n">
        <v>0</v>
      </c>
      <c r="F10" s="160" t="n">
        <v>1</v>
      </c>
      <c r="G10" s="161" t="n">
        <v>3.912</v>
      </c>
      <c r="H10" s="161" t="n"/>
      <c r="I10" s="160" t="n">
        <v>11990</v>
      </c>
      <c r="J10" s="161" t="n">
        <v>9.3918</v>
      </c>
      <c r="K10" s="162" t="n">
        <v>5.36</v>
      </c>
      <c r="L10" s="163" t="n">
        <v>0</v>
      </c>
      <c r="M10" s="163" t="n">
        <v>0</v>
      </c>
      <c r="N10" s="161" t="n">
        <v>72.89</v>
      </c>
      <c r="O10" s="160" t="n">
        <v>746386</v>
      </c>
      <c r="P10" s="202" t="n">
        <v>48</v>
      </c>
      <c r="Q10" s="202" t="n">
        <v>437</v>
      </c>
      <c r="R10" s="202" t="n">
        <v>389</v>
      </c>
    </row>
    <row r="11" ht="12.75" customHeight="1" s="186">
      <c r="B11" s="164" t="inlineStr">
        <is>
          <t>AC</t>
        </is>
      </c>
      <c r="C11" s="165" t="n">
        <v>2012</v>
      </c>
      <c r="D11" s="166" t="n">
        <v>11.2</v>
      </c>
      <c r="E11" s="166" t="n">
        <v>0</v>
      </c>
      <c r="F11" s="167" t="n">
        <v>1</v>
      </c>
      <c r="G11" s="168" t="n">
        <v>4.4427</v>
      </c>
      <c r="H11" s="168" t="n"/>
      <c r="I11" s="167" t="n">
        <v>13361</v>
      </c>
      <c r="J11" s="168" t="n">
        <v>9.5001</v>
      </c>
      <c r="K11" s="169" t="n">
        <v>8</v>
      </c>
      <c r="L11" s="170" t="n">
        <v>0</v>
      </c>
      <c r="M11" s="170" t="n">
        <v>0</v>
      </c>
      <c r="N11" s="168" t="n">
        <v>72.89</v>
      </c>
      <c r="O11" s="167" t="n">
        <v>758786</v>
      </c>
      <c r="P11" s="202" t="n">
        <v>85</v>
      </c>
      <c r="Q11" s="202" t="n">
        <v>473</v>
      </c>
      <c r="R11" s="202" t="n">
        <v>388</v>
      </c>
    </row>
    <row r="12" ht="12.75" customHeight="1" s="186">
      <c r="B12" s="157" t="inlineStr">
        <is>
          <t>AC</t>
        </is>
      </c>
      <c r="C12" s="158" t="n">
        <v>2013</v>
      </c>
      <c r="D12" s="159" t="n">
        <v>12.49</v>
      </c>
      <c r="E12" s="159" t="n">
        <v>0.26</v>
      </c>
      <c r="F12" s="160" t="n">
        <v>3</v>
      </c>
      <c r="G12" s="161" t="n">
        <v>4.5747</v>
      </c>
      <c r="H12" s="161" t="n">
        <v>0.6931</v>
      </c>
      <c r="I12" s="160" t="n">
        <v>14777</v>
      </c>
      <c r="J12" s="161" t="n">
        <v>9.6008</v>
      </c>
      <c r="K12" s="162" t="n">
        <v>9.56</v>
      </c>
      <c r="L12" s="163" t="n">
        <v>0</v>
      </c>
      <c r="M12" s="163" t="n">
        <v>0</v>
      </c>
      <c r="N12" s="161" t="n">
        <v>72.89</v>
      </c>
      <c r="O12" s="160" t="n">
        <v>776463</v>
      </c>
      <c r="P12" s="202" t="n">
        <v>94</v>
      </c>
      <c r="Q12" s="202" t="n">
        <v>485</v>
      </c>
      <c r="R12" s="202" t="n">
        <v>391</v>
      </c>
    </row>
    <row r="13" ht="12.75" customHeight="1" s="186">
      <c r="B13" s="164" t="inlineStr">
        <is>
          <t>AC</t>
        </is>
      </c>
      <c r="C13" s="165" t="n">
        <v>2014</v>
      </c>
      <c r="D13" s="166" t="n">
        <v>14.68</v>
      </c>
      <c r="E13" s="166" t="n">
        <v>0</v>
      </c>
      <c r="F13" s="167" t="n">
        <v>3</v>
      </c>
      <c r="G13" s="168" t="n">
        <v>4.7536</v>
      </c>
      <c r="H13" s="168" t="n"/>
      <c r="I13" s="167" t="n">
        <v>17034</v>
      </c>
      <c r="J13" s="168" t="n">
        <v>9.743</v>
      </c>
      <c r="K13" s="169" t="n">
        <v>9.81</v>
      </c>
      <c r="L13" s="170" t="n">
        <v>0</v>
      </c>
      <c r="M13" s="170" t="n">
        <v>0</v>
      </c>
      <c r="N13" s="168" t="n">
        <v>72.89</v>
      </c>
      <c r="O13" s="167" t="n">
        <v>790101</v>
      </c>
      <c r="P13" s="202" t="n">
        <v>113</v>
      </c>
      <c r="Q13" s="202" t="n">
        <v>499</v>
      </c>
      <c r="R13" s="202" t="n">
        <v>386</v>
      </c>
    </row>
    <row r="14" ht="12.75" customHeight="1" s="186">
      <c r="B14" s="157" t="inlineStr">
        <is>
          <t>AC</t>
        </is>
      </c>
      <c r="C14" s="158" t="n">
        <v>2015</v>
      </c>
      <c r="D14" s="159" t="n">
        <v>14.44</v>
      </c>
      <c r="E14" s="159" t="n">
        <v>0</v>
      </c>
      <c r="F14" s="160" t="n">
        <v>3</v>
      </c>
      <c r="G14" s="161" t="n">
        <v>4.7536</v>
      </c>
      <c r="H14" s="161" t="n"/>
      <c r="I14" s="160" t="n">
        <v>16954</v>
      </c>
      <c r="J14" s="161" t="n">
        <v>9.738300000000001</v>
      </c>
      <c r="K14" s="162" t="n">
        <v>8.6</v>
      </c>
      <c r="L14" s="163" t="n">
        <v>0</v>
      </c>
      <c r="M14" s="163" t="n">
        <v>0</v>
      </c>
      <c r="N14" s="161" t="n">
        <v>72.89</v>
      </c>
      <c r="O14" s="160" t="n">
        <v>803513</v>
      </c>
      <c r="P14" s="202" t="n">
        <v>116</v>
      </c>
      <c r="Q14" s="202" t="n">
        <v>465</v>
      </c>
      <c r="R14" s="202" t="n">
        <v>349</v>
      </c>
    </row>
    <row r="15" ht="12.75" customHeight="1" s="186">
      <c r="B15" s="171" t="inlineStr">
        <is>
          <t>AC</t>
        </is>
      </c>
      <c r="C15" s="172" t="n">
        <v>2016</v>
      </c>
      <c r="D15" s="173" t="n">
        <v>27.55</v>
      </c>
      <c r="E15" s="173" t="n">
        <v>1.22</v>
      </c>
      <c r="F15" s="174" t="n">
        <v>13</v>
      </c>
      <c r="G15" s="175" t="n">
        <v>5.4161</v>
      </c>
      <c r="H15" s="175" t="n">
        <v>2.3026</v>
      </c>
      <c r="I15" s="174" t="n">
        <v>16842</v>
      </c>
      <c r="J15" s="175" t="n">
        <v>9.7316</v>
      </c>
      <c r="K15" s="176" t="n">
        <v>10.9</v>
      </c>
      <c r="L15" s="177" t="n">
        <v>0</v>
      </c>
      <c r="M15" s="177" t="n">
        <v>0</v>
      </c>
      <c r="N15" s="175" t="n">
        <v>72.89</v>
      </c>
      <c r="O15" s="174" t="n">
        <v>816687</v>
      </c>
      <c r="P15" s="202" t="n">
        <v>221</v>
      </c>
      <c r="Q15" s="202" t="n">
        <v>605</v>
      </c>
      <c r="R15" s="202" t="n">
        <v>384</v>
      </c>
    </row>
    <row r="16" ht="12.75" customHeight="1" s="186">
      <c r="B16" s="178" t="inlineStr">
        <is>
          <t>AC</t>
        </is>
      </c>
      <c r="C16" s="179" t="n">
        <v>2017</v>
      </c>
      <c r="D16" s="180" t="n">
        <v>45.92</v>
      </c>
      <c r="E16" s="180" t="n">
        <v>2.77</v>
      </c>
      <c r="F16" s="181" t="n">
        <v>36</v>
      </c>
      <c r="G16" s="182" t="n">
        <v>5.9428</v>
      </c>
      <c r="H16" s="182" t="n">
        <v>3.1355</v>
      </c>
      <c r="I16" s="181" t="n">
        <v>17204</v>
      </c>
      <c r="J16" s="182" t="n">
        <v>9.7529</v>
      </c>
      <c r="K16" s="183" t="n">
        <v>14.2</v>
      </c>
      <c r="L16" s="184" t="n">
        <v>0</v>
      </c>
      <c r="M16" s="184" t="n">
        <v>0</v>
      </c>
      <c r="N16" s="182" t="n">
        <v>72.89</v>
      </c>
      <c r="O16" s="181" t="n">
        <v>829619</v>
      </c>
      <c r="P16" s="202" t="n">
        <v>379</v>
      </c>
      <c r="Q16" s="202" t="n">
        <v>762</v>
      </c>
      <c r="R16" s="202" t="n">
        <v>383</v>
      </c>
    </row>
    <row r="17" ht="12.75" customHeight="1" s="186">
      <c r="B17" s="171" t="inlineStr">
        <is>
          <t>AC</t>
        </is>
      </c>
      <c r="C17" s="172" t="n">
        <v>2018</v>
      </c>
      <c r="D17" s="173" t="n">
        <v>35.55</v>
      </c>
      <c r="E17" s="173" t="n">
        <v>7.59</v>
      </c>
      <c r="F17" s="174" t="n">
        <v>102</v>
      </c>
      <c r="G17" s="175" t="n">
        <v>5.7333</v>
      </c>
      <c r="H17" s="175" t="n">
        <v>4.1897</v>
      </c>
      <c r="I17" s="174" t="n">
        <v>17637</v>
      </c>
      <c r="J17" s="175" t="n">
        <v>9.777799999999999</v>
      </c>
      <c r="K17" s="176" t="n">
        <v>13.7</v>
      </c>
      <c r="L17" s="177" t="n">
        <v>0</v>
      </c>
      <c r="M17" s="177" t="n">
        <v>0</v>
      </c>
      <c r="N17" s="175" t="n">
        <v>72.89</v>
      </c>
      <c r="O17" s="174" t="n">
        <v>869265</v>
      </c>
      <c r="P17" s="202" t="n">
        <v>310</v>
      </c>
      <c r="Q17" s="202" t="n">
        <v>649</v>
      </c>
      <c r="R17" s="202" t="n">
        <v>339</v>
      </c>
    </row>
    <row r="18" ht="12.75" customHeight="1" s="186">
      <c r="B18" s="178" t="inlineStr">
        <is>
          <t>AC</t>
        </is>
      </c>
      <c r="C18" s="179" t="n">
        <v>2019</v>
      </c>
      <c r="D18" s="180" t="n">
        <v>24.95</v>
      </c>
      <c r="E18" s="180" t="n">
        <v>18.03</v>
      </c>
      <c r="F18" s="181" t="n">
        <v>261</v>
      </c>
      <c r="G18" s="182" t="n">
        <v>5.3936</v>
      </c>
      <c r="H18" s="182" t="n">
        <v>5.0689</v>
      </c>
      <c r="I18" s="181" t="n">
        <v>17722</v>
      </c>
      <c r="J18" s="182" t="n">
        <v>9.7826</v>
      </c>
      <c r="K18" s="183" t="n">
        <v>14.7</v>
      </c>
      <c r="L18" s="184" t="n">
        <v>0</v>
      </c>
      <c r="M18" s="184" t="n">
        <v>0</v>
      </c>
      <c r="N18" s="182" t="n">
        <v>72.89</v>
      </c>
      <c r="O18" s="181" t="n">
        <v>881935</v>
      </c>
      <c r="P18" s="202" t="n">
        <v>219</v>
      </c>
      <c r="Q18" s="202" t="n">
        <v>582</v>
      </c>
      <c r="R18" s="202" t="n">
        <v>363</v>
      </c>
    </row>
    <row r="19" ht="12.75" customHeight="1" s="186">
      <c r="B19" s="171" t="inlineStr">
        <is>
          <t>AC</t>
        </is>
      </c>
      <c r="C19" s="172" t="n">
        <v>2020</v>
      </c>
      <c r="D19" s="173" t="n">
        <v>25.15</v>
      </c>
      <c r="E19" s="173" t="n">
        <v>37.68</v>
      </c>
      <c r="F19" s="174" t="n">
        <v>598</v>
      </c>
      <c r="G19" s="175" t="n">
        <v>5.4161</v>
      </c>
      <c r="H19" s="175" t="n">
        <v>5.8201</v>
      </c>
      <c r="I19" s="174" t="n">
        <v>18420</v>
      </c>
      <c r="J19" s="175" t="n">
        <v>9.821199999999999</v>
      </c>
      <c r="K19" s="176" t="n">
        <v>15.2</v>
      </c>
      <c r="L19" s="177" t="n">
        <v>0</v>
      </c>
      <c r="M19" s="177" t="n">
        <v>1</v>
      </c>
      <c r="N19" s="175" t="n">
        <v>72.89</v>
      </c>
      <c r="O19" s="174" t="n">
        <v>894470</v>
      </c>
      <c r="P19" s="202" t="n">
        <v>222</v>
      </c>
      <c r="Q19" s="202" t="n">
        <v>558</v>
      </c>
      <c r="R19" s="202" t="n">
        <v>336</v>
      </c>
    </row>
    <row r="20" ht="12.75" customHeight="1" s="186">
      <c r="B20" s="178" t="inlineStr">
        <is>
          <t>AC</t>
        </is>
      </c>
      <c r="C20" s="179" t="n">
        <v>2021</v>
      </c>
      <c r="D20" s="180" t="n">
        <v>13.01</v>
      </c>
      <c r="E20" s="180" t="n">
        <v>59.99</v>
      </c>
      <c r="F20" s="181" t="n">
        <v>1142</v>
      </c>
      <c r="G20" s="182" t="n">
        <v>4.7707</v>
      </c>
      <c r="H20" s="182" t="n">
        <v>6.2989</v>
      </c>
      <c r="I20" s="181" t="n">
        <v>23569</v>
      </c>
      <c r="J20" s="182" t="n">
        <v>10.0677</v>
      </c>
      <c r="K20" s="183" t="n">
        <v>15.3</v>
      </c>
      <c r="L20" s="184" t="n">
        <v>0</v>
      </c>
      <c r="M20" s="184" t="n">
        <v>1</v>
      </c>
      <c r="N20" s="182" t="n">
        <v>72.89</v>
      </c>
      <c r="O20" s="181" t="n">
        <v>906876</v>
      </c>
      <c r="P20" s="202" t="n">
        <v>118</v>
      </c>
      <c r="Q20" s="202" t="n">
        <v>429</v>
      </c>
      <c r="R20" s="202" t="n">
        <v>311</v>
      </c>
    </row>
    <row r="21" ht="12.75" customHeight="1" s="186">
      <c r="B21" s="171" t="inlineStr">
        <is>
          <t>AC</t>
        </is>
      </c>
      <c r="C21" s="172" t="n">
        <v>2022</v>
      </c>
      <c r="D21" s="173" t="n">
        <v>17.23</v>
      </c>
      <c r="E21" s="173" t="n">
        <v>72.89</v>
      </c>
      <c r="F21" s="174" t="n">
        <v>1747</v>
      </c>
      <c r="G21" s="175" t="n">
        <v>4.9628</v>
      </c>
      <c r="H21" s="175" t="n">
        <v>6.4052</v>
      </c>
      <c r="I21" s="174" t="n">
        <v>28525</v>
      </c>
      <c r="J21" s="175" t="n">
        <v>10.2585</v>
      </c>
      <c r="K21" s="176" t="n">
        <v>11.6</v>
      </c>
      <c r="L21" s="177" t="n">
        <v>0</v>
      </c>
      <c r="M21" s="177" t="n">
        <v>0</v>
      </c>
      <c r="N21" s="175" t="n">
        <v>72.89</v>
      </c>
      <c r="O21" s="174" t="n">
        <v>830018</v>
      </c>
      <c r="P21" s="202" t="n">
        <v>137</v>
      </c>
      <c r="Q21" s="202" t="n">
        <v>487</v>
      </c>
      <c r="R21" s="202" t="n">
        <v>350</v>
      </c>
    </row>
    <row r="22" ht="12.75" customHeight="1" s="186">
      <c r="B22" s="178" t="inlineStr">
        <is>
          <t>AC</t>
        </is>
      </c>
      <c r="C22" s="179" t="n">
        <v>2023</v>
      </c>
      <c r="D22" s="180" t="n">
        <v>15.66</v>
      </c>
      <c r="E22" s="180" t="n">
        <v>0.12</v>
      </c>
      <c r="F22" s="181" t="n">
        <v>1748</v>
      </c>
      <c r="G22" s="182" t="n">
        <v>4.8675</v>
      </c>
      <c r="H22" s="182" t="n">
        <v>0</v>
      </c>
      <c r="I22" s="181" t="n">
        <v>31676</v>
      </c>
      <c r="J22" s="182" t="n">
        <v>10.3633</v>
      </c>
      <c r="K22" s="183" t="n">
        <v>7.9</v>
      </c>
      <c r="L22" s="184" t="n">
        <v>1</v>
      </c>
      <c r="M22" s="184" t="n">
        <v>0</v>
      </c>
      <c r="N22" s="182" t="n">
        <v>72.89</v>
      </c>
      <c r="O22" s="181" t="n">
        <v>830018</v>
      </c>
      <c r="P22" s="202" t="n">
        <v>132</v>
      </c>
      <c r="Q22" s="202" t="n">
        <v>507</v>
      </c>
      <c r="R22" s="202" t="n">
        <v>375</v>
      </c>
    </row>
    <row r="23" ht="12.75" customHeight="1" s="186">
      <c r="B23" s="171" t="inlineStr">
        <is>
          <t>AC</t>
        </is>
      </c>
      <c r="C23" s="172" t="n">
        <v>2024</v>
      </c>
      <c r="D23" s="173" t="n">
        <v>11.13</v>
      </c>
      <c r="E23" s="173" t="n">
        <v>4.43</v>
      </c>
      <c r="F23" s="174" t="n">
        <v>1787</v>
      </c>
      <c r="G23" s="175" t="n">
        <v>4.585</v>
      </c>
      <c r="H23" s="175" t="n">
        <v>3.6636</v>
      </c>
      <c r="I23" s="174" t="n">
        <v>32220</v>
      </c>
      <c r="J23" s="175" t="n">
        <v>10.3803</v>
      </c>
      <c r="K23" s="176" t="n">
        <v>7.9</v>
      </c>
      <c r="L23" s="177" t="n">
        <v>1</v>
      </c>
      <c r="M23" s="177" t="n">
        <v>0</v>
      </c>
      <c r="N23" s="175" t="n">
        <v>72.89</v>
      </c>
      <c r="O23" s="174" t="n">
        <v>880631</v>
      </c>
      <c r="P23" s="202" t="n">
        <v>102</v>
      </c>
      <c r="Q23" s="202" t="n">
        <v>519</v>
      </c>
      <c r="R23" s="202" t="n">
        <v>417</v>
      </c>
    </row>
    <row r="24" ht="12.75" customHeight="1" s="186">
      <c r="B24" s="157" t="inlineStr">
        <is>
          <t>AL</t>
        </is>
      </c>
      <c r="C24" s="158" t="n">
        <v>2005</v>
      </c>
      <c r="D24" s="159" t="n">
        <v>30.31</v>
      </c>
      <c r="E24" s="159" t="n">
        <v>0.07000000000000001</v>
      </c>
      <c r="F24" s="160" t="n">
        <v>2</v>
      </c>
      <c r="G24" s="161" t="n">
        <v>6.8178</v>
      </c>
      <c r="H24" s="161" t="n">
        <v>0.6931</v>
      </c>
      <c r="I24" s="160" t="n">
        <v>4688</v>
      </c>
      <c r="J24" s="161" t="n">
        <v>8.4528</v>
      </c>
      <c r="K24" s="162" t="n">
        <v>9.779999999999999</v>
      </c>
      <c r="L24" s="163" t="n">
        <v>0</v>
      </c>
      <c r="M24" s="163" t="n">
        <v>0</v>
      </c>
      <c r="N24" s="161" t="n">
        <v>111.5203</v>
      </c>
      <c r="O24" s="160" t="n">
        <v>3015912</v>
      </c>
      <c r="P24" s="202" t="n">
        <v>899</v>
      </c>
      <c r="Q24" s="202" t="n">
        <v>2072</v>
      </c>
      <c r="R24" s="202" t="n">
        <v>1173</v>
      </c>
    </row>
    <row r="25" ht="12.75" customHeight="1" s="186">
      <c r="B25" s="164" t="inlineStr">
        <is>
          <t>AL</t>
        </is>
      </c>
      <c r="C25" s="165" t="n">
        <v>2006</v>
      </c>
      <c r="D25" s="166" t="n">
        <v>42.74</v>
      </c>
      <c r="E25" s="166" t="n">
        <v>0</v>
      </c>
      <c r="F25" s="167" t="n">
        <v>2</v>
      </c>
      <c r="G25" s="168" t="n">
        <v>7.1732</v>
      </c>
      <c r="H25" s="168" t="n"/>
      <c r="I25" s="167" t="n">
        <v>5162</v>
      </c>
      <c r="J25" s="168" t="n">
        <v>8.549099999999999</v>
      </c>
      <c r="K25" s="169" t="n">
        <v>10.64</v>
      </c>
      <c r="L25" s="170" t="n">
        <v>0</v>
      </c>
      <c r="M25" s="170" t="n">
        <v>0</v>
      </c>
      <c r="N25" s="168" t="n">
        <v>111.5203</v>
      </c>
      <c r="O25" s="167" t="n">
        <v>3050652</v>
      </c>
      <c r="P25" s="202" t="n">
        <v>1300</v>
      </c>
      <c r="Q25" s="202" t="n">
        <v>2569</v>
      </c>
      <c r="R25" s="202" t="n">
        <v>1269</v>
      </c>
    </row>
    <row r="26" ht="12.75" customHeight="1" s="186">
      <c r="B26" s="157" t="inlineStr">
        <is>
          <t>AL</t>
        </is>
      </c>
      <c r="C26" s="158" t="n">
        <v>2007</v>
      </c>
      <c r="D26" s="159" t="n">
        <v>51.2</v>
      </c>
      <c r="E26" s="159" t="n">
        <v>0</v>
      </c>
      <c r="F26" s="160" t="n">
        <v>2</v>
      </c>
      <c r="G26" s="161" t="n">
        <v>7.3492</v>
      </c>
      <c r="H26" s="161" t="n"/>
      <c r="I26" s="160" t="n">
        <v>5858</v>
      </c>
      <c r="J26" s="161" t="n">
        <v>8.675599999999999</v>
      </c>
      <c r="K26" s="162" t="n">
        <v>8.359999999999999</v>
      </c>
      <c r="L26" s="163" t="n">
        <v>0</v>
      </c>
      <c r="M26" s="163" t="n">
        <v>0</v>
      </c>
      <c r="N26" s="161" t="n">
        <v>111.5203</v>
      </c>
      <c r="O26" s="160" t="n">
        <v>3037231</v>
      </c>
      <c r="P26" s="202" t="n">
        <v>1538</v>
      </c>
      <c r="Q26" s="202" t="n">
        <v>2851</v>
      </c>
      <c r="R26" s="202" t="n">
        <v>1313</v>
      </c>
    </row>
    <row r="27" ht="12.75" customHeight="1" s="186">
      <c r="B27" s="164" t="inlineStr">
        <is>
          <t>AL</t>
        </is>
      </c>
      <c r="C27" s="165" t="n">
        <v>2008</v>
      </c>
      <c r="D27" s="166" t="n">
        <v>51.16</v>
      </c>
      <c r="E27" s="166" t="n">
        <v>0.06</v>
      </c>
      <c r="F27" s="167" t="n">
        <v>4</v>
      </c>
      <c r="G27" s="168" t="n">
        <v>7.3778</v>
      </c>
      <c r="H27" s="168" t="n">
        <v>0.6931</v>
      </c>
      <c r="I27" s="167" t="n">
        <v>6228</v>
      </c>
      <c r="J27" s="168" t="n">
        <v>8.736800000000001</v>
      </c>
      <c r="K27" s="169" t="n">
        <v>8.01</v>
      </c>
      <c r="L27" s="170" t="n">
        <v>0</v>
      </c>
      <c r="M27" s="170" t="n">
        <v>0</v>
      </c>
      <c r="N27" s="168" t="n">
        <v>111.5203</v>
      </c>
      <c r="O27" s="167" t="n">
        <v>3127560</v>
      </c>
      <c r="P27" s="202" t="n">
        <v>1581</v>
      </c>
      <c r="Q27" s="202" t="n">
        <v>2817</v>
      </c>
      <c r="R27" s="202" t="n">
        <v>1236</v>
      </c>
    </row>
    <row r="28" ht="12.75" customHeight="1" s="186">
      <c r="B28" s="157" t="inlineStr">
        <is>
          <t>AL</t>
        </is>
      </c>
      <c r="C28" s="158" t="n">
        <v>2009</v>
      </c>
      <c r="D28" s="159" t="n">
        <v>49.71</v>
      </c>
      <c r="E28" s="159" t="n">
        <v>0.1</v>
      </c>
      <c r="F28" s="160" t="n">
        <v>7</v>
      </c>
      <c r="G28" s="161" t="n">
        <v>7.3582</v>
      </c>
      <c r="H28" s="161" t="n">
        <v>1.0986</v>
      </c>
      <c r="I28" s="160" t="n">
        <v>6728</v>
      </c>
      <c r="J28" s="161" t="n">
        <v>8.814</v>
      </c>
      <c r="K28" s="162" t="n">
        <v>12.13</v>
      </c>
      <c r="L28" s="163" t="n">
        <v>0</v>
      </c>
      <c r="M28" s="163" t="n">
        <v>0</v>
      </c>
      <c r="N28" s="161" t="n">
        <v>111.5203</v>
      </c>
      <c r="O28" s="160" t="n">
        <v>3156108</v>
      </c>
      <c r="P28" s="202" t="n">
        <v>1552</v>
      </c>
      <c r="Q28" s="202" t="n">
        <v>2922</v>
      </c>
      <c r="R28" s="202" t="n">
        <v>1370</v>
      </c>
    </row>
    <row r="29" ht="12.75" customHeight="1" s="186">
      <c r="B29" s="164" t="inlineStr">
        <is>
          <t>AL</t>
        </is>
      </c>
      <c r="C29" s="165" t="n">
        <v>2010</v>
      </c>
      <c r="D29" s="166" t="n">
        <v>55.15</v>
      </c>
      <c r="E29" s="166" t="n">
        <v>0.26</v>
      </c>
      <c r="F29" s="167" t="n">
        <v>15</v>
      </c>
      <c r="G29" s="168" t="n">
        <v>7.4507</v>
      </c>
      <c r="H29" s="168" t="n">
        <v>2.0794</v>
      </c>
      <c r="I29" s="167" t="n">
        <v>8695</v>
      </c>
      <c r="J29" s="168" t="n">
        <v>9.070499999999999</v>
      </c>
      <c r="K29" s="169" t="n">
        <v>11.27</v>
      </c>
      <c r="L29" s="170" t="n">
        <v>0</v>
      </c>
      <c r="M29" s="170" t="n">
        <v>0</v>
      </c>
      <c r="N29" s="168" t="n">
        <v>111.5203</v>
      </c>
      <c r="O29" s="167" t="n">
        <v>3120494</v>
      </c>
      <c r="P29" s="202" t="n">
        <v>1712</v>
      </c>
      <c r="Q29" s="202" t="n">
        <v>3243</v>
      </c>
      <c r="R29" s="202" t="n">
        <v>1531</v>
      </c>
    </row>
    <row r="30" ht="12.75" customHeight="1" s="186">
      <c r="B30" s="157" t="inlineStr">
        <is>
          <t>AL</t>
        </is>
      </c>
      <c r="C30" s="158" t="n">
        <v>2011</v>
      </c>
      <c r="D30" s="159" t="n">
        <v>61.62</v>
      </c>
      <c r="E30" s="159" t="n">
        <v>0.35</v>
      </c>
      <c r="F30" s="160" t="n">
        <v>26</v>
      </c>
      <c r="G30" s="161" t="n">
        <v>7.5689</v>
      </c>
      <c r="H30" s="161" t="n">
        <v>2.3979</v>
      </c>
      <c r="I30" s="160" t="n">
        <v>10071</v>
      </c>
      <c r="J30" s="161" t="n">
        <v>9.2174</v>
      </c>
      <c r="K30" s="162" t="n">
        <v>10.41</v>
      </c>
      <c r="L30" s="163" t="n">
        <v>0</v>
      </c>
      <c r="M30" s="163" t="n">
        <v>0</v>
      </c>
      <c r="N30" s="161" t="n">
        <v>111.5203</v>
      </c>
      <c r="O30" s="160" t="n">
        <v>3143384</v>
      </c>
      <c r="P30" s="202" t="n">
        <v>1902</v>
      </c>
      <c r="Q30" s="202" t="n">
        <v>3422</v>
      </c>
      <c r="R30" s="202" t="n">
        <v>1520</v>
      </c>
    </row>
    <row r="31" ht="12.75" customHeight="1" s="186">
      <c r="B31" s="164" t="inlineStr">
        <is>
          <t>AL</t>
        </is>
      </c>
      <c r="C31" s="165" t="n">
        <v>2012</v>
      </c>
      <c r="D31" s="166" t="n">
        <v>54.87</v>
      </c>
      <c r="E31" s="166" t="n">
        <v>0.47</v>
      </c>
      <c r="F31" s="167" t="n">
        <v>41</v>
      </c>
      <c r="G31" s="168" t="n">
        <v>7.4599</v>
      </c>
      <c r="H31" s="168" t="n">
        <v>2.7081</v>
      </c>
      <c r="I31" s="167" t="n">
        <v>10946</v>
      </c>
      <c r="J31" s="168" t="n">
        <v>9.300700000000001</v>
      </c>
      <c r="K31" s="169" t="n">
        <v>12.24</v>
      </c>
      <c r="L31" s="170" t="n">
        <v>0</v>
      </c>
      <c r="M31" s="170" t="n">
        <v>0</v>
      </c>
      <c r="N31" s="168" t="n">
        <v>111.5203</v>
      </c>
      <c r="O31" s="167" t="n">
        <v>3165472</v>
      </c>
      <c r="P31" s="202" t="n">
        <v>1726</v>
      </c>
      <c r="Q31" s="202" t="n">
        <v>3212</v>
      </c>
      <c r="R31" s="202" t="n">
        <v>1486</v>
      </c>
    </row>
    <row r="32" ht="12.75" customHeight="1" s="186">
      <c r="B32" s="157" t="inlineStr">
        <is>
          <t>AL</t>
        </is>
      </c>
      <c r="C32" s="158" t="n">
        <v>2013</v>
      </c>
      <c r="D32" s="159" t="n">
        <v>56.71</v>
      </c>
      <c r="E32" s="159" t="n">
        <v>0.27</v>
      </c>
      <c r="F32" s="160" t="n">
        <v>50</v>
      </c>
      <c r="G32" s="161" t="n">
        <v>7.5348</v>
      </c>
      <c r="H32" s="161" t="n">
        <v>2.1972</v>
      </c>
      <c r="I32" s="160" t="n">
        <v>11295</v>
      </c>
      <c r="J32" s="161" t="n">
        <v>9.332100000000001</v>
      </c>
      <c r="K32" s="162" t="n">
        <v>13.19</v>
      </c>
      <c r="L32" s="163" t="n">
        <v>0</v>
      </c>
      <c r="M32" s="163" t="n">
        <v>0</v>
      </c>
      <c r="N32" s="161" t="n">
        <v>111.5203</v>
      </c>
      <c r="O32" s="160" t="n">
        <v>3300935</v>
      </c>
      <c r="P32" s="202" t="n">
        <v>1845</v>
      </c>
      <c r="Q32" s="202" t="n">
        <v>3346</v>
      </c>
      <c r="R32" s="202" t="n">
        <v>1501</v>
      </c>
    </row>
    <row r="33" ht="12.75" customHeight="1" s="186">
      <c r="B33" s="164" t="inlineStr">
        <is>
          <t>AL</t>
        </is>
      </c>
      <c r="C33" s="165" t="n">
        <v>2014</v>
      </c>
      <c r="D33" s="166" t="n">
        <v>54.82</v>
      </c>
      <c r="E33" s="166" t="n">
        <v>0.18</v>
      </c>
      <c r="F33" s="167" t="n">
        <v>56</v>
      </c>
      <c r="G33" s="168" t="n">
        <v>7.5071</v>
      </c>
      <c r="H33" s="168" t="n">
        <v>1.7918</v>
      </c>
      <c r="I33" s="167" t="n">
        <v>12335</v>
      </c>
      <c r="J33" s="168" t="n">
        <v>9.420199999999999</v>
      </c>
      <c r="K33" s="169" t="n">
        <v>13.13</v>
      </c>
      <c r="L33" s="170" t="n">
        <v>0</v>
      </c>
      <c r="M33" s="170" t="n">
        <v>0</v>
      </c>
      <c r="N33" s="168" t="n">
        <v>111.5203</v>
      </c>
      <c r="O33" s="167" t="n">
        <v>3321730</v>
      </c>
      <c r="P33" s="202" t="n">
        <v>1793</v>
      </c>
      <c r="Q33" s="202" t="n">
        <v>3306</v>
      </c>
      <c r="R33" s="202" t="n">
        <v>1513</v>
      </c>
    </row>
    <row r="34" ht="12.75" customHeight="1" s="186">
      <c r="B34" s="157" t="inlineStr">
        <is>
          <t>AL</t>
        </is>
      </c>
      <c r="C34" s="158" t="n">
        <v>2015</v>
      </c>
      <c r="D34" s="159" t="n">
        <v>44.36</v>
      </c>
      <c r="E34" s="159" t="n">
        <v>0.03</v>
      </c>
      <c r="F34" s="160" t="n">
        <v>57</v>
      </c>
      <c r="G34" s="161" t="n">
        <v>7.3011</v>
      </c>
      <c r="H34" s="161" t="n">
        <v>0</v>
      </c>
      <c r="I34" s="160" t="n">
        <v>13879</v>
      </c>
      <c r="J34" s="161" t="n">
        <v>9.5381</v>
      </c>
      <c r="K34" s="162" t="n">
        <v>11.3</v>
      </c>
      <c r="L34" s="163" t="n">
        <v>0</v>
      </c>
      <c r="M34" s="163" t="n">
        <v>0</v>
      </c>
      <c r="N34" s="161" t="n">
        <v>111.5203</v>
      </c>
      <c r="O34" s="160" t="n">
        <v>3340932</v>
      </c>
      <c r="P34" s="202" t="n">
        <v>1463</v>
      </c>
      <c r="Q34" s="202" t="n">
        <v>2798</v>
      </c>
      <c r="R34" s="202" t="n">
        <v>1335</v>
      </c>
    </row>
    <row r="35" ht="12.75" customHeight="1" s="186">
      <c r="B35" s="171" t="inlineStr">
        <is>
          <t>AL</t>
        </is>
      </c>
      <c r="C35" s="172" t="n">
        <v>2016</v>
      </c>
      <c r="D35" s="173" t="n">
        <v>46.03</v>
      </c>
      <c r="E35" s="173" t="n">
        <v>0.8</v>
      </c>
      <c r="F35" s="174" t="n">
        <v>84</v>
      </c>
      <c r="G35" s="175" t="n">
        <v>7.3434</v>
      </c>
      <c r="H35" s="175" t="n">
        <v>3.2958</v>
      </c>
      <c r="I35" s="174" t="n">
        <v>14727</v>
      </c>
      <c r="J35" s="175" t="n">
        <v>9.5974</v>
      </c>
      <c r="K35" s="176" t="n">
        <v>14.2</v>
      </c>
      <c r="L35" s="177" t="n">
        <v>0</v>
      </c>
      <c r="M35" s="177" t="n">
        <v>0</v>
      </c>
      <c r="N35" s="175" t="n">
        <v>111.5203</v>
      </c>
      <c r="O35" s="174" t="n">
        <v>3358963</v>
      </c>
      <c r="P35" s="202" t="n">
        <v>1537</v>
      </c>
      <c r="Q35" s="202" t="n">
        <v>2895</v>
      </c>
      <c r="R35" s="202" t="n">
        <v>1358</v>
      </c>
    </row>
    <row r="36" ht="12.75" customHeight="1" s="186">
      <c r="B36" s="178" t="inlineStr">
        <is>
          <t>AL</t>
        </is>
      </c>
      <c r="C36" s="179" t="n">
        <v>2017</v>
      </c>
      <c r="D36" s="180" t="n">
        <v>45.56</v>
      </c>
      <c r="E36" s="180" t="n">
        <v>2.28</v>
      </c>
      <c r="F36" s="181" t="n">
        <v>161</v>
      </c>
      <c r="G36" s="182" t="n">
        <v>7.3382</v>
      </c>
      <c r="H36" s="182" t="n">
        <v>4.3438</v>
      </c>
      <c r="I36" s="181" t="n">
        <v>15656</v>
      </c>
      <c r="J36" s="182" t="n">
        <v>9.6586</v>
      </c>
      <c r="K36" s="183" t="n">
        <v>16.9</v>
      </c>
      <c r="L36" s="184" t="n">
        <v>0</v>
      </c>
      <c r="M36" s="184" t="n">
        <v>0</v>
      </c>
      <c r="N36" s="182" t="n">
        <v>111.5203</v>
      </c>
      <c r="O36" s="181" t="n">
        <v>3375823</v>
      </c>
      <c r="P36" s="202" t="n">
        <v>1520</v>
      </c>
      <c r="Q36" s="202" t="n">
        <v>2894</v>
      </c>
      <c r="R36" s="202" t="n">
        <v>1374</v>
      </c>
    </row>
    <row r="37" ht="12.75" customHeight="1" s="186">
      <c r="B37" s="171" t="inlineStr">
        <is>
          <t>AL</t>
        </is>
      </c>
      <c r="C37" s="172" t="n">
        <v>2018</v>
      </c>
      <c r="D37" s="173" t="n">
        <v>36.08</v>
      </c>
      <c r="E37" s="173" t="n">
        <v>3.64</v>
      </c>
      <c r="F37" s="174" t="n">
        <v>282</v>
      </c>
      <c r="G37" s="175" t="n">
        <v>7.0892</v>
      </c>
      <c r="H37" s="175" t="n">
        <v>4.7958</v>
      </c>
      <c r="I37" s="174" t="n">
        <v>16376</v>
      </c>
      <c r="J37" s="175" t="n">
        <v>9.7036</v>
      </c>
      <c r="K37" s="176" t="n">
        <v>17.3</v>
      </c>
      <c r="L37" s="177" t="n">
        <v>0</v>
      </c>
      <c r="M37" s="177" t="n">
        <v>0</v>
      </c>
      <c r="N37" s="175" t="n">
        <v>111.5203</v>
      </c>
      <c r="O37" s="174" t="n">
        <v>3322820</v>
      </c>
      <c r="P37" s="202" t="n">
        <v>1172</v>
      </c>
      <c r="Q37" s="202" t="n">
        <v>2464</v>
      </c>
      <c r="R37" s="202" t="n">
        <v>1292</v>
      </c>
    </row>
    <row r="38" ht="12.75" customHeight="1" s="186">
      <c r="B38" s="178" t="inlineStr">
        <is>
          <t>AL</t>
        </is>
      </c>
      <c r="C38" s="179" t="n">
        <v>2019</v>
      </c>
      <c r="D38" s="180" t="n">
        <v>25.68</v>
      </c>
      <c r="E38" s="180" t="n">
        <v>21.63</v>
      </c>
      <c r="F38" s="181" t="n">
        <v>1004</v>
      </c>
      <c r="G38" s="182" t="n">
        <v>6.7534</v>
      </c>
      <c r="H38" s="182" t="n">
        <v>6.582</v>
      </c>
      <c r="I38" s="181" t="n">
        <v>17668</v>
      </c>
      <c r="J38" s="182" t="n">
        <v>9.779500000000001</v>
      </c>
      <c r="K38" s="183" t="n">
        <v>15.1</v>
      </c>
      <c r="L38" s="184" t="n">
        <v>0</v>
      </c>
      <c r="M38" s="184" t="n">
        <v>0</v>
      </c>
      <c r="N38" s="182" t="n">
        <v>111.5203</v>
      </c>
      <c r="O38" s="181" t="n">
        <v>3337357</v>
      </c>
      <c r="P38" s="202" t="n">
        <v>830</v>
      </c>
      <c r="Q38" s="202" t="n">
        <v>2160</v>
      </c>
      <c r="R38" s="202" t="n">
        <v>1330</v>
      </c>
    </row>
    <row r="39" ht="12.75" customHeight="1" s="186">
      <c r="B39" s="171" t="inlineStr">
        <is>
          <t>AL</t>
        </is>
      </c>
      <c r="C39" s="172" t="n">
        <v>2020</v>
      </c>
      <c r="D39" s="173" t="n">
        <v>25.78</v>
      </c>
      <c r="E39" s="173" t="n">
        <v>37.62</v>
      </c>
      <c r="F39" s="174" t="n">
        <v>2265</v>
      </c>
      <c r="G39" s="175" t="n">
        <v>6.7616</v>
      </c>
      <c r="H39" s="175" t="n">
        <v>7.1397</v>
      </c>
      <c r="I39" s="174" t="n">
        <v>18858</v>
      </c>
      <c r="J39" s="175" t="n">
        <v>9.8447</v>
      </c>
      <c r="K39" s="176" t="n">
        <v>19.1</v>
      </c>
      <c r="L39" s="177" t="n">
        <v>0</v>
      </c>
      <c r="M39" s="177" t="n">
        <v>1</v>
      </c>
      <c r="N39" s="175" t="n">
        <v>111.5203</v>
      </c>
      <c r="O39" s="174" t="n">
        <v>3351543</v>
      </c>
      <c r="P39" s="202" t="n">
        <v>866</v>
      </c>
      <c r="Q39" s="202" t="n">
        <v>2468</v>
      </c>
      <c r="R39" s="202" t="n">
        <v>1602</v>
      </c>
    </row>
    <row r="40" ht="12.75" customHeight="1" s="186">
      <c r="B40" s="178" t="inlineStr">
        <is>
          <t>AL</t>
        </is>
      </c>
      <c r="C40" s="179" t="n">
        <v>2021</v>
      </c>
      <c r="D40" s="180" t="n">
        <v>21.78</v>
      </c>
      <c r="E40" s="180" t="n">
        <v>76.87</v>
      </c>
      <c r="F40" s="181" t="n">
        <v>4852</v>
      </c>
      <c r="G40" s="182" t="n">
        <v>6.5971</v>
      </c>
      <c r="H40" s="182" t="n">
        <v>7.8583</v>
      </c>
      <c r="I40" s="181" t="n">
        <v>22662</v>
      </c>
      <c r="J40" s="182" t="n">
        <v>10.0284</v>
      </c>
      <c r="K40" s="183" t="n">
        <v>17.8</v>
      </c>
      <c r="L40" s="184" t="n">
        <v>0</v>
      </c>
      <c r="M40" s="184" t="n">
        <v>1</v>
      </c>
      <c r="N40" s="182" t="n">
        <v>111.5203</v>
      </c>
      <c r="O40" s="181" t="n">
        <v>3365351</v>
      </c>
      <c r="P40" s="202" t="n">
        <v>734</v>
      </c>
      <c r="Q40" s="202" t="n">
        <v>2229</v>
      </c>
      <c r="R40" s="202" t="n">
        <v>1495</v>
      </c>
    </row>
    <row r="41" ht="12.75" customHeight="1" s="186">
      <c r="B41" s="171" t="inlineStr">
        <is>
          <t>AL</t>
        </is>
      </c>
      <c r="C41" s="172" t="n">
        <v>2022</v>
      </c>
      <c r="D41" s="173" t="n">
        <v>26.47</v>
      </c>
      <c r="E41" s="173" t="n">
        <v>111.52</v>
      </c>
      <c r="F41" s="174" t="n">
        <v>8340</v>
      </c>
      <c r="G41" s="175" t="n">
        <v>6.719</v>
      </c>
      <c r="H41" s="175" t="n">
        <v>8.1571</v>
      </c>
      <c r="I41" s="174" t="n">
        <v>24320</v>
      </c>
      <c r="J41" s="175" t="n">
        <v>10.0991</v>
      </c>
      <c r="K41" s="176" t="n">
        <v>11.2</v>
      </c>
      <c r="L41" s="177" t="n">
        <v>0</v>
      </c>
      <c r="M41" s="177" t="n">
        <v>0</v>
      </c>
      <c r="N41" s="175" t="n">
        <v>111.5203</v>
      </c>
      <c r="O41" s="174" t="n">
        <v>3127683</v>
      </c>
      <c r="P41" s="202" t="n">
        <v>827</v>
      </c>
      <c r="Q41" s="202" t="n">
        <v>2245</v>
      </c>
      <c r="R41" s="202" t="n">
        <v>1418</v>
      </c>
    </row>
    <row r="42" ht="12.75" customHeight="1" s="186">
      <c r="B42" s="178" t="inlineStr">
        <is>
          <t>AL</t>
        </is>
      </c>
      <c r="C42" s="179" t="n">
        <v>2023</v>
      </c>
      <c r="D42" s="180" t="n">
        <v>28.46</v>
      </c>
      <c r="E42" s="180" t="n">
        <v>0.13</v>
      </c>
      <c r="F42" s="181" t="n">
        <v>8344</v>
      </c>
      <c r="G42" s="182" t="n">
        <v>6.7912</v>
      </c>
      <c r="H42" s="182" t="n">
        <v>1.3863</v>
      </c>
      <c r="I42" s="181" t="n">
        <v>28676</v>
      </c>
      <c r="J42" s="182" t="n">
        <v>10.2638</v>
      </c>
      <c r="K42" s="183" t="n">
        <v>9.6</v>
      </c>
      <c r="L42" s="184" t="n">
        <v>1</v>
      </c>
      <c r="M42" s="184" t="n">
        <v>0</v>
      </c>
      <c r="N42" s="182" t="n">
        <v>111.5203</v>
      </c>
      <c r="O42" s="181" t="n">
        <v>3127683</v>
      </c>
      <c r="P42" s="202" t="n">
        <v>883</v>
      </c>
      <c r="Q42" s="202" t="n">
        <v>2429</v>
      </c>
      <c r="R42" s="202" t="n">
        <v>1546</v>
      </c>
    </row>
    <row r="43" ht="12.75" customHeight="1" s="186">
      <c r="B43" s="171" t="inlineStr">
        <is>
          <t>AL</t>
        </is>
      </c>
      <c r="C43" s="172" t="n">
        <v>2024</v>
      </c>
      <c r="D43" s="173" t="n">
        <v>27.61</v>
      </c>
      <c r="E43" s="173" t="n">
        <v>16.52</v>
      </c>
      <c r="F43" s="174" t="n">
        <v>8876</v>
      </c>
      <c r="G43" s="175" t="n">
        <v>6.7901</v>
      </c>
      <c r="H43" s="175" t="n">
        <v>6.2766</v>
      </c>
      <c r="I43" s="174" t="n">
        <v>30268</v>
      </c>
      <c r="J43" s="175" t="n">
        <v>10.3178</v>
      </c>
      <c r="K43" s="176" t="n">
        <v>8.6</v>
      </c>
      <c r="L43" s="177" t="n">
        <v>1</v>
      </c>
      <c r="M43" s="177" t="n">
        <v>0</v>
      </c>
      <c r="N43" s="175" t="n">
        <v>111.5203</v>
      </c>
      <c r="O43" s="174" t="n">
        <v>3220104</v>
      </c>
      <c r="P43" s="202" t="n">
        <v>873</v>
      </c>
      <c r="Q43" s="202" t="n">
        <v>2582</v>
      </c>
      <c r="R43" s="202" t="n">
        <v>1709</v>
      </c>
    </row>
    <row r="44" ht="12.75" customHeight="1" s="186">
      <c r="B44" s="157" t="inlineStr">
        <is>
          <t>AM</t>
        </is>
      </c>
      <c r="C44" s="158" t="n">
        <v>2005</v>
      </c>
      <c r="D44" s="159" t="n">
        <v>8.17</v>
      </c>
      <c r="E44" s="159" t="n">
        <v>0.34</v>
      </c>
      <c r="F44" s="160" t="n">
        <v>11</v>
      </c>
      <c r="G44" s="161" t="n">
        <v>5.5759</v>
      </c>
      <c r="H44" s="161" t="n">
        <v>2.3979</v>
      </c>
      <c r="I44" s="160" t="n">
        <v>10318</v>
      </c>
      <c r="J44" s="161" t="n">
        <v>9.2416</v>
      </c>
      <c r="K44" s="162" t="n">
        <v>12.83</v>
      </c>
      <c r="L44" s="163" t="n">
        <v>0</v>
      </c>
      <c r="M44" s="163" t="n">
        <v>0</v>
      </c>
      <c r="N44" s="161" t="n">
        <v>101.6081</v>
      </c>
      <c r="O44" s="160" t="n">
        <v>3232330</v>
      </c>
      <c r="P44" s="202" t="n">
        <v>264</v>
      </c>
      <c r="Q44" s="202" t="n">
        <v>1403</v>
      </c>
      <c r="R44" s="202" t="n">
        <v>1139</v>
      </c>
    </row>
    <row r="45" ht="12.75" customHeight="1" s="186">
      <c r="B45" s="164" t="inlineStr">
        <is>
          <t>AM</t>
        </is>
      </c>
      <c r="C45" s="165" t="n">
        <v>2006</v>
      </c>
      <c r="D45" s="166" t="n">
        <v>11.39</v>
      </c>
      <c r="E45" s="166" t="n">
        <v>0.18</v>
      </c>
      <c r="F45" s="167" t="n">
        <v>17</v>
      </c>
      <c r="G45" s="168" t="n">
        <v>5.9322</v>
      </c>
      <c r="H45" s="168" t="n">
        <v>1.7918</v>
      </c>
      <c r="I45" s="167" t="n">
        <v>11826</v>
      </c>
      <c r="J45" s="168" t="n">
        <v>9.3781</v>
      </c>
      <c r="K45" s="169" t="n">
        <v>9.43</v>
      </c>
      <c r="L45" s="170" t="n">
        <v>0</v>
      </c>
      <c r="M45" s="170" t="n">
        <v>0</v>
      </c>
      <c r="N45" s="168" t="n">
        <v>101.6081</v>
      </c>
      <c r="O45" s="167" t="n">
        <v>3311026</v>
      </c>
      <c r="P45" s="202" t="n">
        <v>374</v>
      </c>
      <c r="Q45" s="202" t="n">
        <v>1539</v>
      </c>
      <c r="R45" s="202" t="n">
        <v>1165</v>
      </c>
    </row>
    <row r="46" ht="12.75" customHeight="1" s="186">
      <c r="B46" s="157" t="inlineStr">
        <is>
          <t>AM</t>
        </is>
      </c>
      <c r="C46" s="158" t="n">
        <v>2007</v>
      </c>
      <c r="D46" s="159" t="n">
        <v>12.82</v>
      </c>
      <c r="E46" s="159" t="n">
        <v>0.43</v>
      </c>
      <c r="F46" s="160" t="n">
        <v>31</v>
      </c>
      <c r="G46" s="161" t="n">
        <v>6.0234</v>
      </c>
      <c r="H46" s="161" t="n">
        <v>2.6391</v>
      </c>
      <c r="I46" s="160" t="n">
        <v>13043</v>
      </c>
      <c r="J46" s="161" t="n">
        <v>9.476000000000001</v>
      </c>
      <c r="K46" s="162" t="n">
        <v>12.24</v>
      </c>
      <c r="L46" s="163" t="n">
        <v>0</v>
      </c>
      <c r="M46" s="163" t="n">
        <v>0</v>
      </c>
      <c r="N46" s="161" t="n">
        <v>101.6081</v>
      </c>
      <c r="O46" s="160" t="n">
        <v>3221940</v>
      </c>
      <c r="P46" s="202" t="n">
        <v>414</v>
      </c>
      <c r="Q46" s="202" t="n">
        <v>1547</v>
      </c>
      <c r="R46" s="202" t="n">
        <v>1133</v>
      </c>
    </row>
    <row r="47" ht="12.75" customHeight="1" s="186">
      <c r="B47" s="164" t="inlineStr">
        <is>
          <t>AM</t>
        </is>
      </c>
      <c r="C47" s="165" t="n">
        <v>2008</v>
      </c>
      <c r="D47" s="166" t="n">
        <v>13.35</v>
      </c>
      <c r="E47" s="166" t="n">
        <v>0.27</v>
      </c>
      <c r="F47" s="167" t="n">
        <v>40</v>
      </c>
      <c r="G47" s="168" t="n">
        <v>6.1003</v>
      </c>
      <c r="H47" s="168" t="n">
        <v>2.1972</v>
      </c>
      <c r="I47" s="167" t="n">
        <v>14014</v>
      </c>
      <c r="J47" s="168" t="n">
        <v>9.547800000000001</v>
      </c>
      <c r="K47" s="169" t="n">
        <v>10.01</v>
      </c>
      <c r="L47" s="170" t="n">
        <v>0</v>
      </c>
      <c r="M47" s="170" t="n">
        <v>0</v>
      </c>
      <c r="N47" s="168" t="n">
        <v>101.6081</v>
      </c>
      <c r="O47" s="167" t="n">
        <v>3341094</v>
      </c>
      <c r="P47" s="202" t="n">
        <v>446</v>
      </c>
      <c r="Q47" s="202" t="n">
        <v>1796</v>
      </c>
      <c r="R47" s="202" t="n">
        <v>1350</v>
      </c>
    </row>
    <row r="48" ht="12.75" customHeight="1" s="186">
      <c r="B48" s="157" t="inlineStr">
        <is>
          <t>AM</t>
        </is>
      </c>
      <c r="C48" s="158" t="n">
        <v>2009</v>
      </c>
      <c r="D48" s="159" t="n">
        <v>16.83</v>
      </c>
      <c r="E48" s="159" t="n">
        <v>0.74</v>
      </c>
      <c r="F48" s="160" t="n">
        <v>65</v>
      </c>
      <c r="G48" s="161" t="n">
        <v>6.3474</v>
      </c>
      <c r="H48" s="161" t="n">
        <v>3.2189</v>
      </c>
      <c r="I48" s="160" t="n">
        <v>14621</v>
      </c>
      <c r="J48" s="161" t="n">
        <v>9.590199999999999</v>
      </c>
      <c r="K48" s="162" t="n">
        <v>12.44</v>
      </c>
      <c r="L48" s="163" t="n">
        <v>0</v>
      </c>
      <c r="M48" s="163" t="n">
        <v>0</v>
      </c>
      <c r="N48" s="161" t="n">
        <v>101.6081</v>
      </c>
      <c r="O48" s="160" t="n">
        <v>3393369</v>
      </c>
      <c r="P48" s="202" t="n">
        <v>569</v>
      </c>
      <c r="Q48" s="202" t="n">
        <v>1808</v>
      </c>
      <c r="R48" s="202" t="n">
        <v>1239</v>
      </c>
    </row>
    <row r="49" ht="12.75" customHeight="1" s="186">
      <c r="B49" s="164" t="inlineStr">
        <is>
          <t>AM</t>
        </is>
      </c>
      <c r="C49" s="165" t="n">
        <v>2010</v>
      </c>
      <c r="D49" s="166" t="n">
        <v>18.17</v>
      </c>
      <c r="E49" s="166" t="n">
        <v>0.46</v>
      </c>
      <c r="F49" s="167" t="n">
        <v>81</v>
      </c>
      <c r="G49" s="168" t="n">
        <v>6.4505</v>
      </c>
      <c r="H49" s="168" t="n">
        <v>2.7726</v>
      </c>
      <c r="I49" s="167" t="n">
        <v>17473</v>
      </c>
      <c r="J49" s="168" t="n">
        <v>9.7684</v>
      </c>
      <c r="K49" s="169" t="n">
        <v>10.86</v>
      </c>
      <c r="L49" s="170" t="n">
        <v>0</v>
      </c>
      <c r="M49" s="170" t="n">
        <v>0</v>
      </c>
      <c r="N49" s="168" t="n">
        <v>101.6081</v>
      </c>
      <c r="O49" s="167" t="n">
        <v>3483985</v>
      </c>
      <c r="P49" s="202" t="n">
        <v>628</v>
      </c>
      <c r="Q49" s="202" t="n">
        <v>2080</v>
      </c>
      <c r="R49" s="202" t="n">
        <v>1452</v>
      </c>
    </row>
    <row r="50" ht="12.75" customHeight="1" s="186">
      <c r="B50" s="157" t="inlineStr">
        <is>
          <t>AM</t>
        </is>
      </c>
      <c r="C50" s="158" t="n">
        <v>2011</v>
      </c>
      <c r="D50" s="159" t="n">
        <v>24.84</v>
      </c>
      <c r="E50" s="159" t="n">
        <v>0.54</v>
      </c>
      <c r="F50" s="160" t="n">
        <v>100</v>
      </c>
      <c r="G50" s="161" t="n">
        <v>6.7788</v>
      </c>
      <c r="H50" s="161" t="n">
        <v>2.9444</v>
      </c>
      <c r="I50" s="160" t="n">
        <v>19991</v>
      </c>
      <c r="J50" s="161" t="n">
        <v>9.903</v>
      </c>
      <c r="K50" s="162" t="n">
        <v>9.279999999999999</v>
      </c>
      <c r="L50" s="163" t="n">
        <v>0</v>
      </c>
      <c r="M50" s="163" t="n">
        <v>0</v>
      </c>
      <c r="N50" s="161" t="n">
        <v>101.6081</v>
      </c>
      <c r="O50" s="160" t="n">
        <v>3538387</v>
      </c>
      <c r="P50" s="202" t="n">
        <v>877</v>
      </c>
      <c r="Q50" s="202" t="n">
        <v>2363</v>
      </c>
      <c r="R50" s="202" t="n">
        <v>1486</v>
      </c>
    </row>
    <row r="51" ht="12.75" customHeight="1" s="186">
      <c r="B51" s="164" t="inlineStr">
        <is>
          <t>AM</t>
        </is>
      </c>
      <c r="C51" s="165" t="n">
        <v>2012</v>
      </c>
      <c r="D51" s="166" t="n">
        <v>23.75</v>
      </c>
      <c r="E51" s="166" t="n">
        <v>0.86</v>
      </c>
      <c r="F51" s="167" t="n">
        <v>131</v>
      </c>
      <c r="G51" s="168" t="n">
        <v>6.7488</v>
      </c>
      <c r="H51" s="168" t="n">
        <v>3.434</v>
      </c>
      <c r="I51" s="167" t="n">
        <v>20118</v>
      </c>
      <c r="J51" s="168" t="n">
        <v>9.9094</v>
      </c>
      <c r="K51" s="169" t="n">
        <v>9</v>
      </c>
      <c r="L51" s="170" t="n">
        <v>0</v>
      </c>
      <c r="M51" s="170" t="n">
        <v>0</v>
      </c>
      <c r="N51" s="168" t="n">
        <v>101.6081</v>
      </c>
      <c r="O51" s="167" t="n">
        <v>3590985</v>
      </c>
      <c r="P51" s="202" t="n">
        <v>853</v>
      </c>
      <c r="Q51" s="202" t="n">
        <v>2447</v>
      </c>
      <c r="R51" s="202" t="n">
        <v>1594</v>
      </c>
    </row>
    <row r="52" ht="12.75" customHeight="1" s="186">
      <c r="B52" s="157" t="inlineStr">
        <is>
          <t>AM</t>
        </is>
      </c>
      <c r="C52" s="158" t="n">
        <v>2013</v>
      </c>
      <c r="D52" s="159" t="n">
        <v>18.17</v>
      </c>
      <c r="E52" s="159" t="n">
        <v>0.42</v>
      </c>
      <c r="F52" s="160" t="n">
        <v>147</v>
      </c>
      <c r="G52" s="161" t="n">
        <v>6.5396</v>
      </c>
      <c r="H52" s="161" t="n">
        <v>2.7726</v>
      </c>
      <c r="I52" s="160" t="n">
        <v>21810</v>
      </c>
      <c r="J52" s="161" t="n">
        <v>9.9901</v>
      </c>
      <c r="K52" s="162" t="n">
        <v>10.19</v>
      </c>
      <c r="L52" s="163" t="n">
        <v>0</v>
      </c>
      <c r="M52" s="163" t="n">
        <v>0</v>
      </c>
      <c r="N52" s="161" t="n">
        <v>101.6081</v>
      </c>
      <c r="O52" s="160" t="n">
        <v>3807921</v>
      </c>
      <c r="P52" s="202" t="n">
        <v>692</v>
      </c>
      <c r="Q52" s="202" t="n">
        <v>2406</v>
      </c>
      <c r="R52" s="202" t="n">
        <v>1714</v>
      </c>
    </row>
    <row r="53" ht="12.75" customHeight="1" s="186">
      <c r="B53" s="164" t="inlineStr">
        <is>
          <t>AM</t>
        </is>
      </c>
      <c r="C53" s="165" t="n">
        <v>2014</v>
      </c>
      <c r="D53" s="166" t="n">
        <v>19.59</v>
      </c>
      <c r="E53" s="166" t="n">
        <v>0.13</v>
      </c>
      <c r="F53" s="167" t="n">
        <v>152</v>
      </c>
      <c r="G53" s="168" t="n">
        <v>6.632</v>
      </c>
      <c r="H53" s="168" t="n">
        <v>1.6094</v>
      </c>
      <c r="I53" s="167" t="n">
        <v>22373</v>
      </c>
      <c r="J53" s="168" t="n">
        <v>10.0156</v>
      </c>
      <c r="K53" s="169" t="n">
        <v>10.84</v>
      </c>
      <c r="L53" s="170" t="n">
        <v>0</v>
      </c>
      <c r="M53" s="170" t="n">
        <v>0</v>
      </c>
      <c r="N53" s="168" t="n">
        <v>101.6081</v>
      </c>
      <c r="O53" s="167" t="n">
        <v>3873743</v>
      </c>
      <c r="P53" s="202" t="n">
        <v>753</v>
      </c>
      <c r="Q53" s="202" t="n">
        <v>2524</v>
      </c>
      <c r="R53" s="202" t="n">
        <v>1771</v>
      </c>
    </row>
    <row r="54" ht="12.75" customHeight="1" s="186">
      <c r="B54" s="157" t="inlineStr">
        <is>
          <t>AM</t>
        </is>
      </c>
      <c r="C54" s="158" t="n">
        <v>2015</v>
      </c>
      <c r="D54" s="159" t="n">
        <v>23.54</v>
      </c>
      <c r="E54" s="159" t="n">
        <v>0.41</v>
      </c>
      <c r="F54" s="160" t="n">
        <v>168</v>
      </c>
      <c r="G54" s="161" t="n">
        <v>6.832</v>
      </c>
      <c r="H54" s="161" t="n">
        <v>2.7726</v>
      </c>
      <c r="I54" s="160" t="n">
        <v>21981</v>
      </c>
      <c r="J54" s="161" t="n">
        <v>9.9979</v>
      </c>
      <c r="K54" s="162" t="n">
        <v>9.699999999999999</v>
      </c>
      <c r="L54" s="163" t="n">
        <v>0</v>
      </c>
      <c r="M54" s="163" t="n">
        <v>0</v>
      </c>
      <c r="N54" s="161" t="n">
        <v>101.6081</v>
      </c>
      <c r="O54" s="160" t="n">
        <v>3938336</v>
      </c>
      <c r="P54" s="202" t="n">
        <v>917</v>
      </c>
      <c r="Q54" s="202" t="n">
        <v>2746</v>
      </c>
      <c r="R54" s="202" t="n">
        <v>1829</v>
      </c>
    </row>
    <row r="55" ht="12.75" customHeight="1" s="186">
      <c r="B55" s="171" t="inlineStr">
        <is>
          <t>AM</t>
        </is>
      </c>
      <c r="C55" s="172" t="n">
        <v>2016</v>
      </c>
      <c r="D55" s="173" t="n">
        <v>19.79</v>
      </c>
      <c r="E55" s="173" t="n">
        <v>0.5</v>
      </c>
      <c r="F55" s="174" t="n">
        <v>188</v>
      </c>
      <c r="G55" s="175" t="n">
        <v>6.6746</v>
      </c>
      <c r="H55" s="175" t="n">
        <v>2.9957</v>
      </c>
      <c r="I55" s="174" t="n">
        <v>22251</v>
      </c>
      <c r="J55" s="175" t="n">
        <v>10.0101</v>
      </c>
      <c r="K55" s="176" t="n">
        <v>13.8</v>
      </c>
      <c r="L55" s="177" t="n">
        <v>0</v>
      </c>
      <c r="M55" s="177" t="n">
        <v>0</v>
      </c>
      <c r="N55" s="175" t="n">
        <v>101.6081</v>
      </c>
      <c r="O55" s="174" t="n">
        <v>4001667</v>
      </c>
      <c r="P55" s="202" t="n">
        <v>784</v>
      </c>
      <c r="Q55" s="202" t="n">
        <v>2629</v>
      </c>
      <c r="R55" s="202" t="n">
        <v>1845</v>
      </c>
    </row>
    <row r="56" ht="12.75" customHeight="1" s="186">
      <c r="B56" s="178" t="inlineStr">
        <is>
          <t>AM</t>
        </is>
      </c>
      <c r="C56" s="179" t="n">
        <v>2017</v>
      </c>
      <c r="D56" s="180" t="n">
        <v>23.85</v>
      </c>
      <c r="E56" s="180" t="n">
        <v>2.17</v>
      </c>
      <c r="F56" s="181" t="n">
        <v>276</v>
      </c>
      <c r="G56" s="182" t="n">
        <v>6.8763</v>
      </c>
      <c r="H56" s="182" t="n">
        <v>4.4773</v>
      </c>
      <c r="I56" s="181" t="n">
        <v>22945</v>
      </c>
      <c r="J56" s="182" t="n">
        <v>10.0409</v>
      </c>
      <c r="K56" s="183" t="n">
        <v>15.9</v>
      </c>
      <c r="L56" s="184" t="n">
        <v>0</v>
      </c>
      <c r="M56" s="184" t="n">
        <v>0</v>
      </c>
      <c r="N56" s="182" t="n">
        <v>101.6081</v>
      </c>
      <c r="O56" s="181" t="n">
        <v>4063614</v>
      </c>
      <c r="P56" s="202" t="n">
        <v>967</v>
      </c>
      <c r="Q56" s="202" t="n">
        <v>2788</v>
      </c>
      <c r="R56" s="202" t="n">
        <v>1821</v>
      </c>
    </row>
    <row r="57" ht="12.75" customHeight="1" s="186">
      <c r="B57" s="171" t="inlineStr">
        <is>
          <t>AM</t>
        </is>
      </c>
      <c r="C57" s="172" t="n">
        <v>2018</v>
      </c>
      <c r="D57" s="173" t="n">
        <v>23.43</v>
      </c>
      <c r="E57" s="173" t="n">
        <v>4.71</v>
      </c>
      <c r="F57" s="174" t="n">
        <v>468</v>
      </c>
      <c r="G57" s="175" t="n">
        <v>6.8628</v>
      </c>
      <c r="H57" s="175" t="n">
        <v>5.2575</v>
      </c>
      <c r="I57" s="174" t="n">
        <v>24533</v>
      </c>
      <c r="J57" s="175" t="n">
        <v>10.1078</v>
      </c>
      <c r="K57" s="176" t="n">
        <v>14</v>
      </c>
      <c r="L57" s="177" t="n">
        <v>0</v>
      </c>
      <c r="M57" s="177" t="n">
        <v>0</v>
      </c>
      <c r="N57" s="175" t="n">
        <v>101.6081</v>
      </c>
      <c r="O57" s="174" t="n">
        <v>4080611</v>
      </c>
      <c r="P57" s="202" t="n">
        <v>951</v>
      </c>
      <c r="Q57" s="202" t="n">
        <v>2700</v>
      </c>
      <c r="R57" s="202" t="n">
        <v>1749</v>
      </c>
    </row>
    <row r="58" ht="12.75" customHeight="1" s="186">
      <c r="B58" s="178" t="inlineStr">
        <is>
          <t>AM</t>
        </is>
      </c>
      <c r="C58" s="179" t="n">
        <v>2019</v>
      </c>
      <c r="D58" s="180" t="n">
        <v>23.65</v>
      </c>
      <c r="E58" s="180" t="n">
        <v>9.58</v>
      </c>
      <c r="F58" s="181" t="n">
        <v>865</v>
      </c>
      <c r="G58" s="182" t="n">
        <v>6.8876</v>
      </c>
      <c r="H58" s="182" t="n">
        <v>5.9839</v>
      </c>
      <c r="I58" s="181" t="n">
        <v>26102</v>
      </c>
      <c r="J58" s="182" t="n">
        <v>10.1698</v>
      </c>
      <c r="K58" s="183" t="n">
        <v>14.2</v>
      </c>
      <c r="L58" s="184" t="n">
        <v>0</v>
      </c>
      <c r="M58" s="184" t="n">
        <v>0</v>
      </c>
      <c r="N58" s="182" t="n">
        <v>101.6081</v>
      </c>
      <c r="O58" s="181" t="n">
        <v>4144597</v>
      </c>
      <c r="P58" s="202" t="n">
        <v>975</v>
      </c>
      <c r="Q58" s="202" t="n">
        <v>2842</v>
      </c>
      <c r="R58" s="202" t="n">
        <v>1867</v>
      </c>
    </row>
    <row r="59" ht="12.75" customHeight="1" s="186">
      <c r="B59" s="171" t="inlineStr">
        <is>
          <t>AM</t>
        </is>
      </c>
      <c r="C59" s="172" t="n">
        <v>2020</v>
      </c>
      <c r="D59" s="173" t="n">
        <v>18.58</v>
      </c>
      <c r="E59" s="173" t="n">
        <v>25.36</v>
      </c>
      <c r="F59" s="174" t="n">
        <v>1932</v>
      </c>
      <c r="G59" s="175" t="n">
        <v>6.6619</v>
      </c>
      <c r="H59" s="175" t="n">
        <v>6.9726</v>
      </c>
      <c r="I59" s="174" t="n">
        <v>27573</v>
      </c>
      <c r="J59" s="175" t="n">
        <v>10.2246</v>
      </c>
      <c r="K59" s="176" t="n">
        <v>16</v>
      </c>
      <c r="L59" s="177" t="n">
        <v>0</v>
      </c>
      <c r="M59" s="177" t="n">
        <v>1</v>
      </c>
      <c r="N59" s="175" t="n">
        <v>101.6081</v>
      </c>
      <c r="O59" s="174" t="n">
        <v>4207714</v>
      </c>
      <c r="P59" s="202" t="n">
        <v>775</v>
      </c>
      <c r="Q59" s="202" t="n">
        <v>2578</v>
      </c>
      <c r="R59" s="202" t="n">
        <v>1803</v>
      </c>
    </row>
    <row r="60" ht="12.75" customHeight="1" s="186">
      <c r="B60" s="178" t="inlineStr">
        <is>
          <t>AM</t>
        </is>
      </c>
      <c r="C60" s="179" t="n">
        <v>2021</v>
      </c>
      <c r="D60" s="180" t="n">
        <v>29.93</v>
      </c>
      <c r="E60" s="180" t="n">
        <v>50.16</v>
      </c>
      <c r="F60" s="181" t="n">
        <v>4074</v>
      </c>
      <c r="G60" s="182" t="n">
        <v>7.1531</v>
      </c>
      <c r="H60" s="182" t="n">
        <v>7.6695</v>
      </c>
      <c r="I60" s="181" t="n">
        <v>30804</v>
      </c>
      <c r="J60" s="182" t="n">
        <v>10.3354</v>
      </c>
      <c r="K60" s="183" t="n">
        <v>15</v>
      </c>
      <c r="L60" s="184" t="n">
        <v>0</v>
      </c>
      <c r="M60" s="184" t="n">
        <v>1</v>
      </c>
      <c r="N60" s="182" t="n">
        <v>101.6081</v>
      </c>
      <c r="O60" s="181" t="n">
        <v>4269995</v>
      </c>
      <c r="P60" s="202" t="n">
        <v>1258</v>
      </c>
      <c r="Q60" s="202" t="n">
        <v>3071</v>
      </c>
      <c r="R60" s="202" t="n">
        <v>1813</v>
      </c>
    </row>
    <row r="61" ht="12.75" customHeight="1" s="186">
      <c r="B61" s="171" t="inlineStr">
        <is>
          <t>AM</t>
        </is>
      </c>
      <c r="C61" s="172" t="n">
        <v>2022</v>
      </c>
      <c r="D61" s="173" t="n">
        <v>30.32</v>
      </c>
      <c r="E61" s="173" t="n">
        <v>101.61</v>
      </c>
      <c r="F61" s="174" t="n">
        <v>8079</v>
      </c>
      <c r="G61" s="175" t="n">
        <v>7.0859</v>
      </c>
      <c r="H61" s="175" t="n">
        <v>8.295299999999999</v>
      </c>
      <c r="I61" s="174" t="n">
        <v>36823</v>
      </c>
      <c r="J61" s="175" t="n">
        <v>10.5139</v>
      </c>
      <c r="K61" s="176" t="n">
        <v>10.8</v>
      </c>
      <c r="L61" s="177" t="n">
        <v>0</v>
      </c>
      <c r="M61" s="177" t="n">
        <v>0</v>
      </c>
      <c r="N61" s="175" t="n">
        <v>101.6081</v>
      </c>
      <c r="O61" s="174" t="n">
        <v>3941613</v>
      </c>
      <c r="P61" s="202" t="n">
        <v>1171</v>
      </c>
      <c r="Q61" s="202" t="n">
        <v>2977</v>
      </c>
      <c r="R61" s="202" t="n">
        <v>1806</v>
      </c>
    </row>
    <row r="62" ht="12.75" customHeight="1" s="186">
      <c r="B62" s="178" t="inlineStr">
        <is>
          <t>AM</t>
        </is>
      </c>
      <c r="C62" s="179" t="n">
        <v>2023</v>
      </c>
      <c r="D62" s="180" t="n">
        <v>26.69</v>
      </c>
      <c r="E62" s="180" t="n">
        <v>0.41</v>
      </c>
      <c r="F62" s="181" t="n">
        <v>8095</v>
      </c>
      <c r="G62" s="182" t="n">
        <v>6.9584</v>
      </c>
      <c r="H62" s="182" t="n">
        <v>2.7726</v>
      </c>
      <c r="I62" s="181" t="n">
        <v>41048</v>
      </c>
      <c r="J62" s="182" t="n">
        <v>10.6225</v>
      </c>
      <c r="K62" s="183" t="n">
        <v>9.699999999999999</v>
      </c>
      <c r="L62" s="184" t="n">
        <v>1</v>
      </c>
      <c r="M62" s="184" t="n">
        <v>0</v>
      </c>
      <c r="N62" s="182" t="n">
        <v>101.6081</v>
      </c>
      <c r="O62" s="181" t="n">
        <v>3941613</v>
      </c>
      <c r="P62" s="202" t="n">
        <v>1032</v>
      </c>
      <c r="Q62" s="202" t="n">
        <v>2912</v>
      </c>
      <c r="R62" s="202" t="n">
        <v>1880</v>
      </c>
    </row>
    <row r="63" ht="12.75" customHeight="1" s="186">
      <c r="B63" s="171" t="inlineStr">
        <is>
          <t>AM</t>
        </is>
      </c>
      <c r="C63" s="172" t="n">
        <v>2024</v>
      </c>
      <c r="D63" s="173" t="n">
        <v>17.71</v>
      </c>
      <c r="E63" s="173" t="n">
        <v>2.85</v>
      </c>
      <c r="F63" s="174" t="n">
        <v>8217</v>
      </c>
      <c r="G63" s="175" t="n">
        <v>6.6307</v>
      </c>
      <c r="H63" s="175" t="n">
        <v>4.804</v>
      </c>
      <c r="I63" s="174" t="n">
        <v>41557</v>
      </c>
      <c r="J63" s="175" t="n">
        <v>10.6348</v>
      </c>
      <c r="K63" s="176" t="n">
        <v>8.800000000000001</v>
      </c>
      <c r="L63" s="177" t="n">
        <v>1</v>
      </c>
      <c r="M63" s="177" t="n">
        <v>0</v>
      </c>
      <c r="N63" s="175" t="n">
        <v>101.6081</v>
      </c>
      <c r="O63" s="174" t="n">
        <v>4281209</v>
      </c>
      <c r="P63" s="202" t="n">
        <v>746</v>
      </c>
      <c r="Q63" s="202" t="n">
        <v>2782</v>
      </c>
      <c r="R63" s="202" t="n">
        <v>2036</v>
      </c>
    </row>
    <row r="64" ht="12.75" customHeight="1" s="186">
      <c r="B64" s="157" t="inlineStr">
        <is>
          <t>AP</t>
        </is>
      </c>
      <c r="C64" s="158" t="n">
        <v>2005</v>
      </c>
      <c r="D64" s="159" t="n">
        <v>9.08</v>
      </c>
      <c r="E64" s="159" t="n">
        <v>0</v>
      </c>
      <c r="F64" s="160" t="n">
        <v>0</v>
      </c>
      <c r="G64" s="161" t="n">
        <v>3.989</v>
      </c>
      <c r="H64" s="161" t="n"/>
      <c r="I64" s="160" t="n">
        <v>7335</v>
      </c>
      <c r="J64" s="161" t="n">
        <v>8.900399999999999</v>
      </c>
      <c r="K64" s="162" t="n">
        <v>11.96</v>
      </c>
      <c r="L64" s="163" t="n">
        <v>0</v>
      </c>
      <c r="M64" s="163" t="n">
        <v>0</v>
      </c>
      <c r="N64" s="161" t="n">
        <v>75.0928</v>
      </c>
      <c r="O64" s="160" t="n">
        <v>594587</v>
      </c>
      <c r="P64" s="202" t="n">
        <v>55</v>
      </c>
      <c r="Q64" s="202" t="n">
        <v>407</v>
      </c>
      <c r="R64" s="202" t="n">
        <v>352</v>
      </c>
    </row>
    <row r="65" ht="12.75" customHeight="1" s="186">
      <c r="B65" s="164" t="inlineStr">
        <is>
          <t>AP</t>
        </is>
      </c>
      <c r="C65" s="165" t="n">
        <v>2006</v>
      </c>
      <c r="D65" s="166" t="n">
        <v>12.02</v>
      </c>
      <c r="E65" s="166" t="n">
        <v>0</v>
      </c>
      <c r="F65" s="167" t="n">
        <v>0</v>
      </c>
      <c r="G65" s="168" t="n">
        <v>4.3041</v>
      </c>
      <c r="H65" s="168" t="n"/>
      <c r="I65" s="167" t="n">
        <v>8543</v>
      </c>
      <c r="J65" s="168" t="n">
        <v>9.052899999999999</v>
      </c>
      <c r="K65" s="169" t="n">
        <v>6.67</v>
      </c>
      <c r="L65" s="170" t="n">
        <v>0</v>
      </c>
      <c r="M65" s="170" t="n">
        <v>0</v>
      </c>
      <c r="N65" s="168" t="n">
        <v>75.0928</v>
      </c>
      <c r="O65" s="167" t="n">
        <v>615715</v>
      </c>
      <c r="P65" s="202" t="n">
        <v>74</v>
      </c>
      <c r="Q65" s="202" t="n">
        <v>411</v>
      </c>
      <c r="R65" s="202" t="n">
        <v>337</v>
      </c>
    </row>
    <row r="66" ht="12.75" customHeight="1" s="186">
      <c r="B66" s="157" t="inlineStr">
        <is>
          <t>AP</t>
        </is>
      </c>
      <c r="C66" s="158" t="n">
        <v>2007</v>
      </c>
      <c r="D66" s="159" t="n">
        <v>10.05</v>
      </c>
      <c r="E66" s="159" t="n">
        <v>0</v>
      </c>
      <c r="F66" s="160" t="n">
        <v>0</v>
      </c>
      <c r="G66" s="161" t="n">
        <v>4.0775</v>
      </c>
      <c r="H66" s="161" t="n"/>
      <c r="I66" s="160" t="n">
        <v>10254</v>
      </c>
      <c r="J66" s="161" t="n">
        <v>9.2354</v>
      </c>
      <c r="K66" s="162" t="n">
        <v>16.33</v>
      </c>
      <c r="L66" s="163" t="n">
        <v>0</v>
      </c>
      <c r="M66" s="163" t="n">
        <v>0</v>
      </c>
      <c r="N66" s="161" t="n">
        <v>75.0928</v>
      </c>
      <c r="O66" s="160" t="n">
        <v>587311</v>
      </c>
      <c r="P66" s="202" t="n">
        <v>60</v>
      </c>
      <c r="Q66" s="202" t="n">
        <v>388</v>
      </c>
      <c r="R66" s="202" t="n">
        <v>328</v>
      </c>
    </row>
    <row r="67" ht="12.75" customHeight="1" s="186">
      <c r="B67" s="164" t="inlineStr">
        <is>
          <t>AP</t>
        </is>
      </c>
      <c r="C67" s="165" t="n">
        <v>2008</v>
      </c>
      <c r="D67" s="166" t="n">
        <v>10.76</v>
      </c>
      <c r="E67" s="166" t="n">
        <v>0</v>
      </c>
      <c r="F67" s="167" t="n">
        <v>0</v>
      </c>
      <c r="G67" s="168" t="n">
        <v>4.1897</v>
      </c>
      <c r="H67" s="168" t="n"/>
      <c r="I67" s="167" t="n">
        <v>11033</v>
      </c>
      <c r="J67" s="168" t="n">
        <v>9.3086</v>
      </c>
      <c r="K67" s="169" t="n">
        <v>15.19</v>
      </c>
      <c r="L67" s="170" t="n">
        <v>0</v>
      </c>
      <c r="M67" s="170" t="n">
        <v>0</v>
      </c>
      <c r="N67" s="168" t="n">
        <v>75.0928</v>
      </c>
      <c r="O67" s="167" t="n">
        <v>613166</v>
      </c>
      <c r="P67" s="202" t="n">
        <v>65</v>
      </c>
      <c r="Q67" s="202" t="n">
        <v>398</v>
      </c>
      <c r="R67" s="202" t="n">
        <v>333</v>
      </c>
    </row>
    <row r="68" ht="12.75" customHeight="1" s="186">
      <c r="B68" s="157" t="inlineStr">
        <is>
          <t>AP</t>
        </is>
      </c>
      <c r="C68" s="158" t="n">
        <v>2009</v>
      </c>
      <c r="D68" s="159" t="n">
        <v>11.01</v>
      </c>
      <c r="E68" s="159" t="n">
        <v>0</v>
      </c>
      <c r="F68" s="160" t="n">
        <v>0</v>
      </c>
      <c r="G68" s="161" t="n">
        <v>4.2341</v>
      </c>
      <c r="H68" s="161" t="n"/>
      <c r="I68" s="160" t="n">
        <v>11816</v>
      </c>
      <c r="J68" s="161" t="n">
        <v>9.3772</v>
      </c>
      <c r="K68" s="162" t="n">
        <v>13.76</v>
      </c>
      <c r="L68" s="163" t="n">
        <v>0</v>
      </c>
      <c r="M68" s="163" t="n">
        <v>0</v>
      </c>
      <c r="N68" s="161" t="n">
        <v>75.0928</v>
      </c>
      <c r="O68" s="160" t="n">
        <v>626609</v>
      </c>
      <c r="P68" s="202" t="n">
        <v>68</v>
      </c>
      <c r="Q68" s="202" t="n">
        <v>391</v>
      </c>
      <c r="R68" s="202" t="n">
        <v>323</v>
      </c>
    </row>
    <row r="69" ht="12.75" customHeight="1" s="186">
      <c r="B69" s="164" t="inlineStr">
        <is>
          <t>AP</t>
        </is>
      </c>
      <c r="C69" s="165" t="n">
        <v>2010</v>
      </c>
      <c r="D69" s="166" t="n">
        <v>15.38</v>
      </c>
      <c r="E69" s="166" t="n">
        <v>0</v>
      </c>
      <c r="F69" s="167" t="n">
        <v>0</v>
      </c>
      <c r="G69" s="168" t="n">
        <v>4.6347</v>
      </c>
      <c r="H69" s="168" t="n"/>
      <c r="I69" s="167" t="n">
        <v>12304</v>
      </c>
      <c r="J69" s="168" t="n">
        <v>9.4177</v>
      </c>
      <c r="K69" s="169" t="n">
        <v>13.98</v>
      </c>
      <c r="L69" s="170" t="n">
        <v>0</v>
      </c>
      <c r="M69" s="170" t="n">
        <v>0</v>
      </c>
      <c r="N69" s="168" t="n">
        <v>75.0928</v>
      </c>
      <c r="O69" s="167" t="n">
        <v>669526</v>
      </c>
      <c r="P69" s="202" t="n">
        <v>103</v>
      </c>
      <c r="Q69" s="202" t="n">
        <v>476</v>
      </c>
      <c r="R69" s="202" t="n">
        <v>373</v>
      </c>
    </row>
    <row r="70" ht="12.75" customHeight="1" s="186">
      <c r="B70" s="157" t="inlineStr">
        <is>
          <t>AP</t>
        </is>
      </c>
      <c r="C70" s="158" t="n">
        <v>2011</v>
      </c>
      <c r="D70" s="159" t="n">
        <v>11.4</v>
      </c>
      <c r="E70" s="159" t="n">
        <v>0.15</v>
      </c>
      <c r="F70" s="160" t="n">
        <v>1</v>
      </c>
      <c r="G70" s="161" t="n">
        <v>4.3567</v>
      </c>
      <c r="H70" s="161" t="n">
        <v>0</v>
      </c>
      <c r="I70" s="160" t="n">
        <v>13750</v>
      </c>
      <c r="J70" s="161" t="n">
        <v>9.5288</v>
      </c>
      <c r="K70" s="162" t="n">
        <v>14.21</v>
      </c>
      <c r="L70" s="163" t="n">
        <v>0</v>
      </c>
      <c r="M70" s="163" t="n">
        <v>0</v>
      </c>
      <c r="N70" s="161" t="n">
        <v>75.0928</v>
      </c>
      <c r="O70" s="160" t="n">
        <v>684309</v>
      </c>
      <c r="P70" s="202" t="n">
        <v>79</v>
      </c>
      <c r="Q70" s="202" t="n">
        <v>458</v>
      </c>
      <c r="R70" s="202" t="n">
        <v>379</v>
      </c>
    </row>
    <row r="71" ht="12.75" customHeight="1" s="186">
      <c r="B71" s="164" t="inlineStr">
        <is>
          <t>AP</t>
        </is>
      </c>
      <c r="C71" s="165" t="n">
        <v>2012</v>
      </c>
      <c r="D71" s="166" t="n">
        <v>16.6</v>
      </c>
      <c r="E71" s="166" t="n">
        <v>0.14</v>
      </c>
      <c r="F71" s="167" t="n">
        <v>2</v>
      </c>
      <c r="G71" s="168" t="n">
        <v>4.7536</v>
      </c>
      <c r="H71" s="168" t="n">
        <v>0</v>
      </c>
      <c r="I71" s="167" t="n">
        <v>15933</v>
      </c>
      <c r="J71" s="168" t="n">
        <v>9.6761</v>
      </c>
      <c r="K71" s="169" t="n">
        <v>10.91</v>
      </c>
      <c r="L71" s="170" t="n">
        <v>0</v>
      </c>
      <c r="M71" s="170" t="n">
        <v>0</v>
      </c>
      <c r="N71" s="168" t="n">
        <v>75.0928</v>
      </c>
      <c r="O71" s="167" t="n">
        <v>698602</v>
      </c>
      <c r="P71" s="202" t="n">
        <v>117</v>
      </c>
      <c r="Q71" s="202" t="n">
        <v>502</v>
      </c>
      <c r="R71" s="202" t="n">
        <v>385</v>
      </c>
    </row>
    <row r="72" ht="12.75" customHeight="1" s="186">
      <c r="B72" s="157" t="inlineStr">
        <is>
          <t>AP</t>
        </is>
      </c>
      <c r="C72" s="158" t="n">
        <v>2013</v>
      </c>
      <c r="D72" s="159" t="n">
        <v>13.47</v>
      </c>
      <c r="E72" s="159" t="n">
        <v>0.14</v>
      </c>
      <c r="F72" s="160" t="n">
        <v>3</v>
      </c>
      <c r="G72" s="161" t="n">
        <v>4.5951</v>
      </c>
      <c r="H72" s="161" t="n">
        <v>0</v>
      </c>
      <c r="I72" s="160" t="n">
        <v>17365</v>
      </c>
      <c r="J72" s="161" t="n">
        <v>9.7622</v>
      </c>
      <c r="K72" s="162" t="n">
        <v>13.1</v>
      </c>
      <c r="L72" s="163" t="n">
        <v>0</v>
      </c>
      <c r="M72" s="163" t="n">
        <v>0</v>
      </c>
      <c r="N72" s="161" t="n">
        <v>75.0928</v>
      </c>
      <c r="O72" s="160" t="n">
        <v>734996</v>
      </c>
      <c r="P72" s="202" t="n">
        <v>103</v>
      </c>
      <c r="Q72" s="202" t="n">
        <v>510</v>
      </c>
      <c r="R72" s="202" t="n">
        <v>407</v>
      </c>
    </row>
    <row r="73" ht="12.75" customHeight="1" s="186">
      <c r="B73" s="164" t="inlineStr">
        <is>
          <t>AP</t>
        </is>
      </c>
      <c r="C73" s="165" t="n">
        <v>2014</v>
      </c>
      <c r="D73" s="166" t="n">
        <v>19.71</v>
      </c>
      <c r="E73" s="166" t="n">
        <v>0</v>
      </c>
      <c r="F73" s="167" t="n">
        <v>3</v>
      </c>
      <c r="G73" s="168" t="n">
        <v>4.9972</v>
      </c>
      <c r="H73" s="168" t="n"/>
      <c r="I73" s="167" t="n">
        <v>17845</v>
      </c>
      <c r="J73" s="168" t="n">
        <v>9.7895</v>
      </c>
      <c r="K73" s="169" t="n">
        <v>10.33</v>
      </c>
      <c r="L73" s="170" t="n">
        <v>0</v>
      </c>
      <c r="M73" s="170" t="n">
        <v>0</v>
      </c>
      <c r="N73" s="168" t="n">
        <v>75.0928</v>
      </c>
      <c r="O73" s="167" t="n">
        <v>750912</v>
      </c>
      <c r="P73" s="202" t="n">
        <v>152</v>
      </c>
      <c r="Q73" s="202" t="n">
        <v>514</v>
      </c>
      <c r="R73" s="202" t="n">
        <v>362</v>
      </c>
    </row>
    <row r="74" ht="12.75" customHeight="1" s="186">
      <c r="B74" s="157" t="inlineStr">
        <is>
          <t>AP</t>
        </is>
      </c>
      <c r="C74" s="158" t="n">
        <v>2015</v>
      </c>
      <c r="D74" s="159" t="n">
        <v>19.83</v>
      </c>
      <c r="E74" s="159" t="n">
        <v>0.13</v>
      </c>
      <c r="F74" s="160" t="n">
        <v>4</v>
      </c>
      <c r="G74" s="161" t="n">
        <v>5.0239</v>
      </c>
      <c r="H74" s="161" t="n">
        <v>0</v>
      </c>
      <c r="I74" s="160" t="n">
        <v>18080</v>
      </c>
      <c r="J74" s="161" t="n">
        <v>9.8026</v>
      </c>
      <c r="K74" s="162" t="n">
        <v>11.2</v>
      </c>
      <c r="L74" s="163" t="n">
        <v>0</v>
      </c>
      <c r="M74" s="163" t="n">
        <v>0</v>
      </c>
      <c r="N74" s="161" t="n">
        <v>75.0928</v>
      </c>
      <c r="O74" s="160" t="n">
        <v>766679</v>
      </c>
      <c r="P74" s="202" t="n">
        <v>154</v>
      </c>
      <c r="Q74" s="202" t="n">
        <v>526</v>
      </c>
      <c r="R74" s="202" t="n">
        <v>372</v>
      </c>
    </row>
    <row r="75" ht="12.75" customHeight="1" s="186">
      <c r="B75" s="171" t="inlineStr">
        <is>
          <t>AP</t>
        </is>
      </c>
      <c r="C75" s="172" t="n">
        <v>2016</v>
      </c>
      <c r="D75" s="173" t="n">
        <v>27.61</v>
      </c>
      <c r="E75" s="173" t="n">
        <v>0</v>
      </c>
      <c r="F75" s="174" t="n">
        <v>4</v>
      </c>
      <c r="G75" s="175" t="n">
        <v>5.3753</v>
      </c>
      <c r="H75" s="175" t="n"/>
      <c r="I75" s="174" t="n">
        <v>18333</v>
      </c>
      <c r="J75" s="175" t="n">
        <v>9.8165</v>
      </c>
      <c r="K75" s="176" t="n">
        <v>15.8</v>
      </c>
      <c r="L75" s="177" t="n">
        <v>0</v>
      </c>
      <c r="M75" s="177" t="n">
        <v>0</v>
      </c>
      <c r="N75" s="175" t="n">
        <v>75.0928</v>
      </c>
      <c r="O75" s="174" t="n">
        <v>782295</v>
      </c>
      <c r="P75" s="202" t="n">
        <v>221</v>
      </c>
      <c r="Q75" s="202" t="n">
        <v>577</v>
      </c>
      <c r="R75" s="202" t="n">
        <v>356</v>
      </c>
    </row>
    <row r="76" ht="12.75" customHeight="1" s="186">
      <c r="B76" s="178" t="inlineStr">
        <is>
          <t>AP</t>
        </is>
      </c>
      <c r="C76" s="179" t="n">
        <v>2017</v>
      </c>
      <c r="D76" s="180" t="n">
        <v>22.31</v>
      </c>
      <c r="E76" s="180" t="n">
        <v>2.76</v>
      </c>
      <c r="F76" s="181" t="n">
        <v>26</v>
      </c>
      <c r="G76" s="182" t="n">
        <v>5.1818</v>
      </c>
      <c r="H76" s="182" t="n">
        <v>3.091</v>
      </c>
      <c r="I76" s="181" t="n">
        <v>19408</v>
      </c>
      <c r="J76" s="182" t="n">
        <v>9.8734</v>
      </c>
      <c r="K76" s="183" t="n">
        <v>18.1</v>
      </c>
      <c r="L76" s="184" t="n">
        <v>0</v>
      </c>
      <c r="M76" s="184" t="n">
        <v>0</v>
      </c>
      <c r="N76" s="182" t="n">
        <v>75.0928</v>
      </c>
      <c r="O76" s="181" t="n">
        <v>797722</v>
      </c>
      <c r="P76" s="202" t="n">
        <v>176</v>
      </c>
      <c r="Q76" s="202" t="n">
        <v>592</v>
      </c>
      <c r="R76" s="202" t="n">
        <v>416</v>
      </c>
    </row>
    <row r="77" ht="12.75" customHeight="1" s="186">
      <c r="B77" s="171" t="inlineStr">
        <is>
          <t>AP</t>
        </is>
      </c>
      <c r="C77" s="172" t="n">
        <v>2018</v>
      </c>
      <c r="D77" s="173" t="n">
        <v>28.81</v>
      </c>
      <c r="E77" s="173" t="n">
        <v>2.53</v>
      </c>
      <c r="F77" s="174" t="n">
        <v>47</v>
      </c>
      <c r="G77" s="175" t="n">
        <v>5.4765</v>
      </c>
      <c r="H77" s="175" t="n">
        <v>3.0445</v>
      </c>
      <c r="I77" s="174" t="n">
        <v>20248</v>
      </c>
      <c r="J77" s="175" t="n">
        <v>9.915800000000001</v>
      </c>
      <c r="K77" s="176" t="n">
        <v>20.4</v>
      </c>
      <c r="L77" s="177" t="n">
        <v>0</v>
      </c>
      <c r="M77" s="177" t="n">
        <v>0</v>
      </c>
      <c r="N77" s="175" t="n">
        <v>75.0928</v>
      </c>
      <c r="O77" s="174" t="n">
        <v>829494</v>
      </c>
      <c r="P77" s="202" t="n">
        <v>241</v>
      </c>
      <c r="Q77" s="202" t="n">
        <v>623</v>
      </c>
      <c r="R77" s="202" t="n">
        <v>382</v>
      </c>
    </row>
    <row r="78" ht="12.75" customHeight="1" s="186">
      <c r="B78" s="178" t="inlineStr">
        <is>
          <t>AP</t>
        </is>
      </c>
      <c r="C78" s="179" t="n">
        <v>2019</v>
      </c>
      <c r="D78" s="180" t="n">
        <v>27.43</v>
      </c>
      <c r="E78" s="180" t="n">
        <v>13.12</v>
      </c>
      <c r="F78" s="181" t="n">
        <v>158</v>
      </c>
      <c r="G78" s="182" t="n">
        <v>5.4467</v>
      </c>
      <c r="H78" s="182" t="n">
        <v>4.7095</v>
      </c>
      <c r="I78" s="181" t="n">
        <v>20688</v>
      </c>
      <c r="J78" s="182" t="n">
        <v>9.9373</v>
      </c>
      <c r="K78" s="183" t="n">
        <v>17.6</v>
      </c>
      <c r="L78" s="184" t="n">
        <v>0</v>
      </c>
      <c r="M78" s="184" t="n">
        <v>0</v>
      </c>
      <c r="N78" s="182" t="n">
        <v>75.0928</v>
      </c>
      <c r="O78" s="181" t="n">
        <v>845731</v>
      </c>
      <c r="P78" s="202" t="n">
        <v>226</v>
      </c>
      <c r="Q78" s="202" t="n">
        <v>590</v>
      </c>
      <c r="R78" s="202" t="n">
        <v>364</v>
      </c>
    </row>
    <row r="79" ht="12.75" customHeight="1" s="186">
      <c r="B79" s="171" t="inlineStr">
        <is>
          <t>AP</t>
        </is>
      </c>
      <c r="C79" s="172" t="n">
        <v>2020</v>
      </c>
      <c r="D79" s="173" t="n">
        <v>25.76</v>
      </c>
      <c r="E79" s="173" t="n">
        <v>26.23</v>
      </c>
      <c r="F79" s="174" t="n">
        <v>384</v>
      </c>
      <c r="G79" s="175" t="n">
        <v>5.4027</v>
      </c>
      <c r="H79" s="175" t="n">
        <v>5.4205</v>
      </c>
      <c r="I79" s="174" t="n">
        <v>21432</v>
      </c>
      <c r="J79" s="175" t="n">
        <v>9.9726</v>
      </c>
      <c r="K79" s="176" t="n">
        <v>15</v>
      </c>
      <c r="L79" s="177" t="n">
        <v>0</v>
      </c>
      <c r="M79" s="177" t="n">
        <v>1</v>
      </c>
      <c r="N79" s="175" t="n">
        <v>75.0928</v>
      </c>
      <c r="O79" s="174" t="n">
        <v>861773</v>
      </c>
      <c r="P79" s="202" t="n">
        <v>222</v>
      </c>
      <c r="Q79" s="202" t="n">
        <v>631</v>
      </c>
      <c r="R79" s="202" t="n">
        <v>409</v>
      </c>
    </row>
    <row r="80" ht="12.75" customHeight="1" s="186">
      <c r="B80" s="178" t="inlineStr">
        <is>
          <t>AP</t>
        </is>
      </c>
      <c r="C80" s="179" t="n">
        <v>2021</v>
      </c>
      <c r="D80" s="180" t="n">
        <v>35.44</v>
      </c>
      <c r="E80" s="180" t="n">
        <v>40.45</v>
      </c>
      <c r="F80" s="181" t="n">
        <v>739</v>
      </c>
      <c r="G80" s="182" t="n">
        <v>5.7398</v>
      </c>
      <c r="H80" s="182" t="n">
        <v>5.8721</v>
      </c>
      <c r="I80" s="181" t="n">
        <v>22903</v>
      </c>
      <c r="J80" s="182" t="n">
        <v>10.039</v>
      </c>
      <c r="K80" s="183" t="n">
        <v>16.6</v>
      </c>
      <c r="L80" s="184" t="n">
        <v>0</v>
      </c>
      <c r="M80" s="184" t="n">
        <v>1</v>
      </c>
      <c r="N80" s="182" t="n">
        <v>75.0928</v>
      </c>
      <c r="O80" s="181" t="n">
        <v>877613</v>
      </c>
      <c r="P80" s="202" t="n">
        <v>313</v>
      </c>
      <c r="Q80" s="202" t="n">
        <v>738</v>
      </c>
      <c r="R80" s="202" t="n">
        <v>425</v>
      </c>
    </row>
    <row r="81" ht="12.75" customHeight="1" s="186">
      <c r="B81" s="171" t="inlineStr">
        <is>
          <t>AP</t>
        </is>
      </c>
      <c r="C81" s="172" t="n">
        <v>2022</v>
      </c>
      <c r="D81" s="173" t="n">
        <v>32.03</v>
      </c>
      <c r="E81" s="173" t="n">
        <v>75.09</v>
      </c>
      <c r="F81" s="174" t="n">
        <v>1290</v>
      </c>
      <c r="G81" s="175" t="n">
        <v>5.4596</v>
      </c>
      <c r="H81" s="175" t="n">
        <v>6.3117</v>
      </c>
      <c r="I81" s="174" t="n">
        <v>32183</v>
      </c>
      <c r="J81" s="175" t="n">
        <v>10.3792</v>
      </c>
      <c r="K81" s="176" t="n">
        <v>12.5</v>
      </c>
      <c r="L81" s="177" t="n">
        <v>0</v>
      </c>
      <c r="M81" s="177" t="n">
        <v>0</v>
      </c>
      <c r="N81" s="175" t="n">
        <v>75.0928</v>
      </c>
      <c r="O81" s="174" t="n">
        <v>733759</v>
      </c>
      <c r="P81" s="202" t="n">
        <v>238</v>
      </c>
      <c r="Q81" s="202" t="n">
        <v>636</v>
      </c>
      <c r="R81" s="202" t="n">
        <v>398</v>
      </c>
    </row>
    <row r="82" ht="12.75" customHeight="1" s="186">
      <c r="B82" s="178" t="inlineStr">
        <is>
          <t>AP</t>
        </is>
      </c>
      <c r="C82" s="179" t="n">
        <v>2023</v>
      </c>
      <c r="D82" s="180" t="n">
        <v>41.29</v>
      </c>
      <c r="E82" s="180" t="n">
        <v>5.59</v>
      </c>
      <c r="F82" s="181" t="n">
        <v>1331</v>
      </c>
      <c r="G82" s="182" t="n">
        <v>5.7137</v>
      </c>
      <c r="H82" s="182" t="n">
        <v>3.7136</v>
      </c>
      <c r="I82" s="181" t="n">
        <v>38187</v>
      </c>
      <c r="J82" s="182" t="n">
        <v>10.5503</v>
      </c>
      <c r="K82" s="183" t="n">
        <v>12.8</v>
      </c>
      <c r="L82" s="184" t="n">
        <v>1</v>
      </c>
      <c r="M82" s="184" t="n">
        <v>0</v>
      </c>
      <c r="N82" s="182" t="n">
        <v>75.0928</v>
      </c>
      <c r="O82" s="181" t="n">
        <v>733759</v>
      </c>
      <c r="P82" s="202" t="n">
        <v>303</v>
      </c>
      <c r="Q82" s="202" t="n">
        <v>778</v>
      </c>
      <c r="R82" s="202" t="n">
        <v>475</v>
      </c>
    </row>
    <row r="83" ht="12.75" customHeight="1" s="186">
      <c r="B83" s="171" t="inlineStr">
        <is>
          <t>AP</t>
        </is>
      </c>
      <c r="C83" s="172" t="n">
        <v>2024</v>
      </c>
      <c r="D83" s="173" t="n">
        <v>24.41</v>
      </c>
      <c r="E83" s="173" t="n">
        <v>8.220000000000001</v>
      </c>
      <c r="F83" s="174" t="n">
        <v>1397</v>
      </c>
      <c r="G83" s="175" t="n">
        <v>5.2781</v>
      </c>
      <c r="H83" s="175" t="n">
        <v>4.1897</v>
      </c>
      <c r="I83" s="174" t="n">
        <v>39592</v>
      </c>
      <c r="J83" s="175" t="n">
        <v>10.5864</v>
      </c>
      <c r="K83" s="176" t="n">
        <v>9.300000000000001</v>
      </c>
      <c r="L83" s="177" t="n">
        <v>1</v>
      </c>
      <c r="M83" s="177" t="n">
        <v>0</v>
      </c>
      <c r="N83" s="175" t="n">
        <v>75.0928</v>
      </c>
      <c r="O83" s="174" t="n">
        <v>802837</v>
      </c>
      <c r="P83" s="202" t="n">
        <v>197</v>
      </c>
      <c r="Q83" s="202" t="n">
        <v>635</v>
      </c>
      <c r="R83" s="202" t="n">
        <v>438</v>
      </c>
    </row>
    <row r="84" ht="12.75" customHeight="1" s="186">
      <c r="B84" s="157" t="inlineStr">
        <is>
          <t>BA</t>
        </is>
      </c>
      <c r="C84" s="158" t="n">
        <v>2005</v>
      </c>
      <c r="D84" s="159" t="n">
        <v>14.68</v>
      </c>
      <c r="E84" s="159" t="n">
        <v>0.04</v>
      </c>
      <c r="F84" s="160" t="n">
        <v>6</v>
      </c>
      <c r="G84" s="161" t="n">
        <v>7.6148</v>
      </c>
      <c r="H84" s="161" t="n">
        <v>1.7918</v>
      </c>
      <c r="I84" s="160" t="n">
        <v>6581</v>
      </c>
      <c r="J84" s="161" t="n">
        <v>8.7919</v>
      </c>
      <c r="K84" s="162" t="n">
        <v>11.07</v>
      </c>
      <c r="L84" s="163" t="n">
        <v>0</v>
      </c>
      <c r="M84" s="163" t="n">
        <v>0</v>
      </c>
      <c r="N84" s="161" t="n">
        <v>83.59010000000001</v>
      </c>
      <c r="O84" s="160" t="n">
        <v>13815334</v>
      </c>
      <c r="P84" s="202" t="n">
        <v>1966</v>
      </c>
      <c r="Q84" s="202" t="n">
        <v>6922</v>
      </c>
      <c r="R84" s="202" t="n">
        <v>4956</v>
      </c>
    </row>
    <row r="85" ht="12.75" customHeight="1" s="186">
      <c r="B85" s="164" t="inlineStr">
        <is>
          <t>BA</t>
        </is>
      </c>
      <c r="C85" s="165" t="n">
        <v>2006</v>
      </c>
      <c r="D85" s="166" t="n">
        <v>17.18</v>
      </c>
      <c r="E85" s="166" t="n">
        <v>0.08</v>
      </c>
      <c r="F85" s="167" t="n">
        <v>17</v>
      </c>
      <c r="G85" s="168" t="n">
        <v>7.7816</v>
      </c>
      <c r="H85" s="168" t="n">
        <v>2.3979</v>
      </c>
      <c r="I85" s="167" t="n">
        <v>6919</v>
      </c>
      <c r="J85" s="168" t="n">
        <v>8.842000000000001</v>
      </c>
      <c r="K85" s="169" t="n">
        <v>10.25</v>
      </c>
      <c r="L85" s="170" t="n">
        <v>0</v>
      </c>
      <c r="M85" s="170" t="n">
        <v>0</v>
      </c>
      <c r="N85" s="168" t="n">
        <v>83.59010000000001</v>
      </c>
      <c r="O85" s="167" t="n">
        <v>13950146</v>
      </c>
      <c r="P85" s="202" t="n">
        <v>2326</v>
      </c>
      <c r="Q85" s="202" t="n">
        <v>7535</v>
      </c>
      <c r="R85" s="202" t="n">
        <v>5209</v>
      </c>
    </row>
    <row r="86" ht="12.75" customHeight="1" s="186">
      <c r="B86" s="157" t="inlineStr">
        <is>
          <t>BA</t>
        </is>
      </c>
      <c r="C86" s="158" t="n">
        <v>2007</v>
      </c>
      <c r="D86" s="159" t="n">
        <v>19.12</v>
      </c>
      <c r="E86" s="159" t="n">
        <v>0.11</v>
      </c>
      <c r="F86" s="160" t="n">
        <v>33</v>
      </c>
      <c r="G86" s="161" t="n">
        <v>7.898</v>
      </c>
      <c r="H86" s="161" t="n">
        <v>2.7726</v>
      </c>
      <c r="I86" s="160" t="n">
        <v>7787</v>
      </c>
      <c r="J86" s="161" t="n">
        <v>8.9602</v>
      </c>
      <c r="K86" s="162" t="n">
        <v>10.34</v>
      </c>
      <c r="L86" s="163" t="n">
        <v>0</v>
      </c>
      <c r="M86" s="163" t="n">
        <v>0</v>
      </c>
      <c r="N86" s="161" t="n">
        <v>83.59010000000001</v>
      </c>
      <c r="O86" s="160" t="n">
        <v>14080670</v>
      </c>
      <c r="P86" s="202" t="n">
        <v>2621</v>
      </c>
      <c r="Q86" s="202" t="n">
        <v>8499</v>
      </c>
      <c r="R86" s="202" t="n">
        <v>5878</v>
      </c>
    </row>
    <row r="87" ht="12.75" customHeight="1" s="186">
      <c r="B87" s="164" t="inlineStr">
        <is>
          <t>BA</t>
        </is>
      </c>
      <c r="C87" s="165" t="n">
        <v>2008</v>
      </c>
      <c r="D87" s="166" t="n">
        <v>26.35</v>
      </c>
      <c r="E87" s="166" t="n">
        <v>0.22</v>
      </c>
      <c r="F87" s="167" t="n">
        <v>65</v>
      </c>
      <c r="G87" s="168" t="n">
        <v>8.2485</v>
      </c>
      <c r="H87" s="168" t="n">
        <v>3.4657</v>
      </c>
      <c r="I87" s="167" t="n">
        <v>8378</v>
      </c>
      <c r="J87" s="168" t="n">
        <v>9.0334</v>
      </c>
      <c r="K87" s="169" t="n">
        <v>10.53</v>
      </c>
      <c r="L87" s="170" t="n">
        <v>0</v>
      </c>
      <c r="M87" s="170" t="n">
        <v>0</v>
      </c>
      <c r="N87" s="168" t="n">
        <v>83.59010000000001</v>
      </c>
      <c r="O87" s="167" t="n">
        <v>14502563</v>
      </c>
      <c r="P87" s="202" t="n">
        <v>3688</v>
      </c>
      <c r="Q87" s="202" t="n">
        <v>9605</v>
      </c>
      <c r="R87" s="202" t="n">
        <v>5917</v>
      </c>
    </row>
    <row r="88" ht="12.75" customHeight="1" s="186">
      <c r="B88" s="157" t="inlineStr">
        <is>
          <t>BA</t>
        </is>
      </c>
      <c r="C88" s="158" t="n">
        <v>2009</v>
      </c>
      <c r="D88" s="159" t="n">
        <v>29.83</v>
      </c>
      <c r="E88" s="159" t="n">
        <v>0.4</v>
      </c>
      <c r="F88" s="160" t="n">
        <v>123</v>
      </c>
      <c r="G88" s="161" t="n">
        <v>8.3818</v>
      </c>
      <c r="H88" s="161" t="n">
        <v>4.0604</v>
      </c>
      <c r="I88" s="160" t="n">
        <v>9365</v>
      </c>
      <c r="J88" s="161" t="n">
        <v>9.1447</v>
      </c>
      <c r="K88" s="162" t="n">
        <v>10.67</v>
      </c>
      <c r="L88" s="163" t="n">
        <v>0</v>
      </c>
      <c r="M88" s="163" t="n">
        <v>0</v>
      </c>
      <c r="N88" s="161" t="n">
        <v>83.59010000000001</v>
      </c>
      <c r="O88" s="160" t="n">
        <v>14637364</v>
      </c>
      <c r="P88" s="202" t="n">
        <v>4217</v>
      </c>
      <c r="Q88" s="202" t="n">
        <v>10399</v>
      </c>
      <c r="R88" s="202" t="n">
        <v>6182</v>
      </c>
    </row>
    <row r="89" ht="12.75" customHeight="1" s="186">
      <c r="B89" s="164" t="inlineStr">
        <is>
          <t>BA</t>
        </is>
      </c>
      <c r="C89" s="165" t="n">
        <v>2010</v>
      </c>
      <c r="D89" s="166" t="n">
        <v>31.74</v>
      </c>
      <c r="E89" s="166" t="n">
        <v>0.44</v>
      </c>
      <c r="F89" s="167" t="n">
        <v>185</v>
      </c>
      <c r="G89" s="168" t="n">
        <v>8.400399999999999</v>
      </c>
      <c r="H89" s="168" t="n">
        <v>4.1271</v>
      </c>
      <c r="I89" s="167" t="n">
        <v>11017</v>
      </c>
      <c r="J89" s="168" t="n">
        <v>9.3072</v>
      </c>
      <c r="K89" s="169" t="n">
        <v>10.59</v>
      </c>
      <c r="L89" s="170" t="n">
        <v>0</v>
      </c>
      <c r="M89" s="170" t="n">
        <v>0</v>
      </c>
      <c r="N89" s="168" t="n">
        <v>83.59010000000001</v>
      </c>
      <c r="O89" s="167" t="n">
        <v>14016906</v>
      </c>
      <c r="P89" s="202" t="n">
        <v>4332</v>
      </c>
      <c r="Q89" s="202" t="n">
        <v>11033</v>
      </c>
      <c r="R89" s="202" t="n">
        <v>6701</v>
      </c>
    </row>
    <row r="90" ht="12.75" customHeight="1" s="186">
      <c r="B90" s="157" t="inlineStr">
        <is>
          <t>BA</t>
        </is>
      </c>
      <c r="C90" s="158" t="n">
        <v>2011</v>
      </c>
      <c r="D90" s="159" t="n">
        <v>29.54</v>
      </c>
      <c r="E90" s="159" t="n">
        <v>1.09</v>
      </c>
      <c r="F90" s="160" t="n">
        <v>338</v>
      </c>
      <c r="G90" s="161" t="n">
        <v>8.3345</v>
      </c>
      <c r="H90" s="161" t="n">
        <v>5.0304</v>
      </c>
      <c r="I90" s="160" t="n">
        <v>11818</v>
      </c>
      <c r="J90" s="161" t="n">
        <v>9.3774</v>
      </c>
      <c r="K90" s="162" t="n">
        <v>10.51</v>
      </c>
      <c r="L90" s="163" t="n">
        <v>0</v>
      </c>
      <c r="M90" s="163" t="n">
        <v>0</v>
      </c>
      <c r="N90" s="161" t="n">
        <v>83.59010000000001</v>
      </c>
      <c r="O90" s="160" t="n">
        <v>14097534</v>
      </c>
      <c r="P90" s="202" t="n">
        <v>4049</v>
      </c>
      <c r="Q90" s="202" t="n">
        <v>10772</v>
      </c>
      <c r="R90" s="202" t="n">
        <v>6723</v>
      </c>
    </row>
    <row r="91" ht="12.75" customHeight="1" s="186">
      <c r="B91" s="164" t="inlineStr">
        <is>
          <t>BA</t>
        </is>
      </c>
      <c r="C91" s="165" t="n">
        <v>2012</v>
      </c>
      <c r="D91" s="166" t="n">
        <v>32.45</v>
      </c>
      <c r="E91" s="166" t="n">
        <v>1.1</v>
      </c>
      <c r="F91" s="167" t="n">
        <v>494</v>
      </c>
      <c r="G91" s="168" t="n">
        <v>8.4338</v>
      </c>
      <c r="H91" s="168" t="n">
        <v>5.0499</v>
      </c>
      <c r="I91" s="167" t="n">
        <v>12880</v>
      </c>
      <c r="J91" s="168" t="n">
        <v>9.4634</v>
      </c>
      <c r="K91" s="169" t="n">
        <v>10.18</v>
      </c>
      <c r="L91" s="170" t="n">
        <v>0</v>
      </c>
      <c r="M91" s="170" t="n">
        <v>0</v>
      </c>
      <c r="N91" s="168" t="n">
        <v>83.59010000000001</v>
      </c>
      <c r="O91" s="167" t="n">
        <v>14175341</v>
      </c>
      <c r="P91" s="202" t="n">
        <v>4500</v>
      </c>
      <c r="Q91" s="202" t="n">
        <v>12044</v>
      </c>
      <c r="R91" s="202" t="n">
        <v>7544</v>
      </c>
    </row>
    <row r="92" ht="12.75" customHeight="1" s="186">
      <c r="B92" s="157" t="inlineStr">
        <is>
          <t>BA</t>
        </is>
      </c>
      <c r="C92" s="158" t="n">
        <v>2013</v>
      </c>
      <c r="D92" s="159" t="n">
        <v>28.51</v>
      </c>
      <c r="E92" s="159" t="n">
        <v>0.58</v>
      </c>
      <c r="F92" s="160" t="n">
        <v>582</v>
      </c>
      <c r="G92" s="161" t="n">
        <v>8.363799999999999</v>
      </c>
      <c r="H92" s="161" t="n">
        <v>4.4773</v>
      </c>
      <c r="I92" s="160" t="n">
        <v>13616</v>
      </c>
      <c r="J92" s="161" t="n">
        <v>9.519</v>
      </c>
      <c r="K92" s="162" t="n">
        <v>9.869999999999999</v>
      </c>
      <c r="L92" s="163" t="n">
        <v>0</v>
      </c>
      <c r="M92" s="163" t="n">
        <v>0</v>
      </c>
      <c r="N92" s="161" t="n">
        <v>83.59010000000001</v>
      </c>
      <c r="O92" s="160" t="n">
        <v>15044137</v>
      </c>
      <c r="P92" s="202" t="n">
        <v>4211</v>
      </c>
      <c r="Q92" s="202" t="n">
        <v>11286</v>
      </c>
      <c r="R92" s="202" t="n">
        <v>7075</v>
      </c>
    </row>
    <row r="93" ht="12.75" customHeight="1" s="186">
      <c r="B93" s="164" t="inlineStr">
        <is>
          <t>BA</t>
        </is>
      </c>
      <c r="C93" s="165" t="n">
        <v>2014</v>
      </c>
      <c r="D93" s="166" t="n">
        <v>30.75</v>
      </c>
      <c r="E93" s="166" t="n">
        <v>0.17</v>
      </c>
      <c r="F93" s="167" t="n">
        <v>608</v>
      </c>
      <c r="G93" s="168" t="n">
        <v>8.4451</v>
      </c>
      <c r="H93" s="168" t="n">
        <v>3.2581</v>
      </c>
      <c r="I93" s="167" t="n">
        <v>14804</v>
      </c>
      <c r="J93" s="168" t="n">
        <v>9.6027</v>
      </c>
      <c r="K93" s="169" t="n">
        <v>9.98</v>
      </c>
      <c r="L93" s="170" t="n">
        <v>0</v>
      </c>
      <c r="M93" s="170" t="n">
        <v>0</v>
      </c>
      <c r="N93" s="168" t="n">
        <v>83.59010000000001</v>
      </c>
      <c r="O93" s="167" t="n">
        <v>15126371</v>
      </c>
      <c r="P93" s="202" t="n">
        <v>4603</v>
      </c>
      <c r="Q93" s="202" t="n">
        <v>11847</v>
      </c>
      <c r="R93" s="202" t="n">
        <v>7244</v>
      </c>
    </row>
    <row r="94" ht="12.75" customHeight="1" s="186">
      <c r="B94" s="157" t="inlineStr">
        <is>
          <t>BA</t>
        </is>
      </c>
      <c r="C94" s="158" t="n">
        <v>2015</v>
      </c>
      <c r="D94" s="159" t="n">
        <v>29.95</v>
      </c>
      <c r="E94" s="159" t="n">
        <v>0.97</v>
      </c>
      <c r="F94" s="160" t="n">
        <v>756</v>
      </c>
      <c r="G94" s="161" t="n">
        <v>8.423500000000001</v>
      </c>
      <c r="H94" s="161" t="n">
        <v>4.9972</v>
      </c>
      <c r="I94" s="160" t="n">
        <v>16118</v>
      </c>
      <c r="J94" s="161" t="n">
        <v>9.6877</v>
      </c>
      <c r="K94" s="162" t="n">
        <v>12.4</v>
      </c>
      <c r="L94" s="163" t="n">
        <v>0</v>
      </c>
      <c r="M94" s="163" t="n">
        <v>0</v>
      </c>
      <c r="N94" s="161" t="n">
        <v>83.59010000000001</v>
      </c>
      <c r="O94" s="160" t="n">
        <v>15203334</v>
      </c>
      <c r="P94" s="202" t="n">
        <v>4499</v>
      </c>
      <c r="Q94" s="202" t="n">
        <v>11585</v>
      </c>
      <c r="R94" s="202" t="n">
        <v>7086</v>
      </c>
    </row>
    <row r="95" ht="12.75" customHeight="1" s="186">
      <c r="B95" s="171" t="inlineStr">
        <is>
          <t>BA</t>
        </is>
      </c>
      <c r="C95" s="172" t="n">
        <v>2016</v>
      </c>
      <c r="D95" s="173" t="n">
        <v>35.62</v>
      </c>
      <c r="E95" s="173" t="n">
        <v>1.6</v>
      </c>
      <c r="F95" s="174" t="n">
        <v>1001</v>
      </c>
      <c r="G95" s="175" t="n">
        <v>8.601900000000001</v>
      </c>
      <c r="H95" s="175" t="n">
        <v>5.5013</v>
      </c>
      <c r="I95" s="174" t="n">
        <v>16937</v>
      </c>
      <c r="J95" s="175" t="n">
        <v>9.737299999999999</v>
      </c>
      <c r="K95" s="176" t="n">
        <v>16</v>
      </c>
      <c r="L95" s="177" t="n">
        <v>0</v>
      </c>
      <c r="M95" s="177" t="n">
        <v>0</v>
      </c>
      <c r="N95" s="175" t="n">
        <v>83.59010000000001</v>
      </c>
      <c r="O95" s="174" t="n">
        <v>15276566</v>
      </c>
      <c r="P95" s="202" t="n">
        <v>5389</v>
      </c>
      <c r="Q95" s="202" t="n">
        <v>12541</v>
      </c>
      <c r="R95" s="202" t="n">
        <v>7152</v>
      </c>
    </row>
    <row r="96" ht="12.75" customHeight="1" s="186">
      <c r="B96" s="178" t="inlineStr">
        <is>
          <t>BA</t>
        </is>
      </c>
      <c r="C96" s="179" t="n">
        <v>2017</v>
      </c>
      <c r="D96" s="180" t="n">
        <v>35.3</v>
      </c>
      <c r="E96" s="180" t="n">
        <v>2.97</v>
      </c>
      <c r="F96" s="181" t="n">
        <v>1456</v>
      </c>
      <c r="G96" s="182" t="n">
        <v>8.597099999999999</v>
      </c>
      <c r="H96" s="182" t="n">
        <v>6.1203</v>
      </c>
      <c r="I96" s="181" t="n">
        <v>17513</v>
      </c>
      <c r="J96" s="182" t="n">
        <v>9.7707</v>
      </c>
      <c r="K96" s="183" t="n">
        <v>17.1</v>
      </c>
      <c r="L96" s="184" t="n">
        <v>0</v>
      </c>
      <c r="M96" s="184" t="n">
        <v>0</v>
      </c>
      <c r="N96" s="182" t="n">
        <v>83.59010000000001</v>
      </c>
      <c r="O96" s="181" t="n">
        <v>15344447</v>
      </c>
      <c r="P96" s="202" t="n">
        <v>5364</v>
      </c>
      <c r="Q96" s="202" t="n">
        <v>12483</v>
      </c>
      <c r="R96" s="202" t="n">
        <v>7119</v>
      </c>
    </row>
    <row r="97" ht="12.75" customHeight="1" s="186">
      <c r="B97" s="171" t="inlineStr">
        <is>
          <t>BA</t>
        </is>
      </c>
      <c r="C97" s="172" t="n">
        <v>2018</v>
      </c>
      <c r="D97" s="173" t="n">
        <v>33.47</v>
      </c>
      <c r="E97" s="173" t="n">
        <v>5.33</v>
      </c>
      <c r="F97" s="174" t="n">
        <v>2246</v>
      </c>
      <c r="G97" s="175" t="n">
        <v>8.508800000000001</v>
      </c>
      <c r="H97" s="175" t="n">
        <v>6.672</v>
      </c>
      <c r="I97" s="174" t="n">
        <v>19324</v>
      </c>
      <c r="J97" s="175" t="n">
        <v>9.8691</v>
      </c>
      <c r="K97" s="176" t="n">
        <v>17.2</v>
      </c>
      <c r="L97" s="177" t="n">
        <v>0</v>
      </c>
      <c r="M97" s="177" t="n">
        <v>0</v>
      </c>
      <c r="N97" s="175" t="n">
        <v>83.59010000000001</v>
      </c>
      <c r="O97" s="174" t="n">
        <v>14812617</v>
      </c>
      <c r="P97" s="202" t="n">
        <v>4914</v>
      </c>
      <c r="Q97" s="202" t="n">
        <v>11850</v>
      </c>
      <c r="R97" s="202" t="n">
        <v>6936</v>
      </c>
    </row>
    <row r="98" ht="12.75" customHeight="1" s="186">
      <c r="B98" s="178" t="inlineStr">
        <is>
          <t>BA</t>
        </is>
      </c>
      <c r="C98" s="179" t="n">
        <v>2019</v>
      </c>
      <c r="D98" s="180" t="n">
        <v>30.83</v>
      </c>
      <c r="E98" s="180" t="n">
        <v>19.63</v>
      </c>
      <c r="F98" s="181" t="n">
        <v>5166</v>
      </c>
      <c r="G98" s="182" t="n">
        <v>8.4308</v>
      </c>
      <c r="H98" s="182" t="n">
        <v>7.9793</v>
      </c>
      <c r="I98" s="181" t="n">
        <v>19716</v>
      </c>
      <c r="J98" s="182" t="n">
        <v>9.889200000000001</v>
      </c>
      <c r="K98" s="183" t="n">
        <v>17.4</v>
      </c>
      <c r="L98" s="184" t="n">
        <v>0</v>
      </c>
      <c r="M98" s="184" t="n">
        <v>0</v>
      </c>
      <c r="N98" s="182" t="n">
        <v>83.59010000000001</v>
      </c>
      <c r="O98" s="181" t="n">
        <v>14873064</v>
      </c>
      <c r="P98" s="202" t="n">
        <v>4542</v>
      </c>
      <c r="Q98" s="202" t="n">
        <v>11525</v>
      </c>
      <c r="R98" s="202" t="n">
        <v>6983</v>
      </c>
    </row>
    <row r="99" ht="12.75" customHeight="1" s="186">
      <c r="B99" s="171" t="inlineStr">
        <is>
          <t>BA</t>
        </is>
      </c>
      <c r="C99" s="172" t="n">
        <v>2020</v>
      </c>
      <c r="D99" s="173" t="n">
        <v>34.04</v>
      </c>
      <c r="E99" s="173" t="n">
        <v>41.26</v>
      </c>
      <c r="F99" s="174" t="n">
        <v>11327</v>
      </c>
      <c r="G99" s="175" t="n">
        <v>8.5335</v>
      </c>
      <c r="H99" s="175" t="n">
        <v>8.726000000000001</v>
      </c>
      <c r="I99" s="174" t="n">
        <v>20449</v>
      </c>
      <c r="J99" s="175" t="n">
        <v>9.925700000000001</v>
      </c>
      <c r="K99" s="176" t="n">
        <v>20.2</v>
      </c>
      <c r="L99" s="177" t="n">
        <v>0</v>
      </c>
      <c r="M99" s="177" t="n">
        <v>1</v>
      </c>
      <c r="N99" s="175" t="n">
        <v>83.59010000000001</v>
      </c>
      <c r="O99" s="174" t="n">
        <v>14930634</v>
      </c>
      <c r="P99" s="202" t="n">
        <v>5049</v>
      </c>
      <c r="Q99" s="202" t="n">
        <v>12111</v>
      </c>
      <c r="R99" s="202" t="n">
        <v>7062</v>
      </c>
    </row>
    <row r="100" ht="12.75" customHeight="1" s="186">
      <c r="B100" s="178" t="inlineStr">
        <is>
          <t>BA</t>
        </is>
      </c>
      <c r="C100" s="179" t="n">
        <v>2021</v>
      </c>
      <c r="D100" s="180" t="n">
        <v>35.3</v>
      </c>
      <c r="E100" s="180" t="n">
        <v>56.73</v>
      </c>
      <c r="F100" s="181" t="n">
        <v>19828</v>
      </c>
      <c r="G100" s="182" t="n">
        <v>8.573600000000001</v>
      </c>
      <c r="H100" s="182" t="n">
        <v>9.0479</v>
      </c>
      <c r="I100" s="181" t="n">
        <v>23531</v>
      </c>
      <c r="J100" s="182" t="n">
        <v>10.0661</v>
      </c>
      <c r="K100" s="183" t="n">
        <v>19.5</v>
      </c>
      <c r="L100" s="184" t="n">
        <v>0</v>
      </c>
      <c r="M100" s="184" t="n">
        <v>1</v>
      </c>
      <c r="N100" s="182" t="n">
        <v>83.59010000000001</v>
      </c>
      <c r="O100" s="181" t="n">
        <v>14985284</v>
      </c>
      <c r="P100" s="202" t="n">
        <v>5256</v>
      </c>
      <c r="Q100" s="202" t="n">
        <v>12281</v>
      </c>
      <c r="R100" s="202" t="n">
        <v>7025</v>
      </c>
    </row>
    <row r="101" ht="12.75" customHeight="1" s="186">
      <c r="B101" s="171" t="inlineStr">
        <is>
          <t>BA</t>
        </is>
      </c>
      <c r="C101" s="172" t="n">
        <v>2022</v>
      </c>
      <c r="D101" s="173" t="n">
        <v>34.12</v>
      </c>
      <c r="E101" s="173" t="n">
        <v>83.59</v>
      </c>
      <c r="F101" s="174" t="n">
        <v>31649</v>
      </c>
      <c r="G101" s="175" t="n">
        <v>8.4816</v>
      </c>
      <c r="H101" s="175" t="n">
        <v>9.377599999999999</v>
      </c>
      <c r="I101" s="174" t="n">
        <v>28472</v>
      </c>
      <c r="J101" s="175" t="n">
        <v>10.2567</v>
      </c>
      <c r="K101" s="176" t="n">
        <v>15.3</v>
      </c>
      <c r="L101" s="177" t="n">
        <v>0</v>
      </c>
      <c r="M101" s="177" t="n">
        <v>0</v>
      </c>
      <c r="N101" s="175" t="n">
        <v>83.59010000000001</v>
      </c>
      <c r="O101" s="174" t="n">
        <v>14141626</v>
      </c>
      <c r="P101" s="202" t="n">
        <v>4782</v>
      </c>
      <c r="Q101" s="202" t="n">
        <v>12055</v>
      </c>
      <c r="R101" s="202" t="n">
        <v>7273</v>
      </c>
    </row>
    <row r="102" ht="12.75" customHeight="1" s="186">
      <c r="B102" s="178" t="inlineStr">
        <is>
          <t>BA</t>
        </is>
      </c>
      <c r="C102" s="179" t="n">
        <v>2023</v>
      </c>
      <c r="D102" s="180" t="n">
        <v>33.58</v>
      </c>
      <c r="E102" s="180" t="n">
        <v>0.51</v>
      </c>
      <c r="F102" s="181" t="n">
        <v>31721</v>
      </c>
      <c r="G102" s="182" t="n">
        <v>8.4657</v>
      </c>
      <c r="H102" s="182" t="n">
        <v>4.2767</v>
      </c>
      <c r="I102" s="181" t="n">
        <v>30477</v>
      </c>
      <c r="J102" s="182" t="n">
        <v>10.3247</v>
      </c>
      <c r="K102" s="183" t="n">
        <v>13.4</v>
      </c>
      <c r="L102" s="184" t="n">
        <v>1</v>
      </c>
      <c r="M102" s="184" t="n">
        <v>0</v>
      </c>
      <c r="N102" s="182" t="n">
        <v>83.59010000000001</v>
      </c>
      <c r="O102" s="181" t="n">
        <v>14141626</v>
      </c>
      <c r="P102" s="202" t="n">
        <v>4702</v>
      </c>
      <c r="Q102" s="202" t="n">
        <v>12087</v>
      </c>
      <c r="R102" s="202" t="n">
        <v>7385</v>
      </c>
    </row>
    <row r="103" ht="12.75" customHeight="1" s="186">
      <c r="B103" s="171" t="inlineStr">
        <is>
          <t>BA</t>
        </is>
      </c>
      <c r="C103" s="172" t="n">
        <v>2024</v>
      </c>
      <c r="D103" s="173" t="n">
        <v>25.43</v>
      </c>
      <c r="E103" s="173" t="n">
        <v>10.38</v>
      </c>
      <c r="F103" s="174" t="n">
        <v>33262</v>
      </c>
      <c r="G103" s="175" t="n">
        <v>8.236700000000001</v>
      </c>
      <c r="H103" s="175" t="n">
        <v>7.3402</v>
      </c>
      <c r="I103" s="174" t="n">
        <v>31312</v>
      </c>
      <c r="J103" s="175" t="n">
        <v>10.3518</v>
      </c>
      <c r="K103" s="176" t="n">
        <v>11.2</v>
      </c>
      <c r="L103" s="177" t="n">
        <v>1</v>
      </c>
      <c r="M103" s="177" t="n">
        <v>0</v>
      </c>
      <c r="N103" s="175" t="n">
        <v>83.59010000000001</v>
      </c>
      <c r="O103" s="174" t="n">
        <v>14850513</v>
      </c>
      <c r="P103" s="202" t="n">
        <v>3763</v>
      </c>
      <c r="Q103" s="202" t="n">
        <v>12074</v>
      </c>
      <c r="R103" s="202" t="n">
        <v>8311</v>
      </c>
    </row>
    <row r="104" ht="12.75" customHeight="1" s="186">
      <c r="B104" s="157" t="inlineStr">
        <is>
          <t>CE</t>
        </is>
      </c>
      <c r="C104" s="158" t="n">
        <v>2005</v>
      </c>
      <c r="D104" s="159" t="n">
        <v>12.49</v>
      </c>
      <c r="E104" s="159" t="n">
        <v>0.21</v>
      </c>
      <c r="F104" s="160" t="n">
        <v>17</v>
      </c>
      <c r="G104" s="161" t="n">
        <v>6.9187</v>
      </c>
      <c r="H104" s="161" t="n">
        <v>2.8332</v>
      </c>
      <c r="I104" s="160" t="n">
        <v>5055</v>
      </c>
      <c r="J104" s="161" t="n">
        <v>8.5281</v>
      </c>
      <c r="K104" s="162" t="n">
        <v>9.119999999999999</v>
      </c>
      <c r="L104" s="163" t="n">
        <v>0</v>
      </c>
      <c r="M104" s="163" t="n">
        <v>0</v>
      </c>
      <c r="N104" s="161" t="n">
        <v>73.20099999999999</v>
      </c>
      <c r="O104" s="160" t="n">
        <v>8097276</v>
      </c>
      <c r="P104" s="202" t="n">
        <v>1008</v>
      </c>
      <c r="Q104" s="202" t="n">
        <v>4745</v>
      </c>
      <c r="R104" s="202" t="n">
        <v>3737</v>
      </c>
    </row>
    <row r="105" ht="12.75" customHeight="1" s="186">
      <c r="B105" s="164" t="inlineStr">
        <is>
          <t>CE</t>
        </is>
      </c>
      <c r="C105" s="165" t="n">
        <v>2006</v>
      </c>
      <c r="D105" s="166" t="n">
        <v>12.9</v>
      </c>
      <c r="E105" s="166" t="n">
        <v>0.27</v>
      </c>
      <c r="F105" s="167" t="n">
        <v>39</v>
      </c>
      <c r="G105" s="168" t="n">
        <v>6.966</v>
      </c>
      <c r="H105" s="168" t="n">
        <v>3.091</v>
      </c>
      <c r="I105" s="167" t="n">
        <v>5635</v>
      </c>
      <c r="J105" s="168" t="n">
        <v>8.636799999999999</v>
      </c>
      <c r="K105" s="169" t="n">
        <v>8.359999999999999</v>
      </c>
      <c r="L105" s="170" t="n">
        <v>0</v>
      </c>
      <c r="M105" s="170" t="n">
        <v>0</v>
      </c>
      <c r="N105" s="168" t="n">
        <v>73.20099999999999</v>
      </c>
      <c r="O105" s="167" t="n">
        <v>8217085</v>
      </c>
      <c r="P105" s="202" t="n">
        <v>1051</v>
      </c>
      <c r="Q105" s="202" t="n">
        <v>4852</v>
      </c>
      <c r="R105" s="202" t="n">
        <v>3801</v>
      </c>
    </row>
    <row r="106" ht="12.75" customHeight="1" s="186">
      <c r="B106" s="157" t="inlineStr">
        <is>
          <t>CE</t>
        </is>
      </c>
      <c r="C106" s="158" t="n">
        <v>2007</v>
      </c>
      <c r="D106" s="159" t="n">
        <v>15.04</v>
      </c>
      <c r="E106" s="159" t="n">
        <v>0.45</v>
      </c>
      <c r="F106" s="160" t="n">
        <v>76</v>
      </c>
      <c r="G106" s="161" t="n">
        <v>7.1156</v>
      </c>
      <c r="H106" s="161" t="n">
        <v>3.6109</v>
      </c>
      <c r="I106" s="160" t="n">
        <v>6149</v>
      </c>
      <c r="J106" s="161" t="n">
        <v>8.724</v>
      </c>
      <c r="K106" s="162" t="n">
        <v>7.88</v>
      </c>
      <c r="L106" s="163" t="n">
        <v>0</v>
      </c>
      <c r="M106" s="163" t="n">
        <v>0</v>
      </c>
      <c r="N106" s="161" t="n">
        <v>73.20099999999999</v>
      </c>
      <c r="O106" s="160" t="n">
        <v>8185250</v>
      </c>
      <c r="P106" s="202" t="n">
        <v>1212</v>
      </c>
      <c r="Q106" s="202" t="n">
        <v>5152</v>
      </c>
      <c r="R106" s="202" t="n">
        <v>3940</v>
      </c>
    </row>
    <row r="107" ht="12.75" customHeight="1" s="186">
      <c r="B107" s="164" t="inlineStr">
        <is>
          <t>CE</t>
        </is>
      </c>
      <c r="C107" s="165" t="n">
        <v>2008</v>
      </c>
      <c r="D107" s="166" t="n">
        <v>15.89</v>
      </c>
      <c r="E107" s="166" t="n">
        <v>0.51</v>
      </c>
      <c r="F107" s="167" t="n">
        <v>119</v>
      </c>
      <c r="G107" s="168" t="n">
        <v>7.2027</v>
      </c>
      <c r="H107" s="168" t="n">
        <v>3.7612</v>
      </c>
      <c r="I107" s="167" t="n">
        <v>7112</v>
      </c>
      <c r="J107" s="168" t="n">
        <v>8.8695</v>
      </c>
      <c r="K107" s="169" t="n">
        <v>7</v>
      </c>
      <c r="L107" s="170" t="n">
        <v>0</v>
      </c>
      <c r="M107" s="170" t="n">
        <v>0</v>
      </c>
      <c r="N107" s="168" t="n">
        <v>73.20099999999999</v>
      </c>
      <c r="O107" s="167" t="n">
        <v>8450528</v>
      </c>
      <c r="P107" s="202" t="n">
        <v>1323</v>
      </c>
      <c r="Q107" s="202" t="n">
        <v>5298</v>
      </c>
      <c r="R107" s="202" t="n">
        <v>3975</v>
      </c>
    </row>
    <row r="108" ht="12.75" customHeight="1" s="186">
      <c r="B108" s="157" t="inlineStr">
        <is>
          <t>CE</t>
        </is>
      </c>
      <c r="C108" s="158" t="n">
        <v>2009</v>
      </c>
      <c r="D108" s="159" t="n">
        <v>17.72</v>
      </c>
      <c r="E108" s="159" t="n">
        <v>1.5</v>
      </c>
      <c r="F108" s="160" t="n">
        <v>247</v>
      </c>
      <c r="G108" s="161" t="n">
        <v>7.3232</v>
      </c>
      <c r="H108" s="161" t="n">
        <v>4.852</v>
      </c>
      <c r="I108" s="160" t="n">
        <v>7687</v>
      </c>
      <c r="J108" s="161" t="n">
        <v>8.9473</v>
      </c>
      <c r="K108" s="162" t="n">
        <v>7.91</v>
      </c>
      <c r="L108" s="163" t="n">
        <v>0</v>
      </c>
      <c r="M108" s="163" t="n">
        <v>0</v>
      </c>
      <c r="N108" s="161" t="n">
        <v>73.20099999999999</v>
      </c>
      <c r="O108" s="160" t="n">
        <v>8547809</v>
      </c>
      <c r="P108" s="202" t="n">
        <v>1501</v>
      </c>
      <c r="Q108" s="202" t="n">
        <v>5378</v>
      </c>
      <c r="R108" s="202" t="n">
        <v>3877</v>
      </c>
    </row>
    <row r="109" ht="12.75" customHeight="1" s="186">
      <c r="B109" s="164" t="inlineStr">
        <is>
          <t>CE</t>
        </is>
      </c>
      <c r="C109" s="165" t="n">
        <v>2010</v>
      </c>
      <c r="D109" s="166" t="n">
        <v>24.32</v>
      </c>
      <c r="E109" s="166" t="n">
        <v>1.59</v>
      </c>
      <c r="F109" s="167" t="n">
        <v>381</v>
      </c>
      <c r="G109" s="168" t="n">
        <v>7.6285</v>
      </c>
      <c r="H109" s="168" t="n">
        <v>4.8978</v>
      </c>
      <c r="I109" s="167" t="n">
        <v>9386</v>
      </c>
      <c r="J109" s="168" t="n">
        <v>9.147</v>
      </c>
      <c r="K109" s="169" t="n">
        <v>7.02</v>
      </c>
      <c r="L109" s="170" t="n">
        <v>0</v>
      </c>
      <c r="M109" s="170" t="n">
        <v>0</v>
      </c>
      <c r="N109" s="168" t="n">
        <v>73.20099999999999</v>
      </c>
      <c r="O109" s="167" t="n">
        <v>8452381</v>
      </c>
      <c r="P109" s="202" t="n">
        <v>2031</v>
      </c>
      <c r="Q109" s="202" t="n">
        <v>6491</v>
      </c>
      <c r="R109" s="202" t="n">
        <v>4460</v>
      </c>
    </row>
    <row r="110" ht="12.75" customHeight="1" s="186">
      <c r="B110" s="157" t="inlineStr">
        <is>
          <t>CE</t>
        </is>
      </c>
      <c r="C110" s="158" t="n">
        <v>2011</v>
      </c>
      <c r="D110" s="159" t="n">
        <v>24.18</v>
      </c>
      <c r="E110" s="159" t="n">
        <v>2.59</v>
      </c>
      <c r="F110" s="160" t="n">
        <v>602</v>
      </c>
      <c r="G110" s="161" t="n">
        <v>7.6319</v>
      </c>
      <c r="H110" s="161" t="n">
        <v>5.3982</v>
      </c>
      <c r="I110" s="160" t="n">
        <v>10515</v>
      </c>
      <c r="J110" s="161" t="n">
        <v>9.2606</v>
      </c>
      <c r="K110" s="162" t="n">
        <v>6.12</v>
      </c>
      <c r="L110" s="163" t="n">
        <v>0</v>
      </c>
      <c r="M110" s="163" t="n">
        <v>0</v>
      </c>
      <c r="N110" s="161" t="n">
        <v>73.20099999999999</v>
      </c>
      <c r="O110" s="160" t="n">
        <v>8530155</v>
      </c>
      <c r="P110" s="202" t="n">
        <v>2036</v>
      </c>
      <c r="Q110" s="202" t="n">
        <v>6695</v>
      </c>
      <c r="R110" s="202" t="n">
        <v>4659</v>
      </c>
    </row>
    <row r="111" ht="12.75" customHeight="1" s="186">
      <c r="B111" s="164" t="inlineStr">
        <is>
          <t>CE</t>
        </is>
      </c>
      <c r="C111" s="165" t="n">
        <v>2012</v>
      </c>
      <c r="D111" s="166" t="n">
        <v>36.39</v>
      </c>
      <c r="E111" s="166" t="n">
        <v>3.32</v>
      </c>
      <c r="F111" s="167" t="n">
        <v>888</v>
      </c>
      <c r="G111" s="168" t="n">
        <v>8.0494</v>
      </c>
      <c r="H111" s="168" t="n">
        <v>5.656</v>
      </c>
      <c r="I111" s="167" t="n">
        <v>11268</v>
      </c>
      <c r="J111" s="168" t="n">
        <v>9.329700000000001</v>
      </c>
      <c r="K111" s="169" t="n">
        <v>6.58</v>
      </c>
      <c r="L111" s="170" t="n">
        <v>0</v>
      </c>
      <c r="M111" s="170" t="n">
        <v>0</v>
      </c>
      <c r="N111" s="168" t="n">
        <v>73.20099999999999</v>
      </c>
      <c r="O111" s="167" t="n">
        <v>8606005</v>
      </c>
      <c r="P111" s="202" t="n">
        <v>3106</v>
      </c>
      <c r="Q111" s="202" t="n">
        <v>7812</v>
      </c>
      <c r="R111" s="202" t="n">
        <v>4706</v>
      </c>
    </row>
    <row r="112" ht="12.75" customHeight="1" s="186">
      <c r="B112" s="157" t="inlineStr">
        <is>
          <t>CE</t>
        </is>
      </c>
      <c r="C112" s="158" t="n">
        <v>2013</v>
      </c>
      <c r="D112" s="159" t="n">
        <v>41.6</v>
      </c>
      <c r="E112" s="159" t="n">
        <v>4.28</v>
      </c>
      <c r="F112" s="160" t="n">
        <v>1264</v>
      </c>
      <c r="G112" s="161" t="n">
        <v>8.202999999999999</v>
      </c>
      <c r="H112" s="161" t="n">
        <v>5.9296</v>
      </c>
      <c r="I112" s="160" t="n">
        <v>12421</v>
      </c>
      <c r="J112" s="161" t="n">
        <v>9.427099999999999</v>
      </c>
      <c r="K112" s="162" t="n">
        <v>7.42</v>
      </c>
      <c r="L112" s="163" t="n">
        <v>0</v>
      </c>
      <c r="M112" s="163" t="n">
        <v>0</v>
      </c>
      <c r="N112" s="161" t="n">
        <v>73.20099999999999</v>
      </c>
      <c r="O112" s="160" t="n">
        <v>8778576</v>
      </c>
      <c r="P112" s="202" t="n">
        <v>3633</v>
      </c>
      <c r="Q112" s="202" t="n">
        <v>8412</v>
      </c>
      <c r="R112" s="202" t="n">
        <v>4779</v>
      </c>
    </row>
    <row r="113" ht="12.75" customHeight="1" s="186">
      <c r="B113" s="164" t="inlineStr">
        <is>
          <t>CE</t>
        </is>
      </c>
      <c r="C113" s="165" t="n">
        <v>2014</v>
      </c>
      <c r="D113" s="166" t="n">
        <v>42.97</v>
      </c>
      <c r="E113" s="166" t="n">
        <v>1.83</v>
      </c>
      <c r="F113" s="167" t="n">
        <v>1426</v>
      </c>
      <c r="G113" s="168" t="n">
        <v>8.242800000000001</v>
      </c>
      <c r="H113" s="168" t="n">
        <v>5.0876</v>
      </c>
      <c r="I113" s="167" t="n">
        <v>14255</v>
      </c>
      <c r="J113" s="168" t="n">
        <v>9.5649</v>
      </c>
      <c r="K113" s="169" t="n">
        <v>8.23</v>
      </c>
      <c r="L113" s="170" t="n">
        <v>0</v>
      </c>
      <c r="M113" s="170" t="n">
        <v>0</v>
      </c>
      <c r="N113" s="168" t="n">
        <v>73.20099999999999</v>
      </c>
      <c r="O113" s="167" t="n">
        <v>8842791</v>
      </c>
      <c r="P113" s="202" t="n">
        <v>3758</v>
      </c>
      <c r="Q113" s="202" t="n">
        <v>8580</v>
      </c>
      <c r="R113" s="202" t="n">
        <v>4822</v>
      </c>
    </row>
    <row r="114" ht="12.75" customHeight="1" s="186">
      <c r="B114" s="157" t="inlineStr">
        <is>
          <t>CE</t>
        </is>
      </c>
      <c r="C114" s="158" t="n">
        <v>2015</v>
      </c>
      <c r="D114" s="159" t="n">
        <v>38.15</v>
      </c>
      <c r="E114" s="159" t="n">
        <v>2.81</v>
      </c>
      <c r="F114" s="160" t="n">
        <v>1676</v>
      </c>
      <c r="G114" s="161" t="n">
        <v>8.130599999999999</v>
      </c>
      <c r="H114" s="161" t="n">
        <v>5.5215</v>
      </c>
      <c r="I114" s="160" t="n">
        <v>14670</v>
      </c>
      <c r="J114" s="161" t="n">
        <v>9.5936</v>
      </c>
      <c r="K114" s="162" t="n">
        <v>8.9</v>
      </c>
      <c r="L114" s="163" t="n">
        <v>0</v>
      </c>
      <c r="M114" s="163" t="n">
        <v>0</v>
      </c>
      <c r="N114" s="161" t="n">
        <v>73.20099999999999</v>
      </c>
      <c r="O114" s="160" t="n">
        <v>8904459</v>
      </c>
      <c r="P114" s="202" t="n">
        <v>3356</v>
      </c>
      <c r="Q114" s="202" t="n">
        <v>8076</v>
      </c>
      <c r="R114" s="202" t="n">
        <v>4720</v>
      </c>
    </row>
    <row r="115" ht="12.75" customHeight="1" s="186">
      <c r="B115" s="171" t="inlineStr">
        <is>
          <t>CE</t>
        </is>
      </c>
      <c r="C115" s="172" t="n">
        <v>2016</v>
      </c>
      <c r="D115" s="173" t="n">
        <v>32.26</v>
      </c>
      <c r="E115" s="173" t="n">
        <v>4.33</v>
      </c>
      <c r="F115" s="174" t="n">
        <v>2064</v>
      </c>
      <c r="G115" s="175" t="n">
        <v>7.9697</v>
      </c>
      <c r="H115" s="175" t="n">
        <v>5.961</v>
      </c>
      <c r="I115" s="174" t="n">
        <v>15443</v>
      </c>
      <c r="J115" s="175" t="n">
        <v>9.6449</v>
      </c>
      <c r="K115" s="176" t="n">
        <v>12.1</v>
      </c>
      <c r="L115" s="177" t="n">
        <v>0</v>
      </c>
      <c r="M115" s="177" t="n">
        <v>0</v>
      </c>
      <c r="N115" s="175" t="n">
        <v>73.20099999999999</v>
      </c>
      <c r="O115" s="174" t="n">
        <v>8963663</v>
      </c>
      <c r="P115" s="202" t="n">
        <v>2890</v>
      </c>
      <c r="Q115" s="202" t="n">
        <v>7466</v>
      </c>
      <c r="R115" s="202" t="n">
        <v>4576</v>
      </c>
    </row>
    <row r="116" ht="12.75" customHeight="1" s="186">
      <c r="B116" s="178" t="inlineStr">
        <is>
          <t>CE</t>
        </is>
      </c>
      <c r="C116" s="179" t="n">
        <v>2017</v>
      </c>
      <c r="D116" s="180" t="n">
        <v>52.05</v>
      </c>
      <c r="E116" s="180" t="n">
        <v>7.67</v>
      </c>
      <c r="F116" s="181" t="n">
        <v>2756</v>
      </c>
      <c r="G116" s="182" t="n">
        <v>8.4543</v>
      </c>
      <c r="H116" s="182" t="n">
        <v>6.5396</v>
      </c>
      <c r="I116" s="181" t="n">
        <v>16398</v>
      </c>
      <c r="J116" s="182" t="n">
        <v>9.7049</v>
      </c>
      <c r="K116" s="183" t="n">
        <v>12.7</v>
      </c>
      <c r="L116" s="184" t="n">
        <v>0</v>
      </c>
      <c r="M116" s="184" t="n">
        <v>0</v>
      </c>
      <c r="N116" s="182" t="n">
        <v>73.20099999999999</v>
      </c>
      <c r="O116" s="181" t="n">
        <v>9020460</v>
      </c>
      <c r="P116" s="202" t="n">
        <v>4671</v>
      </c>
      <c r="Q116" s="202" t="n">
        <v>9081</v>
      </c>
      <c r="R116" s="202" t="n">
        <v>4410</v>
      </c>
    </row>
    <row r="117" ht="12.75" customHeight="1" s="186">
      <c r="B117" s="171" t="inlineStr">
        <is>
          <t>CE</t>
        </is>
      </c>
      <c r="C117" s="172" t="n">
        <v>2018</v>
      </c>
      <c r="D117" s="173" t="n">
        <v>46.5</v>
      </c>
      <c r="E117" s="173" t="n">
        <v>10.94</v>
      </c>
      <c r="F117" s="174" t="n">
        <v>3749</v>
      </c>
      <c r="G117" s="175" t="n">
        <v>8.3476</v>
      </c>
      <c r="H117" s="175" t="n">
        <v>6.9007</v>
      </c>
      <c r="I117" s="174" t="n">
        <v>17178</v>
      </c>
      <c r="J117" s="175" t="n">
        <v>9.7514</v>
      </c>
      <c r="K117" s="176" t="n">
        <v>11.4</v>
      </c>
      <c r="L117" s="177" t="n">
        <v>0</v>
      </c>
      <c r="M117" s="177" t="n">
        <v>0</v>
      </c>
      <c r="N117" s="175" t="n">
        <v>73.20099999999999</v>
      </c>
      <c r="O117" s="174" t="n">
        <v>9075649</v>
      </c>
      <c r="P117" s="202" t="n">
        <v>4176</v>
      </c>
      <c r="Q117" s="202" t="n">
        <v>8456</v>
      </c>
      <c r="R117" s="202" t="n">
        <v>4280</v>
      </c>
    </row>
    <row r="118" ht="12.75" customHeight="1" s="186">
      <c r="B118" s="178" t="inlineStr">
        <is>
          <t>CE</t>
        </is>
      </c>
      <c r="C118" s="179" t="n">
        <v>2019</v>
      </c>
      <c r="D118" s="180" t="n">
        <v>20.64</v>
      </c>
      <c r="E118" s="180" t="n">
        <v>23.02</v>
      </c>
      <c r="F118" s="181" t="n">
        <v>5851</v>
      </c>
      <c r="G118" s="182" t="n">
        <v>7.5417</v>
      </c>
      <c r="H118" s="182" t="n">
        <v>7.6506</v>
      </c>
      <c r="I118" s="181" t="n">
        <v>17912</v>
      </c>
      <c r="J118" s="182" t="n">
        <v>9.793200000000001</v>
      </c>
      <c r="K118" s="183" t="n">
        <v>11.1</v>
      </c>
      <c r="L118" s="184" t="n">
        <v>0</v>
      </c>
      <c r="M118" s="184" t="n">
        <v>0</v>
      </c>
      <c r="N118" s="182" t="n">
        <v>73.20099999999999</v>
      </c>
      <c r="O118" s="181" t="n">
        <v>9132078</v>
      </c>
      <c r="P118" s="202" t="n">
        <v>1884</v>
      </c>
      <c r="Q118" s="202" t="n">
        <v>6077</v>
      </c>
      <c r="R118" s="202" t="n">
        <v>4193</v>
      </c>
    </row>
    <row r="119" ht="12.75" customHeight="1" s="186">
      <c r="B119" s="171" t="inlineStr">
        <is>
          <t>CE</t>
        </is>
      </c>
      <c r="C119" s="172" t="n">
        <v>2020</v>
      </c>
      <c r="D119" s="173" t="n">
        <v>37.38</v>
      </c>
      <c r="E119" s="173" t="n">
        <v>33.93</v>
      </c>
      <c r="F119" s="174" t="n">
        <v>8968</v>
      </c>
      <c r="G119" s="175" t="n">
        <v>8.141500000000001</v>
      </c>
      <c r="H119" s="175" t="n">
        <v>8.044600000000001</v>
      </c>
      <c r="I119" s="174" t="n">
        <v>18168</v>
      </c>
      <c r="J119" s="175" t="n">
        <v>9.807399999999999</v>
      </c>
      <c r="K119" s="176" t="n">
        <v>13.3</v>
      </c>
      <c r="L119" s="177" t="n">
        <v>0</v>
      </c>
      <c r="M119" s="177" t="n">
        <v>1</v>
      </c>
      <c r="N119" s="175" t="n">
        <v>73.20099999999999</v>
      </c>
      <c r="O119" s="174" t="n">
        <v>9187103</v>
      </c>
      <c r="P119" s="202" t="n">
        <v>3421</v>
      </c>
      <c r="Q119" s="202" t="n">
        <v>8004</v>
      </c>
      <c r="R119" s="202" t="n">
        <v>4583</v>
      </c>
    </row>
    <row r="120" ht="12.75" customHeight="1" s="186">
      <c r="B120" s="178" t="inlineStr">
        <is>
          <t>CE</t>
        </is>
      </c>
      <c r="C120" s="179" t="n">
        <v>2021</v>
      </c>
      <c r="D120" s="180" t="n">
        <v>32.1</v>
      </c>
      <c r="E120" s="180" t="n">
        <v>66.87</v>
      </c>
      <c r="F120" s="181" t="n">
        <v>15147</v>
      </c>
      <c r="G120" s="182" t="n">
        <v>7.995</v>
      </c>
      <c r="H120" s="182" t="n">
        <v>8.728899999999999</v>
      </c>
      <c r="I120" s="181" t="n">
        <v>21090</v>
      </c>
      <c r="J120" s="182" t="n">
        <v>9.9566</v>
      </c>
      <c r="K120" s="183" t="n">
        <v>13.4</v>
      </c>
      <c r="L120" s="184" t="n">
        <v>0</v>
      </c>
      <c r="M120" s="184" t="n">
        <v>1</v>
      </c>
      <c r="N120" s="182" t="n">
        <v>73.20099999999999</v>
      </c>
      <c r="O120" s="181" t="n">
        <v>9240580</v>
      </c>
      <c r="P120" s="202" t="n">
        <v>2961</v>
      </c>
      <c r="Q120" s="202" t="n">
        <v>7387</v>
      </c>
      <c r="R120" s="202" t="n">
        <v>4426</v>
      </c>
    </row>
    <row r="121" ht="12.75" customHeight="1" s="186">
      <c r="B121" s="171" t="inlineStr">
        <is>
          <t>CE</t>
        </is>
      </c>
      <c r="C121" s="172" t="n">
        <v>2022</v>
      </c>
      <c r="D121" s="173" t="n">
        <v>28.13</v>
      </c>
      <c r="E121" s="173" t="n">
        <v>73.2</v>
      </c>
      <c r="F121" s="174" t="n">
        <v>21585</v>
      </c>
      <c r="G121" s="175" t="n">
        <v>7.8136</v>
      </c>
      <c r="H121" s="175" t="n">
        <v>8.77</v>
      </c>
      <c r="I121" s="174" t="n">
        <v>24287</v>
      </c>
      <c r="J121" s="175" t="n">
        <v>10.0977</v>
      </c>
      <c r="K121" s="176" t="n">
        <v>9.5</v>
      </c>
      <c r="L121" s="177" t="n">
        <v>0</v>
      </c>
      <c r="M121" s="177" t="n">
        <v>0</v>
      </c>
      <c r="N121" s="175" t="n">
        <v>73.20099999999999</v>
      </c>
      <c r="O121" s="174" t="n">
        <v>8794957</v>
      </c>
      <c r="P121" s="202" t="n">
        <v>2469</v>
      </c>
      <c r="Q121" s="202" t="n">
        <v>7322</v>
      </c>
      <c r="R121" s="202" t="n">
        <v>4853</v>
      </c>
    </row>
    <row r="122" ht="12.75" customHeight="1" s="186">
      <c r="B122" s="178" t="inlineStr">
        <is>
          <t>CE</t>
        </is>
      </c>
      <c r="C122" s="179" t="n">
        <v>2023</v>
      </c>
      <c r="D122" s="180" t="n">
        <v>28.57</v>
      </c>
      <c r="E122" s="180" t="n">
        <v>0.2</v>
      </c>
      <c r="F122" s="181" t="n">
        <v>21603</v>
      </c>
      <c r="G122" s="182" t="n">
        <v>7.8292</v>
      </c>
      <c r="H122" s="182" t="n">
        <v>2.8904</v>
      </c>
      <c r="I122" s="181" t="n">
        <v>26406</v>
      </c>
      <c r="J122" s="182" t="n">
        <v>10.1813</v>
      </c>
      <c r="K122" s="183" t="n">
        <v>9.1</v>
      </c>
      <c r="L122" s="184" t="n">
        <v>1</v>
      </c>
      <c r="M122" s="184" t="n">
        <v>0</v>
      </c>
      <c r="N122" s="182" t="n">
        <v>73.20099999999999</v>
      </c>
      <c r="O122" s="181" t="n">
        <v>8794957</v>
      </c>
      <c r="P122" s="202" t="n">
        <v>2509</v>
      </c>
      <c r="Q122" s="202" t="n">
        <v>7376</v>
      </c>
      <c r="R122" s="202" t="n">
        <v>4867</v>
      </c>
    </row>
    <row r="123" ht="12.75" customHeight="1" s="186">
      <c r="B123" s="171" t="inlineStr">
        <is>
          <t>CE</t>
        </is>
      </c>
      <c r="C123" s="172" t="n">
        <v>2024</v>
      </c>
      <c r="D123" s="173" t="n">
        <v>29.3</v>
      </c>
      <c r="E123" s="173" t="n">
        <v>14.34</v>
      </c>
      <c r="F123" s="174" t="n">
        <v>22927</v>
      </c>
      <c r="G123" s="175" t="n">
        <v>7.9029</v>
      </c>
      <c r="H123" s="175" t="n">
        <v>7.1884</v>
      </c>
      <c r="I123" s="174" t="n">
        <v>27101</v>
      </c>
      <c r="J123" s="175" t="n">
        <v>10.2073</v>
      </c>
      <c r="K123" s="176" t="n">
        <v>7.3</v>
      </c>
      <c r="L123" s="177" t="n">
        <v>1</v>
      </c>
      <c r="M123" s="177" t="n">
        <v>0</v>
      </c>
      <c r="N123" s="175" t="n">
        <v>73.20099999999999</v>
      </c>
      <c r="O123" s="174" t="n">
        <v>9233656</v>
      </c>
      <c r="P123" s="202" t="n">
        <v>2691</v>
      </c>
      <c r="Q123" s="202" t="n">
        <v>8006</v>
      </c>
      <c r="R123" s="202" t="n">
        <v>5315</v>
      </c>
    </row>
    <row r="124" ht="12.75" customHeight="1" s="186">
      <c r="B124" s="157" t="inlineStr">
        <is>
          <t>DF</t>
        </is>
      </c>
      <c r="C124" s="158" t="n">
        <v>2005</v>
      </c>
      <c r="D124" s="159" t="n">
        <v>21.94</v>
      </c>
      <c r="E124" s="159" t="n">
        <v>3.21</v>
      </c>
      <c r="F124" s="160" t="n">
        <v>75</v>
      </c>
      <c r="G124" s="161" t="n">
        <v>6.2383</v>
      </c>
      <c r="H124" s="161" t="n">
        <v>4.3175</v>
      </c>
      <c r="I124" s="160" t="n">
        <v>34515</v>
      </c>
      <c r="J124" s="161" t="n">
        <v>10.4491</v>
      </c>
      <c r="K124" s="162" t="n">
        <v>13.51</v>
      </c>
      <c r="L124" s="163" t="n">
        <v>0</v>
      </c>
      <c r="M124" s="163" t="n">
        <v>0</v>
      </c>
      <c r="N124" s="161" t="n">
        <v>385.4999</v>
      </c>
      <c r="O124" s="160" t="n">
        <v>2333108</v>
      </c>
      <c r="P124" s="202" t="n">
        <v>445</v>
      </c>
      <c r="Q124" s="202" t="n">
        <v>1425</v>
      </c>
      <c r="R124" s="202" t="n">
        <v>980</v>
      </c>
    </row>
    <row r="125" ht="12.75" customHeight="1" s="186">
      <c r="B125" s="164" t="inlineStr">
        <is>
          <t>DF</t>
        </is>
      </c>
      <c r="C125" s="165" t="n">
        <v>2006</v>
      </c>
      <c r="D125" s="166" t="n">
        <v>21.06</v>
      </c>
      <c r="E125" s="166" t="n">
        <v>2.64</v>
      </c>
      <c r="F125" s="167" t="n">
        <v>138</v>
      </c>
      <c r="G125" s="168" t="n">
        <v>6.2186</v>
      </c>
      <c r="H125" s="168" t="n">
        <v>4.1431</v>
      </c>
      <c r="I125" s="167" t="n">
        <v>37599</v>
      </c>
      <c r="J125" s="168" t="n">
        <v>10.5347</v>
      </c>
      <c r="K125" s="169" t="n">
        <v>11.63</v>
      </c>
      <c r="L125" s="170" t="n">
        <v>0</v>
      </c>
      <c r="M125" s="170" t="n">
        <v>0</v>
      </c>
      <c r="N125" s="168" t="n">
        <v>385.4999</v>
      </c>
      <c r="O125" s="167" t="n">
        <v>2383784</v>
      </c>
      <c r="P125" s="202" t="n">
        <v>427</v>
      </c>
      <c r="Q125" s="202" t="n">
        <v>1444</v>
      </c>
      <c r="R125" s="202" t="n">
        <v>1017</v>
      </c>
    </row>
    <row r="126" ht="12.75" customHeight="1" s="186">
      <c r="B126" s="157" t="inlineStr">
        <is>
          <t>DF</t>
        </is>
      </c>
      <c r="C126" s="158" t="n">
        <v>2007</v>
      </c>
      <c r="D126" s="159" t="n">
        <v>24.06</v>
      </c>
      <c r="E126" s="159" t="n">
        <v>2.16</v>
      </c>
      <c r="F126" s="160" t="n">
        <v>191</v>
      </c>
      <c r="G126" s="161" t="n">
        <v>6.3818</v>
      </c>
      <c r="H126" s="161" t="n">
        <v>3.9703</v>
      </c>
      <c r="I126" s="160" t="n">
        <v>40696</v>
      </c>
      <c r="J126" s="161" t="n">
        <v>10.6139</v>
      </c>
      <c r="K126" s="162" t="n">
        <v>11.95</v>
      </c>
      <c r="L126" s="163" t="n">
        <v>0</v>
      </c>
      <c r="M126" s="163" t="n">
        <v>0</v>
      </c>
      <c r="N126" s="161" t="n">
        <v>385.4999</v>
      </c>
      <c r="O126" s="160" t="n">
        <v>2455903</v>
      </c>
      <c r="P126" s="202" t="n">
        <v>499</v>
      </c>
      <c r="Q126" s="202" t="n">
        <v>1544</v>
      </c>
      <c r="R126" s="202" t="n">
        <v>1045</v>
      </c>
    </row>
    <row r="127" ht="12.75" customHeight="1" s="186">
      <c r="B127" s="164" t="inlineStr">
        <is>
          <t>DF</t>
        </is>
      </c>
      <c r="C127" s="165" t="n">
        <v>2008</v>
      </c>
      <c r="D127" s="166" t="n">
        <v>24.13</v>
      </c>
      <c r="E127" s="166" t="n">
        <v>2.54</v>
      </c>
      <c r="F127" s="167" t="n">
        <v>256</v>
      </c>
      <c r="G127" s="168" t="n">
        <v>6.4249</v>
      </c>
      <c r="H127" s="168" t="n">
        <v>4.1744</v>
      </c>
      <c r="I127" s="167" t="n">
        <v>45978</v>
      </c>
      <c r="J127" s="168" t="n">
        <v>10.7359</v>
      </c>
      <c r="K127" s="169" t="n">
        <v>11.24</v>
      </c>
      <c r="L127" s="170" t="n">
        <v>0</v>
      </c>
      <c r="M127" s="170" t="n">
        <v>0</v>
      </c>
      <c r="N127" s="168" t="n">
        <v>385.4999</v>
      </c>
      <c r="O127" s="167" t="n">
        <v>2557159</v>
      </c>
      <c r="P127" s="202" t="n">
        <v>565</v>
      </c>
      <c r="Q127" s="202" t="n">
        <v>1611</v>
      </c>
      <c r="R127" s="202" t="n">
        <v>1046</v>
      </c>
    </row>
    <row r="128" ht="12.75" customHeight="1" s="186">
      <c r="B128" s="157" t="inlineStr">
        <is>
          <t>DF</t>
        </is>
      </c>
      <c r="C128" s="158" t="n">
        <v>2009</v>
      </c>
      <c r="D128" s="159" t="n">
        <v>28.58</v>
      </c>
      <c r="E128" s="159" t="n">
        <v>2.49</v>
      </c>
      <c r="F128" s="160" t="n">
        <v>321</v>
      </c>
      <c r="G128" s="161" t="n">
        <v>6.6134</v>
      </c>
      <c r="H128" s="161" t="n">
        <v>4.1744</v>
      </c>
      <c r="I128" s="160" t="n">
        <v>50438</v>
      </c>
      <c r="J128" s="161" t="n">
        <v>10.8285</v>
      </c>
      <c r="K128" s="162" t="n">
        <v>11.46</v>
      </c>
      <c r="L128" s="163" t="n">
        <v>0</v>
      </c>
      <c r="M128" s="163" t="n">
        <v>0</v>
      </c>
      <c r="N128" s="161" t="n">
        <v>385.4999</v>
      </c>
      <c r="O128" s="160" t="n">
        <v>2606885</v>
      </c>
      <c r="P128" s="202" t="n">
        <v>645</v>
      </c>
      <c r="Q128" s="202" t="n">
        <v>1676</v>
      </c>
      <c r="R128" s="202" t="n">
        <v>1031</v>
      </c>
    </row>
    <row r="129" ht="12.75" customHeight="1" s="186">
      <c r="B129" s="164" t="inlineStr">
        <is>
          <t>DF</t>
        </is>
      </c>
      <c r="C129" s="165" t="n">
        <v>2010</v>
      </c>
      <c r="D129" s="166" t="n">
        <v>24.51</v>
      </c>
      <c r="E129" s="166" t="n">
        <v>2.33</v>
      </c>
      <c r="F129" s="167" t="n">
        <v>381</v>
      </c>
      <c r="G129" s="168" t="n">
        <v>6.4457</v>
      </c>
      <c r="H129" s="168" t="n">
        <v>4.0943</v>
      </c>
      <c r="I129" s="167" t="n">
        <v>56095</v>
      </c>
      <c r="J129" s="168" t="n">
        <v>10.9348</v>
      </c>
      <c r="K129" s="169" t="n">
        <v>9.67</v>
      </c>
      <c r="L129" s="170" t="n">
        <v>0</v>
      </c>
      <c r="M129" s="170" t="n">
        <v>0</v>
      </c>
      <c r="N129" s="168" t="n">
        <v>385.4999</v>
      </c>
      <c r="O129" s="167" t="n">
        <v>2570160</v>
      </c>
      <c r="P129" s="202" t="n">
        <v>547</v>
      </c>
      <c r="Q129" s="202" t="n">
        <v>1614</v>
      </c>
      <c r="R129" s="202" t="n">
        <v>1067</v>
      </c>
    </row>
    <row r="130" ht="12.75" customHeight="1" s="186">
      <c r="B130" s="157" t="inlineStr">
        <is>
          <t>DF</t>
        </is>
      </c>
      <c r="C130" s="158" t="n">
        <v>2011</v>
      </c>
      <c r="D130" s="159" t="n">
        <v>27.2</v>
      </c>
      <c r="E130" s="159" t="n">
        <v>6.02</v>
      </c>
      <c r="F130" s="160" t="n">
        <v>538</v>
      </c>
      <c r="G130" s="161" t="n">
        <v>6.5653</v>
      </c>
      <c r="H130" s="161" t="n">
        <v>5.0562</v>
      </c>
      <c r="I130" s="160" t="n">
        <v>59222</v>
      </c>
      <c r="J130" s="161" t="n">
        <v>10.989</v>
      </c>
      <c r="K130" s="162" t="n">
        <v>7.88</v>
      </c>
      <c r="L130" s="163" t="n">
        <v>0</v>
      </c>
      <c r="M130" s="163" t="n">
        <v>0</v>
      </c>
      <c r="N130" s="161" t="n">
        <v>385.4999</v>
      </c>
      <c r="O130" s="160" t="n">
        <v>2609998</v>
      </c>
      <c r="P130" s="202" t="n">
        <v>621</v>
      </c>
      <c r="Q130" s="202" t="n">
        <v>1692</v>
      </c>
      <c r="R130" s="202" t="n">
        <v>1071</v>
      </c>
    </row>
    <row r="131" ht="12.75" customHeight="1" s="186">
      <c r="B131" s="164" t="inlineStr">
        <is>
          <t>DF</t>
        </is>
      </c>
      <c r="C131" s="165" t="n">
        <v>2012</v>
      </c>
      <c r="D131" s="166" t="n">
        <v>29.68</v>
      </c>
      <c r="E131" s="166" t="n">
        <v>4.15</v>
      </c>
      <c r="F131" s="167" t="n">
        <v>648</v>
      </c>
      <c r="G131" s="168" t="n">
        <v>6.667</v>
      </c>
      <c r="H131" s="168" t="n">
        <v>4.7005</v>
      </c>
      <c r="I131" s="167" t="n">
        <v>61959</v>
      </c>
      <c r="J131" s="168" t="n">
        <v>11.0342</v>
      </c>
      <c r="K131" s="169" t="n">
        <v>8.390000000000001</v>
      </c>
      <c r="L131" s="170" t="n">
        <v>0</v>
      </c>
      <c r="M131" s="170" t="n">
        <v>0</v>
      </c>
      <c r="N131" s="168" t="n">
        <v>385.4999</v>
      </c>
      <c r="O131" s="167" t="n">
        <v>2648532</v>
      </c>
      <c r="P131" s="202" t="n">
        <v>679</v>
      </c>
      <c r="Q131" s="202" t="n">
        <v>1784</v>
      </c>
      <c r="R131" s="202" t="n">
        <v>1105</v>
      </c>
    </row>
    <row r="132" ht="12.75" customHeight="1" s="186">
      <c r="B132" s="157" t="inlineStr">
        <is>
          <t>DF</t>
        </is>
      </c>
      <c r="C132" s="158" t="n">
        <v>2013</v>
      </c>
      <c r="D132" s="159" t="n">
        <v>23.51</v>
      </c>
      <c r="E132" s="159" t="n">
        <v>2.47</v>
      </c>
      <c r="F132" s="160" t="n">
        <v>717</v>
      </c>
      <c r="G132" s="161" t="n">
        <v>6.4862</v>
      </c>
      <c r="H132" s="161" t="n">
        <v>4.2341</v>
      </c>
      <c r="I132" s="160" t="n">
        <v>63054</v>
      </c>
      <c r="J132" s="161" t="n">
        <v>11.0517</v>
      </c>
      <c r="K132" s="162" t="n">
        <v>9.32</v>
      </c>
      <c r="L132" s="163" t="n">
        <v>0</v>
      </c>
      <c r="M132" s="163" t="n">
        <v>0</v>
      </c>
      <c r="N132" s="161" t="n">
        <v>385.4999</v>
      </c>
      <c r="O132" s="160" t="n">
        <v>2789761</v>
      </c>
      <c r="P132" s="202" t="n">
        <v>577</v>
      </c>
      <c r="Q132" s="202" t="n">
        <v>1621</v>
      </c>
      <c r="R132" s="202" t="n">
        <v>1044</v>
      </c>
    </row>
    <row r="133" ht="12.75" customHeight="1" s="186">
      <c r="B133" s="164" t="inlineStr">
        <is>
          <t>DF</t>
        </is>
      </c>
      <c r="C133" s="165" t="n">
        <v>2014</v>
      </c>
      <c r="D133" s="166" t="n">
        <v>24.75</v>
      </c>
      <c r="E133" s="166" t="n">
        <v>1.65</v>
      </c>
      <c r="F133" s="167" t="n">
        <v>764</v>
      </c>
      <c r="G133" s="168" t="n">
        <v>6.5596</v>
      </c>
      <c r="H133" s="168" t="n">
        <v>3.8501</v>
      </c>
      <c r="I133" s="167" t="n">
        <v>69217</v>
      </c>
      <c r="J133" s="168" t="n">
        <v>11.145</v>
      </c>
      <c r="K133" s="169" t="n">
        <v>9.48</v>
      </c>
      <c r="L133" s="170" t="n">
        <v>0</v>
      </c>
      <c r="M133" s="170" t="n">
        <v>0</v>
      </c>
      <c r="N133" s="168" t="n">
        <v>385.4999</v>
      </c>
      <c r="O133" s="167" t="n">
        <v>2852372</v>
      </c>
      <c r="P133" s="202" t="n">
        <v>613</v>
      </c>
      <c r="Q133" s="202" t="n">
        <v>1647</v>
      </c>
      <c r="R133" s="202" t="n">
        <v>1034</v>
      </c>
    </row>
    <row r="134" ht="12.75" customHeight="1" s="186">
      <c r="B134" s="157" t="inlineStr">
        <is>
          <t>DF</t>
        </is>
      </c>
      <c r="C134" s="158" t="n">
        <v>2015</v>
      </c>
      <c r="D134" s="159" t="n">
        <v>18.35</v>
      </c>
      <c r="E134" s="159" t="n">
        <v>1.65</v>
      </c>
      <c r="F134" s="160" t="n">
        <v>812</v>
      </c>
      <c r="G134" s="161" t="n">
        <v>6.2823</v>
      </c>
      <c r="H134" s="161" t="n">
        <v>3.8712</v>
      </c>
      <c r="I134" s="160" t="n">
        <v>73971</v>
      </c>
      <c r="J134" s="161" t="n">
        <v>11.2114</v>
      </c>
      <c r="K134" s="162" t="n">
        <v>10.2</v>
      </c>
      <c r="L134" s="163" t="n">
        <v>0</v>
      </c>
      <c r="M134" s="163" t="n">
        <v>0</v>
      </c>
      <c r="N134" s="161" t="n">
        <v>385.4999</v>
      </c>
      <c r="O134" s="160" t="n">
        <v>2914830</v>
      </c>
      <c r="P134" s="202" t="n">
        <v>483</v>
      </c>
      <c r="Q134" s="202" t="n">
        <v>1480</v>
      </c>
      <c r="R134" s="202" t="n">
        <v>997</v>
      </c>
    </row>
    <row r="135" ht="12.75" customHeight="1" s="186">
      <c r="B135" s="171" t="inlineStr">
        <is>
          <t>DF</t>
        </is>
      </c>
      <c r="C135" s="172" t="n">
        <v>2016</v>
      </c>
      <c r="D135" s="173" t="n">
        <v>18.17</v>
      </c>
      <c r="E135" s="173" t="n">
        <v>6.35</v>
      </c>
      <c r="F135" s="174" t="n">
        <v>1001</v>
      </c>
      <c r="G135" s="175" t="n">
        <v>6.2934</v>
      </c>
      <c r="H135" s="175" t="n">
        <v>5.2417</v>
      </c>
      <c r="I135" s="174" t="n">
        <v>79114</v>
      </c>
      <c r="J135" s="175" t="n">
        <v>11.2786</v>
      </c>
      <c r="K135" s="176" t="n">
        <v>12.1</v>
      </c>
      <c r="L135" s="177" t="n">
        <v>0</v>
      </c>
      <c r="M135" s="177" t="n">
        <v>0</v>
      </c>
      <c r="N135" s="175" t="n">
        <v>385.4999</v>
      </c>
      <c r="O135" s="174" t="n">
        <v>2977216</v>
      </c>
      <c r="P135" s="202" t="n">
        <v>512</v>
      </c>
      <c r="Q135" s="202" t="n">
        <v>1513</v>
      </c>
      <c r="R135" s="202" t="n">
        <v>1001</v>
      </c>
    </row>
    <row r="136" ht="12.75" customHeight="1" s="186">
      <c r="B136" s="178" t="inlineStr">
        <is>
          <t>DF</t>
        </is>
      </c>
      <c r="C136" s="179" t="n">
        <v>2017</v>
      </c>
      <c r="D136" s="180" t="n">
        <v>13.32</v>
      </c>
      <c r="E136" s="180" t="n">
        <v>10.5</v>
      </c>
      <c r="F136" s="181" t="n">
        <v>1320</v>
      </c>
      <c r="G136" s="182" t="n">
        <v>6.0039</v>
      </c>
      <c r="H136" s="182" t="n">
        <v>5.7652</v>
      </c>
      <c r="I136" s="181" t="n">
        <v>80515</v>
      </c>
      <c r="J136" s="182" t="n">
        <v>11.2962</v>
      </c>
      <c r="K136" s="183" t="n">
        <v>13.3</v>
      </c>
      <c r="L136" s="184" t="n">
        <v>0</v>
      </c>
      <c r="M136" s="184" t="n">
        <v>0</v>
      </c>
      <c r="N136" s="182" t="n">
        <v>385.4999</v>
      </c>
      <c r="O136" s="181" t="n">
        <v>3039444</v>
      </c>
      <c r="P136" s="202" t="n">
        <v>399</v>
      </c>
      <c r="Q136" s="202" t="n">
        <v>1298</v>
      </c>
      <c r="R136" s="202" t="n">
        <v>899</v>
      </c>
    </row>
    <row r="137" ht="12.75" customHeight="1" s="186">
      <c r="B137" s="171" t="inlineStr">
        <is>
          <t>DF</t>
        </is>
      </c>
      <c r="C137" s="172" t="n">
        <v>2018</v>
      </c>
      <c r="D137" s="173" t="n">
        <v>11.43</v>
      </c>
      <c r="E137" s="173" t="n">
        <v>16.81</v>
      </c>
      <c r="F137" s="174" t="n">
        <v>1820</v>
      </c>
      <c r="G137" s="175" t="n">
        <v>5.8289</v>
      </c>
      <c r="H137" s="175" t="n">
        <v>6.2146</v>
      </c>
      <c r="I137" s="174" t="n">
        <v>85661</v>
      </c>
      <c r="J137" s="175" t="n">
        <v>11.3582</v>
      </c>
      <c r="K137" s="176" t="n">
        <v>12.8</v>
      </c>
      <c r="L137" s="177" t="n">
        <v>0</v>
      </c>
      <c r="M137" s="177" t="n">
        <v>0</v>
      </c>
      <c r="N137" s="175" t="n">
        <v>385.4999</v>
      </c>
      <c r="O137" s="174" t="n">
        <v>2974703</v>
      </c>
      <c r="P137" s="202" t="n">
        <v>328</v>
      </c>
      <c r="Q137" s="202" t="n">
        <v>1278</v>
      </c>
      <c r="R137" s="202" t="n">
        <v>950</v>
      </c>
    </row>
    <row r="138" ht="12.75" customHeight="1" s="186">
      <c r="B138" s="178" t="inlineStr">
        <is>
          <t>DF</t>
        </is>
      </c>
      <c r="C138" s="179" t="n">
        <v>2019</v>
      </c>
      <c r="D138" s="180" t="n">
        <v>8.85</v>
      </c>
      <c r="E138" s="180" t="n">
        <v>82.34999999999999</v>
      </c>
      <c r="F138" s="181" t="n">
        <v>4303</v>
      </c>
      <c r="G138" s="182" t="n">
        <v>5.5872</v>
      </c>
      <c r="H138" s="182" t="n">
        <v>7.8172</v>
      </c>
      <c r="I138" s="181" t="n">
        <v>90743</v>
      </c>
      <c r="J138" s="182" t="n">
        <v>11.4158</v>
      </c>
      <c r="K138" s="183" t="n">
        <v>13.4</v>
      </c>
      <c r="L138" s="184" t="n">
        <v>0</v>
      </c>
      <c r="M138" s="184" t="n">
        <v>0</v>
      </c>
      <c r="N138" s="182" t="n">
        <v>385.4999</v>
      </c>
      <c r="O138" s="181" t="n">
        <v>3015268</v>
      </c>
      <c r="P138" s="202" t="n">
        <v>257</v>
      </c>
      <c r="Q138" s="202" t="n">
        <v>1224</v>
      </c>
      <c r="R138" s="202" t="n">
        <v>967</v>
      </c>
    </row>
    <row r="139" ht="12.75" customHeight="1" s="186">
      <c r="B139" s="171" t="inlineStr">
        <is>
          <t>DF</t>
        </is>
      </c>
      <c r="C139" s="172" t="n">
        <v>2020</v>
      </c>
      <c r="D139" s="173" t="n">
        <v>8.279999999999999</v>
      </c>
      <c r="E139" s="173" t="n">
        <v>165.13</v>
      </c>
      <c r="F139" s="174" t="n">
        <v>9348</v>
      </c>
      <c r="G139" s="175" t="n">
        <v>5.5334</v>
      </c>
      <c r="H139" s="175" t="n">
        <v>8.526199999999999</v>
      </c>
      <c r="I139" s="174" t="n">
        <v>87016</v>
      </c>
      <c r="J139" s="175" t="n">
        <v>11.3738</v>
      </c>
      <c r="K139" s="176" t="n">
        <v>14.8</v>
      </c>
      <c r="L139" s="177" t="n">
        <v>0</v>
      </c>
      <c r="M139" s="177" t="n">
        <v>1</v>
      </c>
      <c r="N139" s="175" t="n">
        <v>385.4999</v>
      </c>
      <c r="O139" s="174" t="n">
        <v>3055149</v>
      </c>
      <c r="P139" s="202" t="n">
        <v>248</v>
      </c>
      <c r="Q139" s="202" t="n">
        <v>1254</v>
      </c>
      <c r="R139" s="202" t="n">
        <v>1006</v>
      </c>
    </row>
    <row r="140" ht="12.75" customHeight="1" s="186">
      <c r="B140" s="178" t="inlineStr">
        <is>
          <t>DF</t>
        </is>
      </c>
      <c r="C140" s="179" t="n">
        <v>2021</v>
      </c>
      <c r="D140" s="180" t="n">
        <v>6.24</v>
      </c>
      <c r="E140" s="180" t="n">
        <v>267.88</v>
      </c>
      <c r="F140" s="181" t="n">
        <v>17637</v>
      </c>
      <c r="G140" s="182" t="n">
        <v>5.2627</v>
      </c>
      <c r="H140" s="182" t="n">
        <v>9.0227</v>
      </c>
      <c r="I140" s="181" t="n">
        <v>92732</v>
      </c>
      <c r="J140" s="182" t="n">
        <v>11.4375</v>
      </c>
      <c r="K140" s="183" t="n">
        <v>14</v>
      </c>
      <c r="L140" s="184" t="n">
        <v>0</v>
      </c>
      <c r="M140" s="184" t="n">
        <v>1</v>
      </c>
      <c r="N140" s="182" t="n">
        <v>385.4999</v>
      </c>
      <c r="O140" s="181" t="n">
        <v>3094325</v>
      </c>
      <c r="P140" s="202" t="n">
        <v>192</v>
      </c>
      <c r="Q140" s="202" t="n">
        <v>1216</v>
      </c>
      <c r="R140" s="202" t="n">
        <v>1024</v>
      </c>
    </row>
    <row r="141" ht="12.75" customHeight="1" s="186">
      <c r="B141" s="171" t="inlineStr">
        <is>
          <t>DF</t>
        </is>
      </c>
      <c r="C141" s="172" t="n">
        <v>2022</v>
      </c>
      <c r="D141" s="173" t="n">
        <v>6.35</v>
      </c>
      <c r="E141" s="173" t="n">
        <v>385.5</v>
      </c>
      <c r="F141" s="174" t="n">
        <v>28498</v>
      </c>
      <c r="G141" s="175" t="n">
        <v>5.1874</v>
      </c>
      <c r="H141" s="175" t="n">
        <v>9.292899999999999</v>
      </c>
      <c r="I141" s="174" t="n">
        <v>116700</v>
      </c>
      <c r="J141" s="175" t="n">
        <v>11.6674</v>
      </c>
      <c r="K141" s="176" t="n">
        <v>11.4</v>
      </c>
      <c r="L141" s="177" t="n">
        <v>0</v>
      </c>
      <c r="M141" s="177" t="n">
        <v>0</v>
      </c>
      <c r="N141" s="175" t="n">
        <v>385.4999</v>
      </c>
      <c r="O141" s="174" t="n">
        <v>2817381</v>
      </c>
      <c r="P141" s="202" t="n">
        <v>191</v>
      </c>
      <c r="Q141" s="202" t="n">
        <v>1256</v>
      </c>
      <c r="R141" s="202" t="n">
        <v>1065</v>
      </c>
    </row>
    <row r="142" ht="12.75" customHeight="1" s="186">
      <c r="B142" s="178" t="inlineStr">
        <is>
          <t>DF</t>
        </is>
      </c>
      <c r="C142" s="179" t="n">
        <v>2023</v>
      </c>
      <c r="D142" s="180" t="n">
        <v>4.69</v>
      </c>
      <c r="E142" s="180" t="n">
        <v>0.64</v>
      </c>
      <c r="F142" s="181" t="n">
        <v>28516</v>
      </c>
      <c r="G142" s="182" t="n">
        <v>4.8828</v>
      </c>
      <c r="H142" s="182" t="n">
        <v>2.8904</v>
      </c>
      <c r="I142" s="181" t="n">
        <v>129790</v>
      </c>
      <c r="J142" s="182" t="n">
        <v>11.7737</v>
      </c>
      <c r="K142" s="183" t="n">
        <v>9.800000000000001</v>
      </c>
      <c r="L142" s="184" t="n">
        <v>1</v>
      </c>
      <c r="M142" s="184" t="n">
        <v>0</v>
      </c>
      <c r="N142" s="182" t="n">
        <v>385.4999</v>
      </c>
      <c r="O142" s="181" t="n">
        <v>2817381</v>
      </c>
      <c r="P142" s="202" t="n">
        <v>144</v>
      </c>
      <c r="Q142" s="202" t="n">
        <v>1233</v>
      </c>
      <c r="R142" s="202" t="n">
        <v>1089</v>
      </c>
    </row>
    <row r="143" ht="12.75" customHeight="1" s="186">
      <c r="B143" s="171" t="inlineStr">
        <is>
          <t>DF</t>
        </is>
      </c>
      <c r="C143" s="172" t="n">
        <v>2024</v>
      </c>
      <c r="D143" s="173" t="n">
        <v>3.69</v>
      </c>
      <c r="E143" s="173" t="n">
        <v>38.49</v>
      </c>
      <c r="F143" s="174" t="n">
        <v>29664</v>
      </c>
      <c r="G143" s="175" t="n">
        <v>4.7005</v>
      </c>
      <c r="H143" s="175" t="n">
        <v>7.0458</v>
      </c>
      <c r="I143" s="174" t="n">
        <v>136149</v>
      </c>
      <c r="J143" s="175" t="n">
        <v>11.8215</v>
      </c>
      <c r="K143" s="176" t="n">
        <v>9.199999999999999</v>
      </c>
      <c r="L143" s="177" t="n">
        <v>1</v>
      </c>
      <c r="M143" s="177" t="n">
        <v>0</v>
      </c>
      <c r="N143" s="175" t="n">
        <v>385.4999</v>
      </c>
      <c r="O143" s="174" t="n">
        <v>2982818</v>
      </c>
      <c r="P143" s="202" t="n">
        <v>110</v>
      </c>
      <c r="Q143" s="202" t="n">
        <v>1346</v>
      </c>
      <c r="R143" s="202" t="n">
        <v>1236</v>
      </c>
    </row>
    <row r="144" ht="12.75" customHeight="1" s="186">
      <c r="B144" s="157" t="inlineStr">
        <is>
          <t>ES</t>
        </is>
      </c>
      <c r="C144" s="158" t="n">
        <v>2005</v>
      </c>
      <c r="D144" s="159" t="n">
        <v>34.86</v>
      </c>
      <c r="E144" s="159" t="n">
        <v>1.14</v>
      </c>
      <c r="F144" s="160" t="n">
        <v>39</v>
      </c>
      <c r="G144" s="161" t="n">
        <v>7.08</v>
      </c>
      <c r="H144" s="161" t="n">
        <v>3.6636</v>
      </c>
      <c r="I144" s="160" t="n">
        <v>13855</v>
      </c>
      <c r="J144" s="161" t="n">
        <v>9.5364</v>
      </c>
      <c r="K144" s="162" t="n">
        <v>10.33</v>
      </c>
      <c r="L144" s="163" t="n">
        <v>0</v>
      </c>
      <c r="M144" s="163" t="n">
        <v>0</v>
      </c>
      <c r="N144" s="161" t="n">
        <v>78.6444</v>
      </c>
      <c r="O144" s="160" t="n">
        <v>3408365</v>
      </c>
      <c r="P144" s="202" t="n">
        <v>1183</v>
      </c>
      <c r="Q144" s="202" t="n">
        <v>3050</v>
      </c>
      <c r="R144" s="202" t="n">
        <v>1867</v>
      </c>
    </row>
    <row r="145" ht="12.75" customHeight="1" s="186">
      <c r="B145" s="164" t="inlineStr">
        <is>
          <t>ES</t>
        </is>
      </c>
      <c r="C145" s="165" t="n">
        <v>2006</v>
      </c>
      <c r="D145" s="166" t="n">
        <v>37.5</v>
      </c>
      <c r="E145" s="166" t="n">
        <v>0.84</v>
      </c>
      <c r="F145" s="167" t="n">
        <v>68</v>
      </c>
      <c r="G145" s="168" t="n">
        <v>7.1694</v>
      </c>
      <c r="H145" s="168" t="n">
        <v>3.3673</v>
      </c>
      <c r="I145" s="167" t="n">
        <v>15235</v>
      </c>
      <c r="J145" s="168" t="n">
        <v>9.631399999999999</v>
      </c>
      <c r="K145" s="169" t="n">
        <v>7.5</v>
      </c>
      <c r="L145" s="170" t="n">
        <v>0</v>
      </c>
      <c r="M145" s="170" t="n">
        <v>0</v>
      </c>
      <c r="N145" s="168" t="n">
        <v>78.6444</v>
      </c>
      <c r="O145" s="167" t="n">
        <v>3464285</v>
      </c>
      <c r="P145" s="202" t="n">
        <v>1265</v>
      </c>
      <c r="Q145" s="202" t="n">
        <v>3243</v>
      </c>
      <c r="R145" s="202" t="n">
        <v>1978</v>
      </c>
    </row>
    <row r="146" ht="12.75" customHeight="1" s="186">
      <c r="B146" s="157" t="inlineStr">
        <is>
          <t>ES</t>
        </is>
      </c>
      <c r="C146" s="158" t="n">
        <v>2007</v>
      </c>
      <c r="D146" s="159" t="n">
        <v>40.93</v>
      </c>
      <c r="E146" s="159" t="n">
        <v>0.39</v>
      </c>
      <c r="F146" s="160" t="n">
        <v>81</v>
      </c>
      <c r="G146" s="161" t="n">
        <v>7.224</v>
      </c>
      <c r="H146" s="161" t="n">
        <v>2.5649</v>
      </c>
      <c r="I146" s="160" t="n">
        <v>18003</v>
      </c>
      <c r="J146" s="161" t="n">
        <v>9.798299999999999</v>
      </c>
      <c r="K146" s="162" t="n">
        <v>10.81</v>
      </c>
      <c r="L146" s="163" t="n">
        <v>0</v>
      </c>
      <c r="M146" s="163" t="n">
        <v>0</v>
      </c>
      <c r="N146" s="161" t="n">
        <v>78.6444</v>
      </c>
      <c r="O146" s="160" t="n">
        <v>3351669</v>
      </c>
      <c r="P146" s="202" t="n">
        <v>1348</v>
      </c>
      <c r="Q146" s="202" t="n">
        <v>3544</v>
      </c>
      <c r="R146" s="202" t="n">
        <v>2196</v>
      </c>
    </row>
    <row r="147" ht="12.75" customHeight="1" s="186">
      <c r="B147" s="164" t="inlineStr">
        <is>
          <t>ES</t>
        </is>
      </c>
      <c r="C147" s="165" t="n">
        <v>2008</v>
      </c>
      <c r="D147" s="166" t="n">
        <v>43.26</v>
      </c>
      <c r="E147" s="166" t="n">
        <v>0.55</v>
      </c>
      <c r="F147" s="167" t="n">
        <v>100</v>
      </c>
      <c r="G147" s="168" t="n">
        <v>7.3092</v>
      </c>
      <c r="H147" s="168" t="n">
        <v>2.9444</v>
      </c>
      <c r="I147" s="167" t="n">
        <v>20231</v>
      </c>
      <c r="J147" s="168" t="n">
        <v>9.914999999999999</v>
      </c>
      <c r="K147" s="169" t="n">
        <v>6.24</v>
      </c>
      <c r="L147" s="170" t="n">
        <v>0</v>
      </c>
      <c r="M147" s="170" t="n">
        <v>0</v>
      </c>
      <c r="N147" s="168" t="n">
        <v>78.6444</v>
      </c>
      <c r="O147" s="167" t="n">
        <v>3453646</v>
      </c>
      <c r="P147" s="202" t="n">
        <v>1471</v>
      </c>
      <c r="Q147" s="202" t="n">
        <v>3653</v>
      </c>
      <c r="R147" s="202" t="n">
        <v>2182</v>
      </c>
    </row>
    <row r="148" ht="12.75" customHeight="1" s="186">
      <c r="B148" s="157" t="inlineStr">
        <is>
          <t>ES</t>
        </is>
      </c>
      <c r="C148" s="158" t="n">
        <v>2009</v>
      </c>
      <c r="D148" s="159" t="n">
        <v>44.65</v>
      </c>
      <c r="E148" s="159" t="n">
        <v>0.46</v>
      </c>
      <c r="F148" s="160" t="n">
        <v>116</v>
      </c>
      <c r="G148" s="161" t="n">
        <v>7.3505</v>
      </c>
      <c r="H148" s="161" t="n">
        <v>2.7726</v>
      </c>
      <c r="I148" s="160" t="n">
        <v>19145</v>
      </c>
      <c r="J148" s="161" t="n">
        <v>9.8598</v>
      </c>
      <c r="K148" s="162" t="n">
        <v>8.48</v>
      </c>
      <c r="L148" s="163" t="n">
        <v>0</v>
      </c>
      <c r="M148" s="163" t="n">
        <v>0</v>
      </c>
      <c r="N148" s="161" t="n">
        <v>78.6444</v>
      </c>
      <c r="O148" s="160" t="n">
        <v>3487199</v>
      </c>
      <c r="P148" s="202" t="n">
        <v>1511</v>
      </c>
      <c r="Q148" s="202" t="n">
        <v>3534</v>
      </c>
      <c r="R148" s="202" t="n">
        <v>2023</v>
      </c>
    </row>
    <row r="149" ht="12.75" customHeight="1" s="186">
      <c r="B149" s="164" t="inlineStr">
        <is>
          <t>ES</t>
        </is>
      </c>
      <c r="C149" s="165" t="n">
        <v>2010</v>
      </c>
      <c r="D149" s="166" t="n">
        <v>38.66</v>
      </c>
      <c r="E149" s="166" t="n">
        <v>0.54</v>
      </c>
      <c r="F149" s="167" t="n">
        <v>135</v>
      </c>
      <c r="G149" s="168" t="n">
        <v>7.2145</v>
      </c>
      <c r="H149" s="168" t="n">
        <v>2.9444</v>
      </c>
      <c r="I149" s="167" t="n">
        <v>24271</v>
      </c>
      <c r="J149" s="168" t="n">
        <v>10.097</v>
      </c>
      <c r="K149" s="169" t="n">
        <v>8.220000000000001</v>
      </c>
      <c r="L149" s="170" t="n">
        <v>0</v>
      </c>
      <c r="M149" s="170" t="n">
        <v>0</v>
      </c>
      <c r="N149" s="168" t="n">
        <v>78.6444</v>
      </c>
      <c r="O149" s="167" t="n">
        <v>3514952</v>
      </c>
      <c r="P149" s="202" t="n">
        <v>1341</v>
      </c>
      <c r="Q149" s="202" t="n">
        <v>3543</v>
      </c>
      <c r="R149" s="202" t="n">
        <v>2202</v>
      </c>
    </row>
    <row r="150" ht="12.75" customHeight="1" s="186">
      <c r="B150" s="157" t="inlineStr">
        <is>
          <t>ES</t>
        </is>
      </c>
      <c r="C150" s="158" t="n">
        <v>2011</v>
      </c>
      <c r="D150" s="159" t="n">
        <v>38.29</v>
      </c>
      <c r="E150" s="159" t="n">
        <v>1.3</v>
      </c>
      <c r="F150" s="160" t="n">
        <v>181</v>
      </c>
      <c r="G150" s="161" t="n">
        <v>7.2138</v>
      </c>
      <c r="H150" s="161" t="n">
        <v>3.8286</v>
      </c>
      <c r="I150" s="160" t="n">
        <v>29877</v>
      </c>
      <c r="J150" s="161" t="n">
        <v>10.3048</v>
      </c>
      <c r="K150" s="162" t="n">
        <v>7.97</v>
      </c>
      <c r="L150" s="163" t="n">
        <v>0</v>
      </c>
      <c r="M150" s="163" t="n">
        <v>0</v>
      </c>
      <c r="N150" s="161" t="n">
        <v>78.6444</v>
      </c>
      <c r="O150" s="160" t="n">
        <v>3547055</v>
      </c>
      <c r="P150" s="202" t="n">
        <v>1340</v>
      </c>
      <c r="Q150" s="202" t="n">
        <v>3427</v>
      </c>
      <c r="R150" s="202" t="n">
        <v>2087</v>
      </c>
    </row>
    <row r="151" ht="12.75" customHeight="1" s="186">
      <c r="B151" s="164" t="inlineStr">
        <is>
          <t>ES</t>
        </is>
      </c>
      <c r="C151" s="165" t="n">
        <v>2012</v>
      </c>
      <c r="D151" s="166" t="n">
        <v>37.73</v>
      </c>
      <c r="E151" s="166" t="n">
        <v>1.03</v>
      </c>
      <c r="F151" s="167" t="n">
        <v>218</v>
      </c>
      <c r="G151" s="168" t="n">
        <v>7.2079</v>
      </c>
      <c r="H151" s="168" t="n">
        <v>3.6109</v>
      </c>
      <c r="I151" s="167" t="n">
        <v>32657</v>
      </c>
      <c r="J151" s="168" t="n">
        <v>10.3938</v>
      </c>
      <c r="K151" s="169" t="n">
        <v>5.78</v>
      </c>
      <c r="L151" s="170" t="n">
        <v>0</v>
      </c>
      <c r="M151" s="170" t="n">
        <v>0</v>
      </c>
      <c r="N151" s="168" t="n">
        <v>78.6444</v>
      </c>
      <c r="O151" s="167" t="n">
        <v>3578067</v>
      </c>
      <c r="P151" s="202" t="n">
        <v>1328</v>
      </c>
      <c r="Q151" s="202" t="n">
        <v>3549</v>
      </c>
      <c r="R151" s="202" t="n">
        <v>2221</v>
      </c>
    </row>
    <row r="152" ht="12.75" customHeight="1" s="186">
      <c r="B152" s="157" t="inlineStr">
        <is>
          <t>ES</t>
        </is>
      </c>
      <c r="C152" s="158" t="n">
        <v>2013</v>
      </c>
      <c r="D152" s="159" t="n">
        <v>33.57</v>
      </c>
      <c r="E152" s="159" t="n">
        <v>0.63</v>
      </c>
      <c r="F152" s="160" t="n">
        <v>242</v>
      </c>
      <c r="G152" s="161" t="n">
        <v>7.1616</v>
      </c>
      <c r="H152" s="161" t="n">
        <v>3.1781</v>
      </c>
      <c r="I152" s="160" t="n">
        <v>30545</v>
      </c>
      <c r="J152" s="161" t="n">
        <v>10.327</v>
      </c>
      <c r="K152" s="162" t="n">
        <v>6.19</v>
      </c>
      <c r="L152" s="163" t="n">
        <v>0</v>
      </c>
      <c r="M152" s="163" t="n">
        <v>0</v>
      </c>
      <c r="N152" s="161" t="n">
        <v>78.6444</v>
      </c>
      <c r="O152" s="160" t="n">
        <v>3839366</v>
      </c>
      <c r="P152" s="202" t="n">
        <v>1282</v>
      </c>
      <c r="Q152" s="202" t="n">
        <v>3423</v>
      </c>
      <c r="R152" s="202" t="n">
        <v>2141</v>
      </c>
    </row>
    <row r="153" ht="12.75" customHeight="1" s="186">
      <c r="B153" s="164" t="inlineStr">
        <is>
          <t>ES</t>
        </is>
      </c>
      <c r="C153" s="165" t="n">
        <v>2014</v>
      </c>
      <c r="D153" s="166" t="n">
        <v>33.23</v>
      </c>
      <c r="E153" s="166" t="n">
        <v>0.21</v>
      </c>
      <c r="F153" s="167" t="n">
        <v>250</v>
      </c>
      <c r="G153" s="168" t="n">
        <v>7.1632</v>
      </c>
      <c r="H153" s="168" t="n">
        <v>2.0794</v>
      </c>
      <c r="I153" s="167" t="n">
        <v>33149</v>
      </c>
      <c r="J153" s="168" t="n">
        <v>10.4088</v>
      </c>
      <c r="K153" s="169" t="n">
        <v>7.14</v>
      </c>
      <c r="L153" s="170" t="n">
        <v>0</v>
      </c>
      <c r="M153" s="170" t="n">
        <v>0</v>
      </c>
      <c r="N153" s="168" t="n">
        <v>78.6444</v>
      </c>
      <c r="O153" s="167" t="n">
        <v>3885049</v>
      </c>
      <c r="P153" s="202" t="n">
        <v>1288</v>
      </c>
      <c r="Q153" s="202" t="n">
        <v>3427</v>
      </c>
      <c r="R153" s="202" t="n">
        <v>2139</v>
      </c>
    </row>
    <row r="154" ht="12.75" customHeight="1" s="186">
      <c r="B154" s="157" t="inlineStr">
        <is>
          <t>ES</t>
        </is>
      </c>
      <c r="C154" s="158" t="n">
        <v>2015</v>
      </c>
      <c r="D154" s="159" t="n">
        <v>27.99</v>
      </c>
      <c r="E154" s="159" t="n">
        <v>0.61</v>
      </c>
      <c r="F154" s="160" t="n">
        <v>274</v>
      </c>
      <c r="G154" s="161" t="n">
        <v>7.0031</v>
      </c>
      <c r="H154" s="161" t="n">
        <v>3.1781</v>
      </c>
      <c r="I154" s="160" t="n">
        <v>30628</v>
      </c>
      <c r="J154" s="161" t="n">
        <v>10.3297</v>
      </c>
      <c r="K154" s="162" t="n">
        <v>7.8</v>
      </c>
      <c r="L154" s="163" t="n">
        <v>0</v>
      </c>
      <c r="M154" s="163" t="n">
        <v>0</v>
      </c>
      <c r="N154" s="161" t="n">
        <v>78.6444</v>
      </c>
      <c r="O154" s="160" t="n">
        <v>3929911</v>
      </c>
      <c r="P154" s="202" t="n">
        <v>1087</v>
      </c>
      <c r="Q154" s="202" t="n">
        <v>3126</v>
      </c>
      <c r="R154" s="202" t="n">
        <v>2039</v>
      </c>
    </row>
    <row r="155" ht="12.75" customHeight="1" s="186">
      <c r="B155" s="171" t="inlineStr">
        <is>
          <t>ES</t>
        </is>
      </c>
      <c r="C155" s="172" t="n">
        <v>2016</v>
      </c>
      <c r="D155" s="173" t="n">
        <v>24.28</v>
      </c>
      <c r="E155" s="173" t="n">
        <v>1.01</v>
      </c>
      <c r="F155" s="174" t="n">
        <v>314</v>
      </c>
      <c r="G155" s="175" t="n">
        <v>6.8721</v>
      </c>
      <c r="H155" s="175" t="n">
        <v>3.6889</v>
      </c>
      <c r="I155" s="174" t="n">
        <v>27497</v>
      </c>
      <c r="J155" s="175" t="n">
        <v>10.2218</v>
      </c>
      <c r="K155" s="176" t="n">
        <v>12.4</v>
      </c>
      <c r="L155" s="177" t="n">
        <v>0</v>
      </c>
      <c r="M155" s="177" t="n">
        <v>0</v>
      </c>
      <c r="N155" s="175" t="n">
        <v>78.6444</v>
      </c>
      <c r="O155" s="174" t="n">
        <v>3973697</v>
      </c>
      <c r="P155" s="202" t="n">
        <v>963</v>
      </c>
      <c r="Q155" s="202" t="n">
        <v>2895</v>
      </c>
      <c r="R155" s="202" t="n">
        <v>1932</v>
      </c>
    </row>
    <row r="156" ht="12.75" customHeight="1" s="186">
      <c r="B156" s="178" t="inlineStr">
        <is>
          <t>ES</t>
        </is>
      </c>
      <c r="C156" s="179" t="n">
        <v>2017</v>
      </c>
      <c r="D156" s="180" t="n">
        <v>30.72</v>
      </c>
      <c r="E156" s="180" t="n">
        <v>3.36</v>
      </c>
      <c r="F156" s="181" t="n">
        <v>449</v>
      </c>
      <c r="G156" s="182" t="n">
        <v>7.118</v>
      </c>
      <c r="H156" s="182" t="n">
        <v>4.9053</v>
      </c>
      <c r="I156" s="181" t="n">
        <v>28235</v>
      </c>
      <c r="J156" s="182" t="n">
        <v>10.2483</v>
      </c>
      <c r="K156" s="183" t="n">
        <v>13.3</v>
      </c>
      <c r="L156" s="184" t="n">
        <v>0</v>
      </c>
      <c r="M156" s="184" t="n">
        <v>0</v>
      </c>
      <c r="N156" s="182" t="n">
        <v>78.6444</v>
      </c>
      <c r="O156" s="181" t="n">
        <v>4016356</v>
      </c>
      <c r="P156" s="202" t="n">
        <v>1223</v>
      </c>
      <c r="Q156" s="202" t="n">
        <v>3203</v>
      </c>
      <c r="R156" s="202" t="n">
        <v>1980</v>
      </c>
    </row>
    <row r="157" ht="12.75" customHeight="1" s="186">
      <c r="B157" s="171" t="inlineStr">
        <is>
          <t>ES</t>
        </is>
      </c>
      <c r="C157" s="172" t="n">
        <v>2018</v>
      </c>
      <c r="D157" s="173" t="n">
        <v>22.28</v>
      </c>
      <c r="E157" s="173" t="n">
        <v>8.08</v>
      </c>
      <c r="F157" s="174" t="n">
        <v>770</v>
      </c>
      <c r="G157" s="175" t="n">
        <v>6.7856</v>
      </c>
      <c r="H157" s="175" t="n">
        <v>5.7714</v>
      </c>
      <c r="I157" s="174" t="n">
        <v>34493</v>
      </c>
      <c r="J157" s="175" t="n">
        <v>10.4485</v>
      </c>
      <c r="K157" s="176" t="n">
        <v>11.7</v>
      </c>
      <c r="L157" s="177" t="n">
        <v>0</v>
      </c>
      <c r="M157" s="177" t="n">
        <v>0</v>
      </c>
      <c r="N157" s="175" t="n">
        <v>78.6444</v>
      </c>
      <c r="O157" s="174" t="n">
        <v>3972388</v>
      </c>
      <c r="P157" s="202" t="n">
        <v>884</v>
      </c>
      <c r="Q157" s="202" t="n">
        <v>2881</v>
      </c>
      <c r="R157" s="202" t="n">
        <v>1997</v>
      </c>
    </row>
    <row r="158" ht="12.75" customHeight="1" s="186">
      <c r="B158" s="178" t="inlineStr">
        <is>
          <t>ES</t>
        </is>
      </c>
      <c r="C158" s="179" t="n">
        <v>2019</v>
      </c>
      <c r="D158" s="180" t="n">
        <v>19.33</v>
      </c>
      <c r="E158" s="180" t="n">
        <v>16.37</v>
      </c>
      <c r="F158" s="181" t="n">
        <v>1428</v>
      </c>
      <c r="G158" s="182" t="n">
        <v>6.6554</v>
      </c>
      <c r="H158" s="182" t="n">
        <v>6.4892</v>
      </c>
      <c r="I158" s="181" t="n">
        <v>34177</v>
      </c>
      <c r="J158" s="182" t="n">
        <v>10.4393</v>
      </c>
      <c r="K158" s="183" t="n">
        <v>11.2</v>
      </c>
      <c r="L158" s="184" t="n">
        <v>0</v>
      </c>
      <c r="M158" s="184" t="n">
        <v>0</v>
      </c>
      <c r="N158" s="182" t="n">
        <v>78.6444</v>
      </c>
      <c r="O158" s="181" t="n">
        <v>4018650</v>
      </c>
      <c r="P158" s="202" t="n">
        <v>776</v>
      </c>
      <c r="Q158" s="202" t="n">
        <v>2758</v>
      </c>
      <c r="R158" s="202" t="n">
        <v>1982</v>
      </c>
    </row>
    <row r="159" ht="12.75" customHeight="1" s="186">
      <c r="B159" s="171" t="inlineStr">
        <is>
          <t>ES</t>
        </is>
      </c>
      <c r="C159" s="172" t="n">
        <v>2020</v>
      </c>
      <c r="D159" s="173" t="n">
        <v>22.98</v>
      </c>
      <c r="E159" s="173" t="n">
        <v>18.45</v>
      </c>
      <c r="F159" s="174" t="n">
        <v>2178</v>
      </c>
      <c r="G159" s="175" t="n">
        <v>6.8395</v>
      </c>
      <c r="H159" s="175" t="n">
        <v>6.6201</v>
      </c>
      <c r="I159" s="174" t="n">
        <v>34066</v>
      </c>
      <c r="J159" s="175" t="n">
        <v>10.4361</v>
      </c>
      <c r="K159" s="176" t="n">
        <v>12.9</v>
      </c>
      <c r="L159" s="177" t="n">
        <v>0</v>
      </c>
      <c r="M159" s="177" t="n">
        <v>1</v>
      </c>
      <c r="N159" s="175" t="n">
        <v>78.6444</v>
      </c>
      <c r="O159" s="174" t="n">
        <v>4064052</v>
      </c>
      <c r="P159" s="202" t="n">
        <v>919</v>
      </c>
      <c r="Q159" s="202" t="n">
        <v>2901</v>
      </c>
      <c r="R159" s="202" t="n">
        <v>1982</v>
      </c>
    </row>
    <row r="160" ht="12.75" customHeight="1" s="186">
      <c r="B160" s="178" t="inlineStr">
        <is>
          <t>ES</t>
        </is>
      </c>
      <c r="C160" s="179" t="n">
        <v>2021</v>
      </c>
      <c r="D160" s="180" t="n">
        <v>22.1</v>
      </c>
      <c r="E160" s="180" t="n">
        <v>56.47</v>
      </c>
      <c r="F160" s="181" t="n">
        <v>4498</v>
      </c>
      <c r="G160" s="182" t="n">
        <v>6.8112</v>
      </c>
      <c r="H160" s="182" t="n">
        <v>7.7493</v>
      </c>
      <c r="I160" s="181" t="n">
        <v>45354</v>
      </c>
      <c r="J160" s="182" t="n">
        <v>10.7223</v>
      </c>
      <c r="K160" s="183" t="n">
        <v>11.2</v>
      </c>
      <c r="L160" s="184" t="n">
        <v>0</v>
      </c>
      <c r="M160" s="184" t="n">
        <v>1</v>
      </c>
      <c r="N160" s="182" t="n">
        <v>78.6444</v>
      </c>
      <c r="O160" s="181" t="n">
        <v>4108508</v>
      </c>
      <c r="P160" s="202" t="n">
        <v>864</v>
      </c>
      <c r="Q160" s="202" t="n">
        <v>3016</v>
      </c>
      <c r="R160" s="202" t="n">
        <v>2152</v>
      </c>
    </row>
    <row r="161" ht="12.75" customHeight="1" s="186">
      <c r="B161" s="171" t="inlineStr">
        <is>
          <t>ES</t>
        </is>
      </c>
      <c r="C161" s="172" t="n">
        <v>2022</v>
      </c>
      <c r="D161" s="173" t="n">
        <v>22.43</v>
      </c>
      <c r="E161" s="173" t="n">
        <v>78.64</v>
      </c>
      <c r="F161" s="174" t="n">
        <v>7513</v>
      </c>
      <c r="G161" s="175" t="n">
        <v>6.7569</v>
      </c>
      <c r="H161" s="175" t="n">
        <v>8.0114</v>
      </c>
      <c r="I161" s="174" t="n">
        <v>47617</v>
      </c>
      <c r="J161" s="175" t="n">
        <v>10.7709</v>
      </c>
      <c r="K161" s="176" t="n">
        <v>8</v>
      </c>
      <c r="L161" s="177" t="n">
        <v>0</v>
      </c>
      <c r="M161" s="177" t="n">
        <v>0</v>
      </c>
      <c r="N161" s="175" t="n">
        <v>78.6444</v>
      </c>
      <c r="O161" s="174" t="n">
        <v>3833712</v>
      </c>
      <c r="P161" s="202" t="n">
        <v>821</v>
      </c>
      <c r="Q161" s="202" t="n">
        <v>3077</v>
      </c>
      <c r="R161" s="202" t="n">
        <v>2256</v>
      </c>
    </row>
    <row r="162" ht="12.75" customHeight="1" s="186">
      <c r="B162" s="178" t="inlineStr">
        <is>
          <t>ES</t>
        </is>
      </c>
      <c r="C162" s="179" t="n">
        <v>2023</v>
      </c>
      <c r="D162" s="180" t="n">
        <v>21.96</v>
      </c>
      <c r="E162" s="180" t="n">
        <v>1.02</v>
      </c>
      <c r="F162" s="181" t="n">
        <v>7552</v>
      </c>
      <c r="G162" s="182" t="n">
        <v>6.7358</v>
      </c>
      <c r="H162" s="182" t="n">
        <v>3.6636</v>
      </c>
      <c r="I162" s="181" t="n">
        <v>54733</v>
      </c>
      <c r="J162" s="182" t="n">
        <v>10.9102</v>
      </c>
      <c r="K162" s="183" t="n">
        <v>6.1</v>
      </c>
      <c r="L162" s="184" t="n">
        <v>1</v>
      </c>
      <c r="M162" s="184" t="n">
        <v>0</v>
      </c>
      <c r="N162" s="182" t="n">
        <v>78.6444</v>
      </c>
      <c r="O162" s="181" t="n">
        <v>3833712</v>
      </c>
      <c r="P162" s="202" t="n">
        <v>820</v>
      </c>
      <c r="Q162" s="202" t="n">
        <v>3138</v>
      </c>
      <c r="R162" s="202" t="n">
        <v>2318</v>
      </c>
    </row>
    <row r="163" ht="12.75" customHeight="1" s="186">
      <c r="B163" s="171" t="inlineStr">
        <is>
          <t>ES</t>
        </is>
      </c>
      <c r="C163" s="172" t="n">
        <v>2024</v>
      </c>
      <c r="D163" s="173" t="n">
        <v>18.14</v>
      </c>
      <c r="E163" s="173" t="n">
        <v>12.55</v>
      </c>
      <c r="F163" s="174" t="n">
        <v>8067</v>
      </c>
      <c r="G163" s="175" t="n">
        <v>6.612</v>
      </c>
      <c r="H163" s="175" t="n">
        <v>6.2442</v>
      </c>
      <c r="I163" s="174" t="n">
        <v>53393</v>
      </c>
      <c r="J163" s="175" t="n">
        <v>10.8854</v>
      </c>
      <c r="K163" s="176" t="n">
        <v>4.7</v>
      </c>
      <c r="L163" s="177" t="n">
        <v>1</v>
      </c>
      <c r="M163" s="177" t="n">
        <v>0</v>
      </c>
      <c r="N163" s="175" t="n">
        <v>78.6444</v>
      </c>
      <c r="O163" s="174" t="n">
        <v>4102129</v>
      </c>
      <c r="P163" s="202" t="n">
        <v>710</v>
      </c>
      <c r="Q163" s="202" t="n">
        <v>3145</v>
      </c>
      <c r="R163" s="202" t="n">
        <v>2435</v>
      </c>
    </row>
    <row r="164" ht="12.75" customHeight="1" s="186">
      <c r="B164" s="157" t="inlineStr">
        <is>
          <t>GO</t>
        </is>
      </c>
      <c r="C164" s="158" t="n">
        <v>2005</v>
      </c>
      <c r="D164" s="159" t="n">
        <v>15.85</v>
      </c>
      <c r="E164" s="159" t="n">
        <v>0.8</v>
      </c>
      <c r="F164" s="160" t="n">
        <v>45</v>
      </c>
      <c r="G164" s="161" t="n">
        <v>6.7923</v>
      </c>
      <c r="H164" s="161" t="n">
        <v>3.8067</v>
      </c>
      <c r="I164" s="160" t="n">
        <v>8992</v>
      </c>
      <c r="J164" s="161" t="n">
        <v>9.104100000000001</v>
      </c>
      <c r="K164" s="162" t="n">
        <v>9.81</v>
      </c>
      <c r="L164" s="163" t="n">
        <v>0</v>
      </c>
      <c r="M164" s="163" t="n">
        <v>0</v>
      </c>
      <c r="N164" s="161" t="n">
        <v>412.6553</v>
      </c>
      <c r="O164" s="160" t="n">
        <v>5619917</v>
      </c>
      <c r="P164" s="202" t="n">
        <v>922</v>
      </c>
      <c r="Q164" s="202" t="n">
        <v>3971</v>
      </c>
      <c r="R164" s="202" t="n">
        <v>3049</v>
      </c>
    </row>
    <row r="165" ht="12.75" customHeight="1" s="186">
      <c r="B165" s="164" t="inlineStr">
        <is>
          <t>GO</t>
        </is>
      </c>
      <c r="C165" s="165" t="n">
        <v>2006</v>
      </c>
      <c r="D165" s="166" t="n">
        <v>16.11</v>
      </c>
      <c r="E165" s="166" t="n">
        <v>0.54</v>
      </c>
      <c r="F165" s="167" t="n">
        <v>76</v>
      </c>
      <c r="G165" s="168" t="n">
        <v>6.8276</v>
      </c>
      <c r="H165" s="168" t="n">
        <v>3.434</v>
      </c>
      <c r="I165" s="167" t="n">
        <v>9956</v>
      </c>
      <c r="J165" s="168" t="n">
        <v>9.2059</v>
      </c>
      <c r="K165" s="169" t="n">
        <v>7.65</v>
      </c>
      <c r="L165" s="170" t="n">
        <v>0</v>
      </c>
      <c r="M165" s="170" t="n">
        <v>0</v>
      </c>
      <c r="N165" s="168" t="n">
        <v>412.6553</v>
      </c>
      <c r="O165" s="167" t="n">
        <v>5730753</v>
      </c>
      <c r="P165" s="202" t="n">
        <v>965</v>
      </c>
      <c r="Q165" s="202" t="n">
        <v>3763</v>
      </c>
      <c r="R165" s="202" t="n">
        <v>2798</v>
      </c>
    </row>
    <row r="166" ht="12.75" customHeight="1" s="186">
      <c r="B166" s="157" t="inlineStr">
        <is>
          <t>GO</t>
        </is>
      </c>
      <c r="C166" s="158" t="n">
        <v>2007</v>
      </c>
      <c r="D166" s="159" t="n">
        <v>16.73</v>
      </c>
      <c r="E166" s="159" t="n">
        <v>0.62</v>
      </c>
      <c r="F166" s="160" t="n">
        <v>111</v>
      </c>
      <c r="G166" s="161" t="n">
        <v>6.8512</v>
      </c>
      <c r="H166" s="161" t="n">
        <v>3.5553</v>
      </c>
      <c r="I166" s="160" t="n">
        <v>11548</v>
      </c>
      <c r="J166" s="161" t="n">
        <v>9.3543</v>
      </c>
      <c r="K166" s="162" t="n">
        <v>8.220000000000001</v>
      </c>
      <c r="L166" s="163" t="n">
        <v>0</v>
      </c>
      <c r="M166" s="163" t="n">
        <v>0</v>
      </c>
      <c r="N166" s="161" t="n">
        <v>412.6553</v>
      </c>
      <c r="O166" s="160" t="n">
        <v>5647035</v>
      </c>
      <c r="P166" s="202" t="n">
        <v>991</v>
      </c>
      <c r="Q166" s="202" t="n">
        <v>3907</v>
      </c>
      <c r="R166" s="202" t="n">
        <v>2916</v>
      </c>
    </row>
    <row r="167" ht="12.75" customHeight="1" s="186">
      <c r="B167" s="164" t="inlineStr">
        <is>
          <t>GO</t>
        </is>
      </c>
      <c r="C167" s="165" t="n">
        <v>2008</v>
      </c>
      <c r="D167" s="166" t="n">
        <v>20.15</v>
      </c>
      <c r="E167" s="166" t="n">
        <v>0.92</v>
      </c>
      <c r="F167" s="167" t="n">
        <v>165</v>
      </c>
      <c r="G167" s="168" t="n">
        <v>7.0716</v>
      </c>
      <c r="H167" s="168" t="n">
        <v>3.989</v>
      </c>
      <c r="I167" s="167" t="n">
        <v>12878</v>
      </c>
      <c r="J167" s="168" t="n">
        <v>9.4633</v>
      </c>
      <c r="K167" s="169" t="n">
        <v>7.22</v>
      </c>
      <c r="L167" s="170" t="n">
        <v>0</v>
      </c>
      <c r="M167" s="170" t="n">
        <v>0</v>
      </c>
      <c r="N167" s="168" t="n">
        <v>412.6553</v>
      </c>
      <c r="O167" s="167" t="n">
        <v>5844995</v>
      </c>
      <c r="P167" s="202" t="n">
        <v>1168</v>
      </c>
      <c r="Q167" s="202" t="n">
        <v>4418</v>
      </c>
      <c r="R167" s="202" t="n">
        <v>3250</v>
      </c>
    </row>
    <row r="168" ht="12.75" customHeight="1" s="186">
      <c r="B168" s="157" t="inlineStr">
        <is>
          <t>GO</t>
        </is>
      </c>
      <c r="C168" s="158" t="n">
        <v>2009</v>
      </c>
      <c r="D168" s="159" t="n">
        <v>20.11</v>
      </c>
      <c r="E168" s="159" t="n">
        <v>0.84</v>
      </c>
      <c r="F168" s="160" t="n">
        <v>215</v>
      </c>
      <c r="G168" s="161" t="n">
        <v>7.0834</v>
      </c>
      <c r="H168" s="161" t="n">
        <v>3.912</v>
      </c>
      <c r="I168" s="160" t="n">
        <v>14447</v>
      </c>
      <c r="J168" s="161" t="n">
        <v>9.578200000000001</v>
      </c>
      <c r="K168" s="162" t="n">
        <v>8.51</v>
      </c>
      <c r="L168" s="163" t="n">
        <v>0</v>
      </c>
      <c r="M168" s="163" t="n">
        <v>0</v>
      </c>
      <c r="N168" s="161" t="n">
        <v>412.6553</v>
      </c>
      <c r="O168" s="160" t="n">
        <v>5926300</v>
      </c>
      <c r="P168" s="202" t="n">
        <v>1233</v>
      </c>
      <c r="Q168" s="202" t="n">
        <v>4479</v>
      </c>
      <c r="R168" s="202" t="n">
        <v>3246</v>
      </c>
    </row>
    <row r="169" ht="12.75" customHeight="1" s="186">
      <c r="B169" s="164" t="inlineStr">
        <is>
          <t>GO</t>
        </is>
      </c>
      <c r="C169" s="165" t="n">
        <v>2010</v>
      </c>
      <c r="D169" s="166" t="n">
        <v>21.15</v>
      </c>
      <c r="E169" s="166" t="n">
        <v>1.03</v>
      </c>
      <c r="F169" s="167" t="n">
        <v>277</v>
      </c>
      <c r="G169" s="168" t="n">
        <v>7.1468</v>
      </c>
      <c r="H169" s="168" t="n">
        <v>4.1271</v>
      </c>
      <c r="I169" s="167" t="n">
        <v>17784</v>
      </c>
      <c r="J169" s="168" t="n">
        <v>9.786099999999999</v>
      </c>
      <c r="K169" s="169" t="n">
        <v>6.72</v>
      </c>
      <c r="L169" s="170" t="n">
        <v>0</v>
      </c>
      <c r="M169" s="170" t="n">
        <v>0</v>
      </c>
      <c r="N169" s="168" t="n">
        <v>412.6553</v>
      </c>
      <c r="O169" s="167" t="n">
        <v>6003788</v>
      </c>
      <c r="P169" s="202" t="n">
        <v>1286</v>
      </c>
      <c r="Q169" s="202" t="n">
        <v>4746</v>
      </c>
      <c r="R169" s="202" t="n">
        <v>3460</v>
      </c>
    </row>
    <row r="170" ht="12.75" customHeight="1" s="186">
      <c r="B170" s="157" t="inlineStr">
        <is>
          <t>GO</t>
        </is>
      </c>
      <c r="C170" s="158" t="n">
        <v>2011</v>
      </c>
      <c r="D170" s="159" t="n">
        <v>25.26</v>
      </c>
      <c r="E170" s="159" t="n">
        <v>1.6</v>
      </c>
      <c r="F170" s="160" t="n">
        <v>374</v>
      </c>
      <c r="G170" s="161" t="n">
        <v>7.3369</v>
      </c>
      <c r="H170" s="161" t="n">
        <v>4.5747</v>
      </c>
      <c r="I170" s="160" t="n">
        <v>19948</v>
      </c>
      <c r="J170" s="161" t="n">
        <v>9.9009</v>
      </c>
      <c r="K170" s="162" t="n">
        <v>4.94</v>
      </c>
      <c r="L170" s="163" t="n">
        <v>0</v>
      </c>
      <c r="M170" s="163" t="n">
        <v>0</v>
      </c>
      <c r="N170" s="161" t="n">
        <v>412.6553</v>
      </c>
      <c r="O170" s="160" t="n">
        <v>6080716</v>
      </c>
      <c r="P170" s="202" t="n">
        <v>1544</v>
      </c>
      <c r="Q170" s="202" t="n">
        <v>5016</v>
      </c>
      <c r="R170" s="202" t="n">
        <v>3472</v>
      </c>
    </row>
    <row r="171" ht="12.75" customHeight="1" s="186">
      <c r="B171" s="164" t="inlineStr">
        <is>
          <t>GO</t>
        </is>
      </c>
      <c r="C171" s="165" t="n">
        <v>2012</v>
      </c>
      <c r="D171" s="166" t="n">
        <v>30.9</v>
      </c>
      <c r="E171" s="166" t="n">
        <v>1.56</v>
      </c>
      <c r="F171" s="167" t="n">
        <v>470</v>
      </c>
      <c r="G171" s="168" t="n">
        <v>7.5507</v>
      </c>
      <c r="H171" s="168" t="n">
        <v>4.5643</v>
      </c>
      <c r="I171" s="167" t="n">
        <v>22544</v>
      </c>
      <c r="J171" s="168" t="n">
        <v>10.0232</v>
      </c>
      <c r="K171" s="169" t="n">
        <v>4.92</v>
      </c>
      <c r="L171" s="170" t="n">
        <v>0</v>
      </c>
      <c r="M171" s="170" t="n">
        <v>0</v>
      </c>
      <c r="N171" s="168" t="n">
        <v>412.6553</v>
      </c>
      <c r="O171" s="167" t="n">
        <v>6154996</v>
      </c>
      <c r="P171" s="202" t="n">
        <v>1913</v>
      </c>
      <c r="Q171" s="202" t="n">
        <v>5767</v>
      </c>
      <c r="R171" s="202" t="n">
        <v>3854</v>
      </c>
    </row>
    <row r="172" ht="12.75" customHeight="1" s="186">
      <c r="B172" s="157" t="inlineStr">
        <is>
          <t>GO</t>
        </is>
      </c>
      <c r="C172" s="158" t="n">
        <v>2013</v>
      </c>
      <c r="D172" s="159" t="n">
        <v>32.58</v>
      </c>
      <c r="E172" s="159" t="n">
        <v>1.1</v>
      </c>
      <c r="F172" s="160" t="n">
        <v>541</v>
      </c>
      <c r="G172" s="161" t="n">
        <v>7.6478</v>
      </c>
      <c r="H172" s="161" t="n">
        <v>4.2627</v>
      </c>
      <c r="I172" s="160" t="n">
        <v>23516</v>
      </c>
      <c r="J172" s="161" t="n">
        <v>10.0654</v>
      </c>
      <c r="K172" s="162" t="n">
        <v>5.74</v>
      </c>
      <c r="L172" s="163" t="n">
        <v>0</v>
      </c>
      <c r="M172" s="163" t="n">
        <v>0</v>
      </c>
      <c r="N172" s="161" t="n">
        <v>412.6553</v>
      </c>
      <c r="O172" s="160" t="n">
        <v>6434048</v>
      </c>
      <c r="P172" s="202" t="n">
        <v>2082</v>
      </c>
      <c r="Q172" s="202" t="n">
        <v>5872</v>
      </c>
      <c r="R172" s="202" t="n">
        <v>3790</v>
      </c>
    </row>
    <row r="173" ht="12.75" customHeight="1" s="186">
      <c r="B173" s="164" t="inlineStr">
        <is>
          <t>GO</t>
        </is>
      </c>
      <c r="C173" s="165" t="n">
        <v>2014</v>
      </c>
      <c r="D173" s="166" t="n">
        <v>30.55</v>
      </c>
      <c r="E173" s="166" t="n">
        <v>0.83</v>
      </c>
      <c r="F173" s="167" t="n">
        <v>595</v>
      </c>
      <c r="G173" s="168" t="n">
        <v>7.5974</v>
      </c>
      <c r="H173" s="168" t="n">
        <v>3.989</v>
      </c>
      <c r="I173" s="167" t="n">
        <v>25297</v>
      </c>
      <c r="J173" s="168" t="n">
        <v>10.1384</v>
      </c>
      <c r="K173" s="169" t="n">
        <v>5.17</v>
      </c>
      <c r="L173" s="170" t="n">
        <v>0</v>
      </c>
      <c r="M173" s="170" t="n">
        <v>0</v>
      </c>
      <c r="N173" s="168" t="n">
        <v>412.6553</v>
      </c>
      <c r="O173" s="167" t="n">
        <v>6523222</v>
      </c>
      <c r="P173" s="202" t="n">
        <v>2010</v>
      </c>
      <c r="Q173" s="202" t="n">
        <v>5997</v>
      </c>
      <c r="R173" s="202" t="n">
        <v>3987</v>
      </c>
    </row>
    <row r="174" ht="12.75" customHeight="1" s="186">
      <c r="B174" s="157" t="inlineStr">
        <is>
          <t>GO</t>
        </is>
      </c>
      <c r="C174" s="158" t="n">
        <v>2015</v>
      </c>
      <c r="D174" s="159" t="n">
        <v>32.07</v>
      </c>
      <c r="E174" s="159" t="n">
        <v>0.26</v>
      </c>
      <c r="F174" s="160" t="n">
        <v>612</v>
      </c>
      <c r="G174" s="161" t="n">
        <v>7.6592</v>
      </c>
      <c r="H174" s="161" t="n">
        <v>2.8332</v>
      </c>
      <c r="I174" s="160" t="n">
        <v>26265</v>
      </c>
      <c r="J174" s="161" t="n">
        <v>10.176</v>
      </c>
      <c r="K174" s="162" t="n">
        <v>7.4</v>
      </c>
      <c r="L174" s="163" t="n">
        <v>0</v>
      </c>
      <c r="M174" s="163" t="n">
        <v>0</v>
      </c>
      <c r="N174" s="161" t="n">
        <v>412.6553</v>
      </c>
      <c r="O174" s="160" t="n">
        <v>6610681</v>
      </c>
      <c r="P174" s="202" t="n">
        <v>2119</v>
      </c>
      <c r="Q174" s="202" t="n">
        <v>5872</v>
      </c>
      <c r="R174" s="202" t="n">
        <v>3753</v>
      </c>
    </row>
    <row r="175" ht="12.75" customHeight="1" s="186">
      <c r="B175" s="171" t="inlineStr">
        <is>
          <t>GO</t>
        </is>
      </c>
      <c r="C175" s="172" t="n">
        <v>2016</v>
      </c>
      <c r="D175" s="173" t="n">
        <v>31.86</v>
      </c>
      <c r="E175" s="173" t="n">
        <v>1.72</v>
      </c>
      <c r="F175" s="174" t="n">
        <v>727</v>
      </c>
      <c r="G175" s="175" t="n">
        <v>7.6653</v>
      </c>
      <c r="H175" s="175" t="n">
        <v>4.7449</v>
      </c>
      <c r="I175" s="174" t="n">
        <v>27145</v>
      </c>
      <c r="J175" s="175" t="n">
        <v>10.2089</v>
      </c>
      <c r="K175" s="176" t="n">
        <v>10.7</v>
      </c>
      <c r="L175" s="177" t="n">
        <v>0</v>
      </c>
      <c r="M175" s="177" t="n">
        <v>0</v>
      </c>
      <c r="N175" s="175" t="n">
        <v>412.6553</v>
      </c>
      <c r="O175" s="174" t="n">
        <v>6695855</v>
      </c>
      <c r="P175" s="202" t="n">
        <v>2109</v>
      </c>
      <c r="Q175" s="202" t="n">
        <v>5797</v>
      </c>
      <c r="R175" s="202" t="n">
        <v>3688</v>
      </c>
    </row>
    <row r="176" ht="12.75" customHeight="1" s="186">
      <c r="B176" s="178" t="inlineStr">
        <is>
          <t>GO</t>
        </is>
      </c>
      <c r="C176" s="179" t="n">
        <v>2017</v>
      </c>
      <c r="D176" s="180" t="n">
        <v>30.39</v>
      </c>
      <c r="E176" s="180" t="n">
        <v>4.44</v>
      </c>
      <c r="F176" s="181" t="n">
        <v>1028</v>
      </c>
      <c r="G176" s="182" t="n">
        <v>7.6305</v>
      </c>
      <c r="H176" s="182" t="n">
        <v>5.7071</v>
      </c>
      <c r="I176" s="181" t="n">
        <v>28316</v>
      </c>
      <c r="J176" s="182" t="n">
        <v>10.2512</v>
      </c>
      <c r="K176" s="183" t="n">
        <v>10.7</v>
      </c>
      <c r="L176" s="184" t="n">
        <v>0</v>
      </c>
      <c r="M176" s="184" t="n">
        <v>0</v>
      </c>
      <c r="N176" s="182" t="n">
        <v>412.6553</v>
      </c>
      <c r="O176" s="181" t="n">
        <v>6778772</v>
      </c>
      <c r="P176" s="202" t="n">
        <v>2028</v>
      </c>
      <c r="Q176" s="202" t="n">
        <v>5619</v>
      </c>
      <c r="R176" s="202" t="n">
        <v>3591</v>
      </c>
    </row>
    <row r="177" ht="12.75" customHeight="1" s="186">
      <c r="B177" s="171" t="inlineStr">
        <is>
          <t>GO</t>
        </is>
      </c>
      <c r="C177" s="172" t="n">
        <v>2018</v>
      </c>
      <c r="D177" s="173" t="n">
        <v>27.24</v>
      </c>
      <c r="E177" s="173" t="n">
        <v>8.58</v>
      </c>
      <c r="F177" s="174" t="n">
        <v>1622</v>
      </c>
      <c r="G177" s="175" t="n">
        <v>7.5417</v>
      </c>
      <c r="H177" s="175" t="n">
        <v>6.3869</v>
      </c>
      <c r="I177" s="174" t="n">
        <v>28273</v>
      </c>
      <c r="J177" s="175" t="n">
        <v>10.2497</v>
      </c>
      <c r="K177" s="176" t="n">
        <v>9.300000000000001</v>
      </c>
      <c r="L177" s="177" t="n">
        <v>0</v>
      </c>
      <c r="M177" s="177" t="n">
        <v>0</v>
      </c>
      <c r="N177" s="175" t="n">
        <v>412.6553</v>
      </c>
      <c r="O177" s="174" t="n">
        <v>6921161</v>
      </c>
      <c r="P177" s="202" t="n">
        <v>1838</v>
      </c>
      <c r="Q177" s="202" t="n">
        <v>5339</v>
      </c>
      <c r="R177" s="202" t="n">
        <v>3501</v>
      </c>
    </row>
    <row r="178" ht="12.75" customHeight="1" s="186">
      <c r="B178" s="178" t="inlineStr">
        <is>
          <t>GO</t>
        </is>
      </c>
      <c r="C178" s="179" t="n">
        <v>2019</v>
      </c>
      <c r="D178" s="180" t="n">
        <v>21.03</v>
      </c>
      <c r="E178" s="180" t="n">
        <v>43.4</v>
      </c>
      <c r="F178" s="181" t="n">
        <v>4668</v>
      </c>
      <c r="G178" s="182" t="n">
        <v>7.2971</v>
      </c>
      <c r="H178" s="182" t="n">
        <v>8.021599999999999</v>
      </c>
      <c r="I178" s="181" t="n">
        <v>29732</v>
      </c>
      <c r="J178" s="182" t="n">
        <v>10.3</v>
      </c>
      <c r="K178" s="183" t="n">
        <v>10.8</v>
      </c>
      <c r="L178" s="184" t="n">
        <v>0</v>
      </c>
      <c r="M178" s="184" t="n">
        <v>0</v>
      </c>
      <c r="N178" s="182" t="n">
        <v>412.6553</v>
      </c>
      <c r="O178" s="181" t="n">
        <v>7018354</v>
      </c>
      <c r="P178" s="202" t="n">
        <v>1445</v>
      </c>
      <c r="Q178" s="202" t="n">
        <v>4957</v>
      </c>
      <c r="R178" s="202" t="n">
        <v>3512</v>
      </c>
    </row>
    <row r="179" ht="12.75" customHeight="1" s="186">
      <c r="B179" s="171" t="inlineStr">
        <is>
          <t>GO</t>
        </is>
      </c>
      <c r="C179" s="172" t="n">
        <v>2020</v>
      </c>
      <c r="D179" s="173" t="n">
        <v>19.86</v>
      </c>
      <c r="E179" s="173" t="n">
        <v>119.46</v>
      </c>
      <c r="F179" s="174" t="n">
        <v>13166</v>
      </c>
      <c r="G179" s="175" t="n">
        <v>7.2535</v>
      </c>
      <c r="H179" s="175" t="n">
        <v>9.047599999999999</v>
      </c>
      <c r="I179" s="174" t="n">
        <v>31507</v>
      </c>
      <c r="J179" s="175" t="n">
        <v>10.358</v>
      </c>
      <c r="K179" s="176" t="n">
        <v>12.8</v>
      </c>
      <c r="L179" s="177" t="n">
        <v>0</v>
      </c>
      <c r="M179" s="177" t="n">
        <v>1</v>
      </c>
      <c r="N179" s="175" t="n">
        <v>412.6553</v>
      </c>
      <c r="O179" s="174" t="n">
        <v>7113540</v>
      </c>
      <c r="P179" s="202" t="n">
        <v>1376</v>
      </c>
      <c r="Q179" s="202" t="n">
        <v>5208</v>
      </c>
      <c r="R179" s="202" t="n">
        <v>3832</v>
      </c>
    </row>
    <row r="180" ht="12.75" customHeight="1" s="186">
      <c r="B180" s="178" t="inlineStr">
        <is>
          <t>GO</t>
        </is>
      </c>
      <c r="C180" s="179" t="n">
        <v>2021</v>
      </c>
      <c r="D180" s="180" t="n">
        <v>14.11</v>
      </c>
      <c r="E180" s="180" t="n">
        <v>305.83</v>
      </c>
      <c r="F180" s="181" t="n">
        <v>35206</v>
      </c>
      <c r="G180" s="182" t="n">
        <v>6.9246</v>
      </c>
      <c r="H180" s="182" t="n">
        <v>10.0006</v>
      </c>
      <c r="I180" s="181" t="n">
        <v>37414</v>
      </c>
      <c r="J180" s="182" t="n">
        <v>10.5298</v>
      </c>
      <c r="K180" s="183" t="n">
        <v>11.3</v>
      </c>
      <c r="L180" s="184" t="n">
        <v>0</v>
      </c>
      <c r="M180" s="184" t="n">
        <v>1</v>
      </c>
      <c r="N180" s="182" t="n">
        <v>412.6553</v>
      </c>
      <c r="O180" s="181" t="n">
        <v>7206589</v>
      </c>
      <c r="P180" s="202" t="n">
        <v>1004</v>
      </c>
      <c r="Q180" s="202" t="n">
        <v>5002</v>
      </c>
      <c r="R180" s="202" t="n">
        <v>3998</v>
      </c>
    </row>
    <row r="181" ht="12.75" customHeight="1" s="186">
      <c r="B181" s="171" t="inlineStr">
        <is>
          <t>GO</t>
        </is>
      </c>
      <c r="C181" s="172" t="n">
        <v>2022</v>
      </c>
      <c r="D181" s="173" t="n">
        <v>13.41</v>
      </c>
      <c r="E181" s="173" t="n">
        <v>412.66</v>
      </c>
      <c r="F181" s="174" t="n">
        <v>64325</v>
      </c>
      <c r="G181" s="175" t="n">
        <v>6.8522</v>
      </c>
      <c r="H181" s="175" t="n">
        <v>10.2791</v>
      </c>
      <c r="I181" s="174" t="n">
        <v>45148</v>
      </c>
      <c r="J181" s="175" t="n">
        <v>10.7177</v>
      </c>
      <c r="K181" s="176" t="n">
        <v>7.2</v>
      </c>
      <c r="L181" s="177" t="n">
        <v>0</v>
      </c>
      <c r="M181" s="177" t="n">
        <v>0</v>
      </c>
      <c r="N181" s="175" t="n">
        <v>412.6553</v>
      </c>
      <c r="O181" s="174" t="n">
        <v>7056495</v>
      </c>
      <c r="P181" s="202" t="n">
        <v>913</v>
      </c>
      <c r="Q181" s="202" t="n">
        <v>4955</v>
      </c>
      <c r="R181" s="202" t="n">
        <v>4042</v>
      </c>
    </row>
    <row r="182" ht="12.75" customHeight="1" s="186">
      <c r="B182" s="178" t="inlineStr">
        <is>
          <t>GO</t>
        </is>
      </c>
      <c r="C182" s="179" t="n">
        <v>2023</v>
      </c>
      <c r="D182" s="180" t="n">
        <v>11.9</v>
      </c>
      <c r="E182" s="180" t="n">
        <v>0.74</v>
      </c>
      <c r="F182" s="181" t="n">
        <v>64377</v>
      </c>
      <c r="G182" s="182" t="n">
        <v>6.7334</v>
      </c>
      <c r="H182" s="182" t="n">
        <v>3.9512</v>
      </c>
      <c r="I182" s="181" t="n">
        <v>47722</v>
      </c>
      <c r="J182" s="182" t="n">
        <v>10.7731</v>
      </c>
      <c r="K182" s="183" t="n">
        <v>6.2</v>
      </c>
      <c r="L182" s="184" t="n">
        <v>1</v>
      </c>
      <c r="M182" s="184" t="n">
        <v>0</v>
      </c>
      <c r="N182" s="182" t="n">
        <v>412.6553</v>
      </c>
      <c r="O182" s="181" t="n">
        <v>7056495</v>
      </c>
      <c r="P182" s="202" t="n">
        <v>813</v>
      </c>
      <c r="Q182" s="202" t="n">
        <v>4913</v>
      </c>
      <c r="R182" s="202" t="n">
        <v>4100</v>
      </c>
    </row>
    <row r="183" ht="12.75" customHeight="1" s="186">
      <c r="B183" s="171" t="inlineStr">
        <is>
          <t>GO</t>
        </is>
      </c>
      <c r="C183" s="172" t="n">
        <v>2024</v>
      </c>
      <c r="D183" s="173" t="n">
        <v>8.630000000000001</v>
      </c>
      <c r="E183" s="173" t="n">
        <v>68.7</v>
      </c>
      <c r="F183" s="174" t="n">
        <v>69427</v>
      </c>
      <c r="G183" s="175" t="n">
        <v>6.452</v>
      </c>
      <c r="H183" s="175" t="n">
        <v>8.527100000000001</v>
      </c>
      <c r="I183" s="174" t="n">
        <v>50470</v>
      </c>
      <c r="J183" s="175" t="n">
        <v>10.8291</v>
      </c>
      <c r="K183" s="176" t="n">
        <v>5.4</v>
      </c>
      <c r="L183" s="177" t="n">
        <v>1</v>
      </c>
      <c r="M183" s="177" t="n">
        <v>0</v>
      </c>
      <c r="N183" s="175" t="n">
        <v>412.6553</v>
      </c>
      <c r="O183" s="174" t="n">
        <v>7350483</v>
      </c>
      <c r="P183" s="202" t="n">
        <v>631</v>
      </c>
      <c r="Q183" s="202" t="n">
        <v>4934</v>
      </c>
      <c r="R183" s="202" t="n">
        <v>4303</v>
      </c>
    </row>
    <row r="184" ht="12.75" customHeight="1" s="186">
      <c r="B184" s="157" t="inlineStr">
        <is>
          <t>MA</t>
        </is>
      </c>
      <c r="C184" s="158" t="n">
        <v>2005</v>
      </c>
      <c r="D184" s="159" t="n">
        <v>7.73</v>
      </c>
      <c r="E184" s="159" t="n">
        <v>0.1</v>
      </c>
      <c r="F184" s="160" t="n">
        <v>6</v>
      </c>
      <c r="G184" s="161" t="n">
        <v>6.157</v>
      </c>
      <c r="H184" s="161" t="n">
        <v>1.7918</v>
      </c>
      <c r="I184" s="160" t="n">
        <v>4151</v>
      </c>
      <c r="J184" s="161" t="n">
        <v>8.331099999999999</v>
      </c>
      <c r="K184" s="162" t="n">
        <v>7.53</v>
      </c>
      <c r="L184" s="163" t="n">
        <v>0</v>
      </c>
      <c r="M184" s="163" t="n">
        <v>0</v>
      </c>
      <c r="N184" s="161" t="n">
        <v>73.5314</v>
      </c>
      <c r="O184" s="160" t="n">
        <v>6103327</v>
      </c>
      <c r="P184" s="202" t="n">
        <v>480</v>
      </c>
      <c r="Q184" s="202" t="n">
        <v>2466</v>
      </c>
      <c r="R184" s="202" t="n">
        <v>1986</v>
      </c>
    </row>
    <row r="185" ht="12.75" customHeight="1" s="186">
      <c r="B185" s="164" t="inlineStr">
        <is>
          <t>MA</t>
        </is>
      </c>
      <c r="C185" s="165" t="n">
        <v>2006</v>
      </c>
      <c r="D185" s="166" t="n">
        <v>7.45</v>
      </c>
      <c r="E185" s="166" t="n">
        <v>0.1</v>
      </c>
      <c r="F185" s="167" t="n">
        <v>12</v>
      </c>
      <c r="G185" s="168" t="n">
        <v>6.1334</v>
      </c>
      <c r="H185" s="168" t="n">
        <v>1.7918</v>
      </c>
      <c r="I185" s="167" t="n">
        <v>4628</v>
      </c>
      <c r="J185" s="168" t="n">
        <v>8.4399</v>
      </c>
      <c r="K185" s="169" t="n">
        <v>8.449999999999999</v>
      </c>
      <c r="L185" s="170" t="n">
        <v>0</v>
      </c>
      <c r="M185" s="170" t="n">
        <v>0</v>
      </c>
      <c r="N185" s="168" t="n">
        <v>73.5314</v>
      </c>
      <c r="O185" s="167" t="n">
        <v>6184538</v>
      </c>
      <c r="P185" s="202" t="n">
        <v>469</v>
      </c>
      <c r="Q185" s="202" t="n">
        <v>2488</v>
      </c>
      <c r="R185" s="202" t="n">
        <v>2019</v>
      </c>
    </row>
    <row r="186" ht="12.75" customHeight="1" s="186">
      <c r="B186" s="157" t="inlineStr">
        <is>
          <t>MA</t>
        </is>
      </c>
      <c r="C186" s="158" t="n">
        <v>2007</v>
      </c>
      <c r="D186" s="159" t="n">
        <v>9.56</v>
      </c>
      <c r="E186" s="159" t="n">
        <v>0.07000000000000001</v>
      </c>
      <c r="F186" s="160" t="n">
        <v>16</v>
      </c>
      <c r="G186" s="161" t="n">
        <v>6.3716</v>
      </c>
      <c r="H186" s="161" t="n">
        <v>1.3863</v>
      </c>
      <c r="I186" s="160" t="n">
        <v>5165</v>
      </c>
      <c r="J186" s="161" t="n">
        <v>8.5497</v>
      </c>
      <c r="K186" s="162" t="n">
        <v>8.289999999999999</v>
      </c>
      <c r="L186" s="163" t="n">
        <v>0</v>
      </c>
      <c r="M186" s="163" t="n">
        <v>0</v>
      </c>
      <c r="N186" s="161" t="n">
        <v>73.5314</v>
      </c>
      <c r="O186" s="160" t="n">
        <v>6118995</v>
      </c>
      <c r="P186" s="202" t="n">
        <v>585</v>
      </c>
      <c r="Q186" s="202" t="n">
        <v>2869</v>
      </c>
      <c r="R186" s="202" t="n">
        <v>2284</v>
      </c>
    </row>
    <row r="187" ht="12.75" customHeight="1" s="186">
      <c r="B187" s="164" t="inlineStr">
        <is>
          <t>MA</t>
        </is>
      </c>
      <c r="C187" s="165" t="n">
        <v>2008</v>
      </c>
      <c r="D187" s="166" t="n">
        <v>10.93</v>
      </c>
      <c r="E187" s="166" t="n">
        <v>0.13</v>
      </c>
      <c r="F187" s="167" t="n">
        <v>24</v>
      </c>
      <c r="G187" s="168" t="n">
        <v>6.5352</v>
      </c>
      <c r="H187" s="168" t="n">
        <v>2.0794</v>
      </c>
      <c r="I187" s="167" t="n">
        <v>6104</v>
      </c>
      <c r="J187" s="168" t="n">
        <v>8.716699999999999</v>
      </c>
      <c r="K187" s="169" t="n">
        <v>6.69</v>
      </c>
      <c r="L187" s="170" t="n">
        <v>0</v>
      </c>
      <c r="M187" s="170" t="n">
        <v>0</v>
      </c>
      <c r="N187" s="168" t="n">
        <v>73.5314</v>
      </c>
      <c r="O187" s="167" t="n">
        <v>6305537</v>
      </c>
      <c r="P187" s="202" t="n">
        <v>686</v>
      </c>
      <c r="Q187" s="202" t="n">
        <v>3203</v>
      </c>
      <c r="R187" s="202" t="n">
        <v>2517</v>
      </c>
    </row>
    <row r="188" ht="12.75" customHeight="1" s="186">
      <c r="B188" s="157" t="inlineStr">
        <is>
          <t>MA</t>
        </is>
      </c>
      <c r="C188" s="158" t="n">
        <v>2009</v>
      </c>
      <c r="D188" s="159" t="n">
        <v>12.31</v>
      </c>
      <c r="E188" s="159" t="n">
        <v>0.11</v>
      </c>
      <c r="F188" s="160" t="n">
        <v>31</v>
      </c>
      <c r="G188" s="161" t="n">
        <v>6.6644</v>
      </c>
      <c r="H188" s="161" t="n">
        <v>1.9459</v>
      </c>
      <c r="I188" s="160" t="n">
        <v>6259</v>
      </c>
      <c r="J188" s="161" t="n">
        <v>8.7418</v>
      </c>
      <c r="K188" s="162" t="n">
        <v>8.359999999999999</v>
      </c>
      <c r="L188" s="163" t="n">
        <v>0</v>
      </c>
      <c r="M188" s="163" t="n">
        <v>0</v>
      </c>
      <c r="N188" s="161" t="n">
        <v>73.5314</v>
      </c>
      <c r="O188" s="160" t="n">
        <v>6367138</v>
      </c>
      <c r="P188" s="202" t="n">
        <v>774</v>
      </c>
      <c r="Q188" s="202" t="n">
        <v>3314</v>
      </c>
      <c r="R188" s="202" t="n">
        <v>2540</v>
      </c>
    </row>
    <row r="189" ht="12.75" customHeight="1" s="186">
      <c r="B189" s="164" t="inlineStr">
        <is>
          <t>MA</t>
        </is>
      </c>
      <c r="C189" s="165" t="n">
        <v>2010</v>
      </c>
      <c r="D189" s="166" t="n">
        <v>12.35</v>
      </c>
      <c r="E189" s="166" t="n">
        <v>0.18</v>
      </c>
      <c r="F189" s="167" t="n">
        <v>43</v>
      </c>
      <c r="G189" s="168" t="n">
        <v>6.6995</v>
      </c>
      <c r="H189" s="168" t="n">
        <v>2.4849</v>
      </c>
      <c r="I189" s="167" t="n">
        <v>7044</v>
      </c>
      <c r="J189" s="168" t="n">
        <v>8.8599</v>
      </c>
      <c r="K189" s="169" t="n">
        <v>8.24</v>
      </c>
      <c r="L189" s="170" t="n">
        <v>0</v>
      </c>
      <c r="M189" s="170" t="n">
        <v>0</v>
      </c>
      <c r="N189" s="168" t="n">
        <v>73.5314</v>
      </c>
      <c r="O189" s="167" t="n">
        <v>6574789</v>
      </c>
      <c r="P189" s="202" t="n">
        <v>817</v>
      </c>
      <c r="Q189" s="202" t="n">
        <v>3603</v>
      </c>
      <c r="R189" s="202" t="n">
        <v>2786</v>
      </c>
    </row>
    <row r="190" ht="12.75" customHeight="1" s="186">
      <c r="B190" s="157" t="inlineStr">
        <is>
          <t>MA</t>
        </is>
      </c>
      <c r="C190" s="158" t="n">
        <v>2011</v>
      </c>
      <c r="D190" s="159" t="n">
        <v>14.13</v>
      </c>
      <c r="E190" s="159" t="n">
        <v>0.35</v>
      </c>
      <c r="F190" s="160" t="n">
        <v>66</v>
      </c>
      <c r="G190" s="161" t="n">
        <v>6.8448</v>
      </c>
      <c r="H190" s="161" t="n">
        <v>3.1355</v>
      </c>
      <c r="I190" s="160" t="n">
        <v>7846</v>
      </c>
      <c r="J190" s="161" t="n">
        <v>8.9678</v>
      </c>
      <c r="K190" s="162" t="n">
        <v>8.119999999999999</v>
      </c>
      <c r="L190" s="163" t="n">
        <v>0</v>
      </c>
      <c r="M190" s="163" t="n">
        <v>0</v>
      </c>
      <c r="N190" s="161" t="n">
        <v>73.5314</v>
      </c>
      <c r="O190" s="160" t="n">
        <v>6645761</v>
      </c>
      <c r="P190" s="202" t="n">
        <v>932</v>
      </c>
      <c r="Q190" s="202" t="n">
        <v>3841</v>
      </c>
      <c r="R190" s="202" t="n">
        <v>2909</v>
      </c>
    </row>
    <row r="191" ht="12.75" customHeight="1" s="186">
      <c r="B191" s="164" t="inlineStr">
        <is>
          <t>MA</t>
        </is>
      </c>
      <c r="C191" s="165" t="n">
        <v>2012</v>
      </c>
      <c r="D191" s="166" t="n">
        <v>17.01</v>
      </c>
      <c r="E191" s="166" t="n">
        <v>0.51</v>
      </c>
      <c r="F191" s="167" t="n">
        <v>100</v>
      </c>
      <c r="G191" s="168" t="n">
        <v>7.0405</v>
      </c>
      <c r="H191" s="168" t="n">
        <v>3.5264</v>
      </c>
      <c r="I191" s="167" t="n">
        <v>9009</v>
      </c>
      <c r="J191" s="168" t="n">
        <v>9.106</v>
      </c>
      <c r="K191" s="169" t="n">
        <v>6.83</v>
      </c>
      <c r="L191" s="170" t="n">
        <v>0</v>
      </c>
      <c r="M191" s="170" t="n">
        <v>0</v>
      </c>
      <c r="N191" s="168" t="n">
        <v>73.5314</v>
      </c>
      <c r="O191" s="167" t="n">
        <v>6714314</v>
      </c>
      <c r="P191" s="202" t="n">
        <v>1140</v>
      </c>
      <c r="Q191" s="202" t="n">
        <v>4327</v>
      </c>
      <c r="R191" s="202" t="n">
        <v>3187</v>
      </c>
    </row>
    <row r="192" ht="12.75" customHeight="1" s="186">
      <c r="B192" s="157" t="inlineStr">
        <is>
          <t>MA</t>
        </is>
      </c>
      <c r="C192" s="158" t="n">
        <v>2013</v>
      </c>
      <c r="D192" s="159" t="n">
        <v>20.34</v>
      </c>
      <c r="E192" s="159" t="n">
        <v>0.74</v>
      </c>
      <c r="F192" s="160" t="n">
        <v>150</v>
      </c>
      <c r="G192" s="161" t="n">
        <v>7.2313</v>
      </c>
      <c r="H192" s="161" t="n">
        <v>3.912</v>
      </c>
      <c r="I192" s="160" t="n">
        <v>9963</v>
      </c>
      <c r="J192" s="161" t="n">
        <v>9.2066</v>
      </c>
      <c r="K192" s="162" t="n">
        <v>9.02</v>
      </c>
      <c r="L192" s="163" t="n">
        <v>0</v>
      </c>
      <c r="M192" s="163" t="n">
        <v>0</v>
      </c>
      <c r="N192" s="161" t="n">
        <v>73.5314</v>
      </c>
      <c r="O192" s="160" t="n">
        <v>6794301</v>
      </c>
      <c r="P192" s="202" t="n">
        <v>1372</v>
      </c>
      <c r="Q192" s="202" t="n">
        <v>4653</v>
      </c>
      <c r="R192" s="202" t="n">
        <v>3281</v>
      </c>
    </row>
    <row r="193" ht="12.75" customHeight="1" s="186">
      <c r="B193" s="164" t="inlineStr">
        <is>
          <t>MA</t>
        </is>
      </c>
      <c r="C193" s="165" t="n">
        <v>2014</v>
      </c>
      <c r="D193" s="166" t="n">
        <v>24.45</v>
      </c>
      <c r="E193" s="166" t="n">
        <v>0.57</v>
      </c>
      <c r="F193" s="167" t="n">
        <v>189</v>
      </c>
      <c r="G193" s="168" t="n">
        <v>7.4236</v>
      </c>
      <c r="H193" s="168" t="n">
        <v>3.6636</v>
      </c>
      <c r="I193" s="167" t="n">
        <v>11216</v>
      </c>
      <c r="J193" s="168" t="n">
        <v>9.325100000000001</v>
      </c>
      <c r="K193" s="169" t="n">
        <v>8.1</v>
      </c>
      <c r="L193" s="170" t="n">
        <v>0</v>
      </c>
      <c r="M193" s="170" t="n">
        <v>0</v>
      </c>
      <c r="N193" s="168" t="n">
        <v>73.5314</v>
      </c>
      <c r="O193" s="167" t="n">
        <v>6850884</v>
      </c>
      <c r="P193" s="202" t="n">
        <v>1668</v>
      </c>
      <c r="Q193" s="202" t="n">
        <v>5190</v>
      </c>
      <c r="R193" s="202" t="n">
        <v>3522</v>
      </c>
    </row>
    <row r="194" ht="12.75" customHeight="1" s="186">
      <c r="B194" s="157" t="inlineStr">
        <is>
          <t>MA</t>
        </is>
      </c>
      <c r="C194" s="158" t="n">
        <v>2015</v>
      </c>
      <c r="D194" s="159" t="n">
        <v>24.94</v>
      </c>
      <c r="E194" s="159" t="n">
        <v>0.13</v>
      </c>
      <c r="F194" s="160" t="n">
        <v>198</v>
      </c>
      <c r="G194" s="161" t="n">
        <v>7.4512</v>
      </c>
      <c r="H194" s="161" t="n">
        <v>2.1972</v>
      </c>
      <c r="I194" s="160" t="n">
        <v>11366</v>
      </c>
      <c r="J194" s="161" t="n">
        <v>9.3384</v>
      </c>
      <c r="K194" s="162" t="n">
        <v>8.800000000000001</v>
      </c>
      <c r="L194" s="163" t="n">
        <v>0</v>
      </c>
      <c r="M194" s="163" t="n">
        <v>0</v>
      </c>
      <c r="N194" s="161" t="n">
        <v>73.5314</v>
      </c>
      <c r="O194" s="160" t="n">
        <v>6904241</v>
      </c>
      <c r="P194" s="202" t="n">
        <v>1696</v>
      </c>
      <c r="Q194" s="202" t="n">
        <v>4994</v>
      </c>
      <c r="R194" s="202" t="n">
        <v>3298</v>
      </c>
    </row>
    <row r="195" ht="12.75" customHeight="1" s="186">
      <c r="B195" s="171" t="inlineStr">
        <is>
          <t>MA</t>
        </is>
      </c>
      <c r="C195" s="172" t="n">
        <v>2016</v>
      </c>
      <c r="D195" s="173" t="n">
        <v>23.37</v>
      </c>
      <c r="E195" s="173" t="n">
        <v>0.46</v>
      </c>
      <c r="F195" s="174" t="n">
        <v>230</v>
      </c>
      <c r="G195" s="175" t="n">
        <v>7.3933</v>
      </c>
      <c r="H195" s="175" t="n">
        <v>3.4657</v>
      </c>
      <c r="I195" s="174" t="n">
        <v>12268</v>
      </c>
      <c r="J195" s="175" t="n">
        <v>9.4147</v>
      </c>
      <c r="K195" s="176" t="n">
        <v>12.1</v>
      </c>
      <c r="L195" s="177" t="n">
        <v>0</v>
      </c>
      <c r="M195" s="177" t="n">
        <v>0</v>
      </c>
      <c r="N195" s="175" t="n">
        <v>73.5314</v>
      </c>
      <c r="O195" s="174" t="n">
        <v>6954036</v>
      </c>
      <c r="P195" s="202" t="n">
        <v>1602</v>
      </c>
      <c r="Q195" s="202" t="n">
        <v>5019</v>
      </c>
      <c r="R195" s="202" t="n">
        <v>3417</v>
      </c>
    </row>
    <row r="196" ht="12.75" customHeight="1" s="186">
      <c r="B196" s="178" t="inlineStr">
        <is>
          <t>MA</t>
        </is>
      </c>
      <c r="C196" s="179" t="n">
        <v>2017</v>
      </c>
      <c r="D196" s="180" t="n">
        <v>21.06</v>
      </c>
      <c r="E196" s="180" t="n">
        <v>1.29</v>
      </c>
      <c r="F196" s="181" t="n">
        <v>320</v>
      </c>
      <c r="G196" s="182" t="n">
        <v>7.2957</v>
      </c>
      <c r="H196" s="182" t="n">
        <v>4.4998</v>
      </c>
      <c r="I196" s="181" t="n">
        <v>12791</v>
      </c>
      <c r="J196" s="182" t="n">
        <v>9.4565</v>
      </c>
      <c r="K196" s="183" t="n">
        <v>14.5</v>
      </c>
      <c r="L196" s="184" t="n">
        <v>0</v>
      </c>
      <c r="M196" s="184" t="n">
        <v>0</v>
      </c>
      <c r="N196" s="182" t="n">
        <v>73.5314</v>
      </c>
      <c r="O196" s="181" t="n">
        <v>7000229</v>
      </c>
      <c r="P196" s="202" t="n">
        <v>1467</v>
      </c>
      <c r="Q196" s="202" t="n">
        <v>4665</v>
      </c>
      <c r="R196" s="202" t="n">
        <v>3198</v>
      </c>
    </row>
    <row r="197" ht="12.75" customHeight="1" s="186">
      <c r="B197" s="171" t="inlineStr">
        <is>
          <t>MA</t>
        </is>
      </c>
      <c r="C197" s="172" t="n">
        <v>2018</v>
      </c>
      <c r="D197" s="173" t="n">
        <v>17.87</v>
      </c>
      <c r="E197" s="173" t="n">
        <v>1.68</v>
      </c>
      <c r="F197" s="174" t="n">
        <v>438</v>
      </c>
      <c r="G197" s="175" t="n">
        <v>7.1365</v>
      </c>
      <c r="H197" s="175" t="n">
        <v>4.7707</v>
      </c>
      <c r="I197" s="174" t="n">
        <v>13956</v>
      </c>
      <c r="J197" s="175" t="n">
        <v>9.543699999999999</v>
      </c>
      <c r="K197" s="176" t="n">
        <v>14.7</v>
      </c>
      <c r="L197" s="177" t="n">
        <v>0</v>
      </c>
      <c r="M197" s="177" t="n">
        <v>0</v>
      </c>
      <c r="N197" s="175" t="n">
        <v>73.5314</v>
      </c>
      <c r="O197" s="174" t="n">
        <v>7035055</v>
      </c>
      <c r="P197" s="202" t="n">
        <v>1266</v>
      </c>
      <c r="Q197" s="202" t="n">
        <v>4331</v>
      </c>
      <c r="R197" s="202" t="n">
        <v>3065</v>
      </c>
    </row>
    <row r="198" ht="12.75" customHeight="1" s="186">
      <c r="B198" s="178" t="inlineStr">
        <is>
          <t>MA</t>
        </is>
      </c>
      <c r="C198" s="179" t="n">
        <v>2019</v>
      </c>
      <c r="D198" s="180" t="n">
        <v>15</v>
      </c>
      <c r="E198" s="180" t="n">
        <v>8.99</v>
      </c>
      <c r="F198" s="181" t="n">
        <v>1074</v>
      </c>
      <c r="G198" s="182" t="n">
        <v>6.967</v>
      </c>
      <c r="H198" s="182" t="n">
        <v>6.4552</v>
      </c>
      <c r="I198" s="181" t="n">
        <v>13758</v>
      </c>
      <c r="J198" s="182" t="n">
        <v>9.529400000000001</v>
      </c>
      <c r="K198" s="183" t="n">
        <v>14.7</v>
      </c>
      <c r="L198" s="184" t="n">
        <v>0</v>
      </c>
      <c r="M198" s="184" t="n">
        <v>0</v>
      </c>
      <c r="N198" s="182" t="n">
        <v>73.5314</v>
      </c>
      <c r="O198" s="181" t="n">
        <v>7075181</v>
      </c>
      <c r="P198" s="202" t="n">
        <v>1062</v>
      </c>
      <c r="Q198" s="202" t="n">
        <v>4036</v>
      </c>
      <c r="R198" s="202" t="n">
        <v>2974</v>
      </c>
    </row>
    <row r="199" ht="12.75" customHeight="1" s="186">
      <c r="B199" s="171" t="inlineStr">
        <is>
          <t>MA</t>
        </is>
      </c>
      <c r="C199" s="172" t="n">
        <v>2020</v>
      </c>
      <c r="D199" s="173" t="n">
        <v>20.04</v>
      </c>
      <c r="E199" s="173" t="n">
        <v>21.08</v>
      </c>
      <c r="F199" s="174" t="n">
        <v>2574</v>
      </c>
      <c r="G199" s="175" t="n">
        <v>7.2626</v>
      </c>
      <c r="H199" s="175" t="n">
        <v>7.3132</v>
      </c>
      <c r="I199" s="174" t="n">
        <v>15028</v>
      </c>
      <c r="J199" s="175" t="n">
        <v>9.617699999999999</v>
      </c>
      <c r="K199" s="176" t="n">
        <v>16.4</v>
      </c>
      <c r="L199" s="177" t="n">
        <v>0</v>
      </c>
      <c r="M199" s="177" t="n">
        <v>1</v>
      </c>
      <c r="N199" s="175" t="n">
        <v>73.5314</v>
      </c>
      <c r="O199" s="174" t="n">
        <v>7114598</v>
      </c>
      <c r="P199" s="202" t="n">
        <v>1425</v>
      </c>
      <c r="Q199" s="202" t="n">
        <v>4560</v>
      </c>
      <c r="R199" s="202" t="n">
        <v>3135</v>
      </c>
    </row>
    <row r="200" ht="12.75" customHeight="1" s="186">
      <c r="B200" s="178" t="inlineStr">
        <is>
          <t>MA</t>
        </is>
      </c>
      <c r="C200" s="179" t="n">
        <v>2021</v>
      </c>
      <c r="D200" s="180" t="n">
        <v>20.12</v>
      </c>
      <c r="E200" s="180" t="n">
        <v>39.87</v>
      </c>
      <c r="F200" s="181" t="n">
        <v>5426</v>
      </c>
      <c r="G200" s="182" t="n">
        <v>7.2717</v>
      </c>
      <c r="H200" s="182" t="n">
        <v>7.9558</v>
      </c>
      <c r="I200" s="181" t="n">
        <v>17472</v>
      </c>
      <c r="J200" s="182" t="n">
        <v>9.7684</v>
      </c>
      <c r="K200" s="183" t="n">
        <v>16.1</v>
      </c>
      <c r="L200" s="184" t="n">
        <v>0</v>
      </c>
      <c r="M200" s="184" t="n">
        <v>1</v>
      </c>
      <c r="N200" s="182" t="n">
        <v>73.5314</v>
      </c>
      <c r="O200" s="181" t="n">
        <v>7153262</v>
      </c>
      <c r="P200" s="202" t="n">
        <v>1427</v>
      </c>
      <c r="Q200" s="202" t="n">
        <v>4565</v>
      </c>
      <c r="R200" s="202" t="n">
        <v>3138</v>
      </c>
    </row>
    <row r="201" ht="12.75" customHeight="1" s="186">
      <c r="B201" s="171" t="inlineStr">
        <is>
          <t>MA</t>
        </is>
      </c>
      <c r="C201" s="172" t="n">
        <v>2022</v>
      </c>
      <c r="D201" s="173" t="n">
        <v>19.51</v>
      </c>
      <c r="E201" s="173" t="n">
        <v>73.53</v>
      </c>
      <c r="F201" s="174" t="n">
        <v>10409</v>
      </c>
      <c r="G201" s="175" t="n">
        <v>7.1869</v>
      </c>
      <c r="H201" s="175" t="n">
        <v>8.5138</v>
      </c>
      <c r="I201" s="174" t="n">
        <v>20628</v>
      </c>
      <c r="J201" s="175" t="n">
        <v>9.9344</v>
      </c>
      <c r="K201" s="176" t="n">
        <v>10.5</v>
      </c>
      <c r="L201" s="177" t="n">
        <v>0</v>
      </c>
      <c r="M201" s="177" t="n">
        <v>0</v>
      </c>
      <c r="N201" s="175" t="n">
        <v>73.5314</v>
      </c>
      <c r="O201" s="174" t="n">
        <v>6776699</v>
      </c>
      <c r="P201" s="202" t="n">
        <v>1329</v>
      </c>
      <c r="Q201" s="202" t="n">
        <v>4354</v>
      </c>
      <c r="R201" s="202" t="n">
        <v>3025</v>
      </c>
    </row>
    <row r="202" ht="12.75" customHeight="1" s="186">
      <c r="B202" s="178" t="inlineStr">
        <is>
          <t>MA</t>
        </is>
      </c>
      <c r="C202" s="179" t="n">
        <v>2023</v>
      </c>
      <c r="D202" s="180" t="n">
        <v>21.21</v>
      </c>
      <c r="E202" s="180" t="n">
        <v>0.03</v>
      </c>
      <c r="F202" s="181" t="n">
        <v>10411</v>
      </c>
      <c r="G202" s="182" t="n">
        <v>7.2703</v>
      </c>
      <c r="H202" s="182" t="n">
        <v>0.6931</v>
      </c>
      <c r="I202" s="181" t="n">
        <v>22021</v>
      </c>
      <c r="J202" s="182" t="n">
        <v>9.9998</v>
      </c>
      <c r="K202" s="183" t="n">
        <v>8.199999999999999</v>
      </c>
      <c r="L202" s="184" t="n">
        <v>1</v>
      </c>
      <c r="M202" s="184" t="n">
        <v>0</v>
      </c>
      <c r="N202" s="182" t="n">
        <v>73.5314</v>
      </c>
      <c r="O202" s="181" t="n">
        <v>6776699</v>
      </c>
      <c r="P202" s="202" t="n">
        <v>1454</v>
      </c>
      <c r="Q202" s="202" t="n">
        <v>4663</v>
      </c>
      <c r="R202" s="202" t="n">
        <v>3209</v>
      </c>
    </row>
    <row r="203" ht="12.75" customHeight="1" s="186">
      <c r="B203" s="171" t="inlineStr">
        <is>
          <t>MA</t>
        </is>
      </c>
      <c r="C203" s="172" t="n">
        <v>2024</v>
      </c>
      <c r="D203" s="173" t="n">
        <v>22.42</v>
      </c>
      <c r="E203" s="173" t="n">
        <v>7.32</v>
      </c>
      <c r="F203" s="174" t="n">
        <v>10924</v>
      </c>
      <c r="G203" s="175" t="n">
        <v>7.3601</v>
      </c>
      <c r="H203" s="175" t="n">
        <v>6.2403</v>
      </c>
      <c r="I203" s="174" t="n">
        <v>22544</v>
      </c>
      <c r="J203" s="175" t="n">
        <v>10.0232</v>
      </c>
      <c r="K203" s="176" t="n">
        <v>7.7</v>
      </c>
      <c r="L203" s="177" t="n">
        <v>1</v>
      </c>
      <c r="M203" s="177" t="n">
        <v>0</v>
      </c>
      <c r="N203" s="175" t="n">
        <v>73.5314</v>
      </c>
      <c r="O203" s="174" t="n">
        <v>7010960</v>
      </c>
      <c r="P203" s="202" t="n">
        <v>1563</v>
      </c>
      <c r="Q203" s="202" t="n">
        <v>4993</v>
      </c>
      <c r="R203" s="202" t="n">
        <v>3430</v>
      </c>
    </row>
    <row r="204" ht="12.75" customHeight="1" s="186">
      <c r="B204" s="157" t="inlineStr">
        <is>
          <t>MG</t>
        </is>
      </c>
      <c r="C204" s="158" t="n">
        <v>2005</v>
      </c>
      <c r="D204" s="159" t="n">
        <v>16.05</v>
      </c>
      <c r="E204" s="159" t="n">
        <v>0.59</v>
      </c>
      <c r="F204" s="160" t="n">
        <v>114</v>
      </c>
      <c r="G204" s="161" t="n">
        <v>8.035299999999999</v>
      </c>
      <c r="H204" s="161" t="n">
        <v>4.7362</v>
      </c>
      <c r="I204" s="160" t="n">
        <v>10014</v>
      </c>
      <c r="J204" s="161" t="n">
        <v>9.2117</v>
      </c>
      <c r="K204" s="162" t="n">
        <v>9.390000000000001</v>
      </c>
      <c r="L204" s="163" t="n">
        <v>0</v>
      </c>
      <c r="M204" s="163" t="n">
        <v>0</v>
      </c>
      <c r="N204" s="161" t="n">
        <v>178.189</v>
      </c>
      <c r="O204" s="160" t="n">
        <v>19237450</v>
      </c>
      <c r="P204" s="202" t="n">
        <v>3090</v>
      </c>
      <c r="Q204" s="202" t="n">
        <v>10723</v>
      </c>
      <c r="R204" s="202" t="n">
        <v>7633</v>
      </c>
    </row>
    <row r="205" ht="12.75" customHeight="1" s="186">
      <c r="B205" s="164" t="inlineStr">
        <is>
          <t>MG</t>
        </is>
      </c>
      <c r="C205" s="165" t="n">
        <v>2006</v>
      </c>
      <c r="D205" s="166" t="n">
        <v>15.76</v>
      </c>
      <c r="E205" s="166" t="n">
        <v>0.7</v>
      </c>
      <c r="F205" s="167" t="n">
        <v>250</v>
      </c>
      <c r="G205" s="168" t="n">
        <v>8.0291</v>
      </c>
      <c r="H205" s="168" t="n">
        <v>4.9127</v>
      </c>
      <c r="I205" s="167" t="n">
        <v>11025</v>
      </c>
      <c r="J205" s="168" t="n">
        <v>9.3079</v>
      </c>
      <c r="K205" s="169" t="n">
        <v>8.74</v>
      </c>
      <c r="L205" s="170" t="n">
        <v>0</v>
      </c>
      <c r="M205" s="170" t="n">
        <v>0</v>
      </c>
      <c r="N205" s="168" t="n">
        <v>178.189</v>
      </c>
      <c r="O205" s="167" t="n">
        <v>19479356</v>
      </c>
      <c r="P205" s="202" t="n">
        <v>3061</v>
      </c>
      <c r="Q205" s="202" t="n">
        <v>11149</v>
      </c>
      <c r="R205" s="202" t="n">
        <v>8088</v>
      </c>
    </row>
    <row r="206" ht="12.75" customHeight="1" s="186">
      <c r="B206" s="157" t="inlineStr">
        <is>
          <t>MG</t>
        </is>
      </c>
      <c r="C206" s="158" t="n">
        <v>2007</v>
      </c>
      <c r="D206" s="159" t="n">
        <v>15.41</v>
      </c>
      <c r="E206" s="159" t="n">
        <v>0.46</v>
      </c>
      <c r="F206" s="160" t="n">
        <v>339</v>
      </c>
      <c r="G206" s="161" t="n">
        <v>7.9967</v>
      </c>
      <c r="H206" s="161" t="n">
        <v>4.4886</v>
      </c>
      <c r="I206" s="160" t="n">
        <v>12519</v>
      </c>
      <c r="J206" s="161" t="n">
        <v>9.435</v>
      </c>
      <c r="K206" s="162" t="n">
        <v>8.220000000000001</v>
      </c>
      <c r="L206" s="163" t="n">
        <v>0</v>
      </c>
      <c r="M206" s="163" t="n">
        <v>0</v>
      </c>
      <c r="N206" s="161" t="n">
        <v>178.189</v>
      </c>
      <c r="O206" s="160" t="n">
        <v>19273533</v>
      </c>
      <c r="P206" s="202" t="n">
        <v>2963</v>
      </c>
      <c r="Q206" s="202" t="n">
        <v>11217</v>
      </c>
      <c r="R206" s="202" t="n">
        <v>8254</v>
      </c>
    </row>
    <row r="207" ht="12.75" customHeight="1" s="186">
      <c r="B207" s="164" t="inlineStr">
        <is>
          <t>MG</t>
        </is>
      </c>
      <c r="C207" s="165" t="n">
        <v>2008</v>
      </c>
      <c r="D207" s="166" t="n">
        <v>13.81</v>
      </c>
      <c r="E207" s="166" t="n">
        <v>0.46</v>
      </c>
      <c r="F207" s="167" t="n">
        <v>430</v>
      </c>
      <c r="G207" s="168" t="n">
        <v>7.9164</v>
      </c>
      <c r="H207" s="168" t="n">
        <v>4.5109</v>
      </c>
      <c r="I207" s="167" t="n">
        <v>14233</v>
      </c>
      <c r="J207" s="168" t="n">
        <v>9.5633</v>
      </c>
      <c r="K207" s="169" t="n">
        <v>6.72</v>
      </c>
      <c r="L207" s="170" t="n">
        <v>0</v>
      </c>
      <c r="M207" s="170" t="n">
        <v>0</v>
      </c>
      <c r="N207" s="168" t="n">
        <v>178.189</v>
      </c>
      <c r="O207" s="167" t="n">
        <v>19850060</v>
      </c>
      <c r="P207" s="202" t="n">
        <v>2727</v>
      </c>
      <c r="Q207" s="202" t="n">
        <v>10910</v>
      </c>
      <c r="R207" s="202" t="n">
        <v>8183</v>
      </c>
    </row>
    <row r="208" ht="12.75" customHeight="1" s="186">
      <c r="B208" s="157" t="inlineStr">
        <is>
          <t>MG</t>
        </is>
      </c>
      <c r="C208" s="158" t="n">
        <v>2009</v>
      </c>
      <c r="D208" s="159" t="n">
        <v>12.92</v>
      </c>
      <c r="E208" s="159" t="n">
        <v>0.64</v>
      </c>
      <c r="F208" s="160" t="n">
        <v>558</v>
      </c>
      <c r="G208" s="161" t="n">
        <v>7.8586</v>
      </c>
      <c r="H208" s="161" t="n">
        <v>4.852</v>
      </c>
      <c r="I208" s="160" t="n">
        <v>14329</v>
      </c>
      <c r="J208" s="161" t="n">
        <v>9.57</v>
      </c>
      <c r="K208" s="162" t="n">
        <v>8.1</v>
      </c>
      <c r="L208" s="163" t="n">
        <v>0</v>
      </c>
      <c r="M208" s="163" t="n">
        <v>0</v>
      </c>
      <c r="N208" s="161" t="n">
        <v>178.189</v>
      </c>
      <c r="O208" s="160" t="n">
        <v>20033665</v>
      </c>
      <c r="P208" s="202" t="n">
        <v>2579</v>
      </c>
      <c r="Q208" s="202" t="n">
        <v>11318</v>
      </c>
      <c r="R208" s="202" t="n">
        <v>8739</v>
      </c>
    </row>
    <row r="209" ht="12.75" customHeight="1" s="186">
      <c r="B209" s="164" t="inlineStr">
        <is>
          <t>MG</t>
        </is>
      </c>
      <c r="C209" s="165" t="n">
        <v>2010</v>
      </c>
      <c r="D209" s="166" t="n">
        <v>12.53</v>
      </c>
      <c r="E209" s="166" t="n">
        <v>0.35</v>
      </c>
      <c r="F209" s="167" t="n">
        <v>626</v>
      </c>
      <c r="G209" s="168" t="n">
        <v>7.8059</v>
      </c>
      <c r="H209" s="168" t="n">
        <v>4.2195</v>
      </c>
      <c r="I209" s="167" t="n">
        <v>17917</v>
      </c>
      <c r="J209" s="168" t="n">
        <v>9.7935</v>
      </c>
      <c r="K209" s="169" t="n">
        <v>7.26</v>
      </c>
      <c r="L209" s="170" t="n">
        <v>0</v>
      </c>
      <c r="M209" s="170" t="n">
        <v>0</v>
      </c>
      <c r="N209" s="168" t="n">
        <v>178.189</v>
      </c>
      <c r="O209" s="167" t="n">
        <v>19597330</v>
      </c>
      <c r="P209" s="202" t="n">
        <v>2442</v>
      </c>
      <c r="Q209" s="202" t="n">
        <v>11457</v>
      </c>
      <c r="R209" s="202" t="n">
        <v>9015</v>
      </c>
    </row>
    <row r="210" ht="12.75" customHeight="1" s="186">
      <c r="B210" s="157" t="inlineStr">
        <is>
          <t>MG</t>
        </is>
      </c>
      <c r="C210" s="158" t="n">
        <v>2011</v>
      </c>
      <c r="D210" s="159" t="n">
        <v>15.13</v>
      </c>
      <c r="E210" s="159" t="n">
        <v>0.83</v>
      </c>
      <c r="F210" s="160" t="n">
        <v>789</v>
      </c>
      <c r="G210" s="161" t="n">
        <v>8.0014</v>
      </c>
      <c r="H210" s="161" t="n">
        <v>5.0938</v>
      </c>
      <c r="I210" s="160" t="n">
        <v>20281</v>
      </c>
      <c r="J210" s="161" t="n">
        <v>9.917400000000001</v>
      </c>
      <c r="K210" s="162" t="n">
        <v>6.43</v>
      </c>
      <c r="L210" s="163" t="n">
        <v>0</v>
      </c>
      <c r="M210" s="163" t="n">
        <v>0</v>
      </c>
      <c r="N210" s="161" t="n">
        <v>178.189</v>
      </c>
      <c r="O210" s="160" t="n">
        <v>19728701</v>
      </c>
      <c r="P210" s="202" t="n">
        <v>2983</v>
      </c>
      <c r="Q210" s="202" t="n">
        <v>12602</v>
      </c>
      <c r="R210" s="202" t="n">
        <v>9619</v>
      </c>
    </row>
    <row r="211" ht="12.75" customHeight="1" s="186">
      <c r="B211" s="164" t="inlineStr">
        <is>
          <t>MG</t>
        </is>
      </c>
      <c r="C211" s="165" t="n">
        <v>2012</v>
      </c>
      <c r="D211" s="166" t="n">
        <v>16.17</v>
      </c>
      <c r="E211" s="166" t="n">
        <v>0.9</v>
      </c>
      <c r="F211" s="167" t="n">
        <v>967</v>
      </c>
      <c r="G211" s="168" t="n">
        <v>8.074</v>
      </c>
      <c r="H211" s="168" t="n">
        <v>5.1818</v>
      </c>
      <c r="I211" s="167" t="n">
        <v>22275</v>
      </c>
      <c r="J211" s="168" t="n">
        <v>10.0112</v>
      </c>
      <c r="K211" s="169" t="n">
        <v>6.21</v>
      </c>
      <c r="L211" s="170" t="n">
        <v>0</v>
      </c>
      <c r="M211" s="170" t="n">
        <v>0</v>
      </c>
      <c r="N211" s="168" t="n">
        <v>178.189</v>
      </c>
      <c r="O211" s="167" t="n">
        <v>19855332</v>
      </c>
      <c r="P211" s="202" t="n">
        <v>3210</v>
      </c>
      <c r="Q211" s="202" t="n">
        <v>12697</v>
      </c>
      <c r="R211" s="202" t="n">
        <v>9487</v>
      </c>
    </row>
    <row r="212" ht="12.75" customHeight="1" s="186">
      <c r="B212" s="157" t="inlineStr">
        <is>
          <t>MG</t>
        </is>
      </c>
      <c r="C212" s="158" t="n">
        <v>2013</v>
      </c>
      <c r="D212" s="159" t="n">
        <v>16.78</v>
      </c>
      <c r="E212" s="159" t="n">
        <v>0.61</v>
      </c>
      <c r="F212" s="160" t="n">
        <v>1093</v>
      </c>
      <c r="G212" s="161" t="n">
        <v>8.147600000000001</v>
      </c>
      <c r="H212" s="161" t="n">
        <v>4.8363</v>
      </c>
      <c r="I212" s="160" t="n">
        <v>23697</v>
      </c>
      <c r="J212" s="161" t="n">
        <v>10.0731</v>
      </c>
      <c r="K212" s="162" t="n">
        <v>6.63</v>
      </c>
      <c r="L212" s="163" t="n">
        <v>0</v>
      </c>
      <c r="M212" s="163" t="n">
        <v>0</v>
      </c>
      <c r="N212" s="161" t="n">
        <v>178.189</v>
      </c>
      <c r="O212" s="160" t="n">
        <v>20593356</v>
      </c>
      <c r="P212" s="202" t="n">
        <v>3444</v>
      </c>
      <c r="Q212" s="202" t="n">
        <v>12539</v>
      </c>
      <c r="R212" s="202" t="n">
        <v>9095</v>
      </c>
    </row>
    <row r="213" ht="12.75" customHeight="1" s="186">
      <c r="B213" s="164" t="inlineStr">
        <is>
          <t>MG</t>
        </is>
      </c>
      <c r="C213" s="165" t="n">
        <v>2014</v>
      </c>
      <c r="D213" s="166" t="n">
        <v>16.22</v>
      </c>
      <c r="E213" s="166" t="n">
        <v>0.54</v>
      </c>
      <c r="F213" s="167" t="n">
        <v>1204</v>
      </c>
      <c r="G213" s="168" t="n">
        <v>8.1206</v>
      </c>
      <c r="H213" s="168" t="n">
        <v>4.7095</v>
      </c>
      <c r="I213" s="167" t="n">
        <v>24917</v>
      </c>
      <c r="J213" s="168" t="n">
        <v>10.1233</v>
      </c>
      <c r="K213" s="169" t="n">
        <v>7.06</v>
      </c>
      <c r="L213" s="170" t="n">
        <v>0</v>
      </c>
      <c r="M213" s="170" t="n">
        <v>0</v>
      </c>
      <c r="N213" s="168" t="n">
        <v>178.189</v>
      </c>
      <c r="O213" s="167" t="n">
        <v>20734097</v>
      </c>
      <c r="P213" s="202" t="n">
        <v>3343</v>
      </c>
      <c r="Q213" s="202" t="n">
        <v>13009</v>
      </c>
      <c r="R213" s="202" t="n">
        <v>9666</v>
      </c>
    </row>
    <row r="214" ht="12.75" customHeight="1" s="186">
      <c r="B214" s="157" t="inlineStr">
        <is>
          <t>MG</t>
        </is>
      </c>
      <c r="C214" s="158" t="n">
        <v>2015</v>
      </c>
      <c r="D214" s="159" t="n">
        <v>15.37</v>
      </c>
      <c r="E214" s="159" t="n">
        <v>0.31</v>
      </c>
      <c r="F214" s="160" t="n">
        <v>1269</v>
      </c>
      <c r="G214" s="161" t="n">
        <v>8.073399999999999</v>
      </c>
      <c r="H214" s="161" t="n">
        <v>4.1744</v>
      </c>
      <c r="I214" s="160" t="n">
        <v>24885</v>
      </c>
      <c r="J214" s="161" t="n">
        <v>10.122</v>
      </c>
      <c r="K214" s="162" t="n">
        <v>8.6</v>
      </c>
      <c r="L214" s="163" t="n">
        <v>0</v>
      </c>
      <c r="M214" s="163" t="n">
        <v>0</v>
      </c>
      <c r="N214" s="161" t="n">
        <v>178.189</v>
      </c>
      <c r="O214" s="160" t="n">
        <v>20869101</v>
      </c>
      <c r="P214" s="202" t="n">
        <v>3189</v>
      </c>
      <c r="Q214" s="202" t="n">
        <v>12208</v>
      </c>
      <c r="R214" s="202" t="n">
        <v>9019</v>
      </c>
    </row>
    <row r="215" ht="12.75" customHeight="1" s="186">
      <c r="B215" s="171" t="inlineStr">
        <is>
          <t>MG</t>
        </is>
      </c>
      <c r="C215" s="172" t="n">
        <v>2016</v>
      </c>
      <c r="D215" s="173" t="n">
        <v>15.76</v>
      </c>
      <c r="E215" s="173" t="n">
        <v>1.3</v>
      </c>
      <c r="F215" s="174" t="n">
        <v>1541</v>
      </c>
      <c r="G215" s="175" t="n">
        <v>8.104699999999999</v>
      </c>
      <c r="H215" s="175" t="n">
        <v>5.6058</v>
      </c>
      <c r="I215" s="174" t="n">
        <v>25946</v>
      </c>
      <c r="J215" s="175" t="n">
        <v>10.1638</v>
      </c>
      <c r="K215" s="176" t="n">
        <v>11.2</v>
      </c>
      <c r="L215" s="177" t="n">
        <v>0</v>
      </c>
      <c r="M215" s="177" t="n">
        <v>0</v>
      </c>
      <c r="N215" s="175" t="n">
        <v>178.189</v>
      </c>
      <c r="O215" s="174" t="n">
        <v>20997560</v>
      </c>
      <c r="P215" s="202" t="n">
        <v>3290</v>
      </c>
      <c r="Q215" s="202" t="n">
        <v>12154</v>
      </c>
      <c r="R215" s="202" t="n">
        <v>8864</v>
      </c>
    </row>
    <row r="216" ht="12.75" customHeight="1" s="186">
      <c r="B216" s="178" t="inlineStr">
        <is>
          <t>MG</t>
        </is>
      </c>
      <c r="C216" s="179" t="n">
        <v>2017</v>
      </c>
      <c r="D216" s="180" t="n">
        <v>14.49</v>
      </c>
      <c r="E216" s="180" t="n">
        <v>2.32</v>
      </c>
      <c r="F216" s="181" t="n">
        <v>2030</v>
      </c>
      <c r="G216" s="182" t="n">
        <v>8.026199999999999</v>
      </c>
      <c r="H216" s="182" t="n">
        <v>6.1924</v>
      </c>
      <c r="I216" s="181" t="n">
        <v>27291</v>
      </c>
      <c r="J216" s="182" t="n">
        <v>10.2143</v>
      </c>
      <c r="K216" s="183" t="n">
        <v>12.2</v>
      </c>
      <c r="L216" s="184" t="n">
        <v>0</v>
      </c>
      <c r="M216" s="184" t="n">
        <v>0</v>
      </c>
      <c r="N216" s="182" t="n">
        <v>178.189</v>
      </c>
      <c r="O216" s="181" t="n">
        <v>21119536</v>
      </c>
      <c r="P216" s="202" t="n">
        <v>3037</v>
      </c>
      <c r="Q216" s="202" t="n">
        <v>12164</v>
      </c>
      <c r="R216" s="202" t="n">
        <v>9127</v>
      </c>
    </row>
    <row r="217" ht="12.75" customHeight="1" s="186">
      <c r="B217" s="171" t="inlineStr">
        <is>
          <t>MG</t>
        </is>
      </c>
      <c r="C217" s="172" t="n">
        <v>2018</v>
      </c>
      <c r="D217" s="173" t="n">
        <v>10.62</v>
      </c>
      <c r="E217" s="173" t="n">
        <v>5.18</v>
      </c>
      <c r="F217" s="174" t="n">
        <v>3119</v>
      </c>
      <c r="G217" s="175" t="n">
        <v>7.7115</v>
      </c>
      <c r="H217" s="175" t="n">
        <v>6.993</v>
      </c>
      <c r="I217" s="174" t="n">
        <v>29223</v>
      </c>
      <c r="J217" s="175" t="n">
        <v>10.2827</v>
      </c>
      <c r="K217" s="176" t="n">
        <v>10.8</v>
      </c>
      <c r="L217" s="177" t="n">
        <v>0</v>
      </c>
      <c r="M217" s="177" t="n">
        <v>0</v>
      </c>
      <c r="N217" s="175" t="n">
        <v>178.189</v>
      </c>
      <c r="O217" s="174" t="n">
        <v>21040662</v>
      </c>
      <c r="P217" s="202" t="n">
        <v>2223</v>
      </c>
      <c r="Q217" s="202" t="n">
        <v>10731</v>
      </c>
      <c r="R217" s="202" t="n">
        <v>8508</v>
      </c>
    </row>
    <row r="218" ht="12.75" customHeight="1" s="186">
      <c r="B218" s="178" t="inlineStr">
        <is>
          <t>MG</t>
        </is>
      </c>
      <c r="C218" s="179" t="n">
        <v>2019</v>
      </c>
      <c r="D218" s="180" t="n">
        <v>8.83</v>
      </c>
      <c r="E218" s="180" t="n">
        <v>31.14</v>
      </c>
      <c r="F218" s="181" t="n">
        <v>9710</v>
      </c>
      <c r="G218" s="182" t="n">
        <v>7.5332</v>
      </c>
      <c r="H218" s="182" t="n">
        <v>8.7935</v>
      </c>
      <c r="I218" s="181" t="n">
        <v>30794</v>
      </c>
      <c r="J218" s="182" t="n">
        <v>10.3351</v>
      </c>
      <c r="K218" s="183" t="n">
        <v>10.1</v>
      </c>
      <c r="L218" s="184" t="n">
        <v>0</v>
      </c>
      <c r="M218" s="184" t="n">
        <v>0</v>
      </c>
      <c r="N218" s="182" t="n">
        <v>178.189</v>
      </c>
      <c r="O218" s="181" t="n">
        <v>21168791</v>
      </c>
      <c r="P218" s="202" t="n">
        <v>1867</v>
      </c>
      <c r="Q218" s="202" t="n">
        <v>10859</v>
      </c>
      <c r="R218" s="202" t="n">
        <v>8992</v>
      </c>
    </row>
    <row r="219" ht="12.75" customHeight="1" s="186">
      <c r="B219" s="171" t="inlineStr">
        <is>
          <t>MG</t>
        </is>
      </c>
      <c r="C219" s="172" t="n">
        <v>2020</v>
      </c>
      <c r="D219" s="173" t="n">
        <v>7.95</v>
      </c>
      <c r="E219" s="173" t="n">
        <v>47.49</v>
      </c>
      <c r="F219" s="174" t="n">
        <v>19821</v>
      </c>
      <c r="G219" s="175" t="n">
        <v>7.4337</v>
      </c>
      <c r="H219" s="175" t="n">
        <v>9.221399999999999</v>
      </c>
      <c r="I219" s="174" t="n">
        <v>32067</v>
      </c>
      <c r="J219" s="175" t="n">
        <v>10.3756</v>
      </c>
      <c r="K219" s="176" t="n">
        <v>12.8</v>
      </c>
      <c r="L219" s="177" t="n">
        <v>0</v>
      </c>
      <c r="M219" s="177" t="n">
        <v>1</v>
      </c>
      <c r="N219" s="175" t="n">
        <v>178.189</v>
      </c>
      <c r="O219" s="174" t="n">
        <v>21292666</v>
      </c>
      <c r="P219" s="202" t="n">
        <v>1694</v>
      </c>
      <c r="Q219" s="202" t="n">
        <v>10244</v>
      </c>
      <c r="R219" s="202" t="n">
        <v>8550</v>
      </c>
    </row>
    <row r="220" ht="12.75" customHeight="1" s="186">
      <c r="B220" s="178" t="inlineStr">
        <is>
          <t>MG</t>
        </is>
      </c>
      <c r="C220" s="179" t="n">
        <v>2021</v>
      </c>
      <c r="D220" s="180" t="n">
        <v>7.42</v>
      </c>
      <c r="E220" s="180" t="n">
        <v>111.51</v>
      </c>
      <c r="F220" s="181" t="n">
        <v>43697</v>
      </c>
      <c r="G220" s="182" t="n">
        <v>7.3702</v>
      </c>
      <c r="H220" s="182" t="n">
        <v>10.0806</v>
      </c>
      <c r="I220" s="181" t="n">
        <v>40052</v>
      </c>
      <c r="J220" s="182" t="n">
        <v>10.5979</v>
      </c>
      <c r="K220" s="183" t="n">
        <v>11.7</v>
      </c>
      <c r="L220" s="184" t="n">
        <v>0</v>
      </c>
      <c r="M220" s="184" t="n">
        <v>1</v>
      </c>
      <c r="N220" s="182" t="n">
        <v>178.189</v>
      </c>
      <c r="O220" s="181" t="n">
        <v>21411923</v>
      </c>
      <c r="P220" s="202" t="n">
        <v>1588</v>
      </c>
      <c r="Q220" s="202" t="n">
        <v>10905</v>
      </c>
      <c r="R220" s="202" t="n">
        <v>9317</v>
      </c>
    </row>
    <row r="221" ht="12.75" customHeight="1" s="186">
      <c r="B221" s="171" t="inlineStr">
        <is>
          <t>MG</t>
        </is>
      </c>
      <c r="C221" s="172" t="n">
        <v>2022</v>
      </c>
      <c r="D221" s="173" t="n">
        <v>8.460000000000001</v>
      </c>
      <c r="E221" s="173" t="n">
        <v>178.19</v>
      </c>
      <c r="F221" s="174" t="n">
        <v>80297</v>
      </c>
      <c r="G221" s="175" t="n">
        <v>7.4599</v>
      </c>
      <c r="H221" s="175" t="n">
        <v>10.5078</v>
      </c>
      <c r="I221" s="174" t="n">
        <v>44145</v>
      </c>
      <c r="J221" s="175" t="n">
        <v>10.6952</v>
      </c>
      <c r="K221" s="176" t="n">
        <v>7.2</v>
      </c>
      <c r="L221" s="177" t="n">
        <v>0</v>
      </c>
      <c r="M221" s="177" t="n">
        <v>0</v>
      </c>
      <c r="N221" s="175" t="n">
        <v>178.189</v>
      </c>
      <c r="O221" s="174" t="n">
        <v>20539989</v>
      </c>
      <c r="P221" s="202" t="n">
        <v>1741</v>
      </c>
      <c r="Q221" s="202" t="n">
        <v>11284</v>
      </c>
      <c r="R221" s="202" t="n">
        <v>9543</v>
      </c>
    </row>
    <row r="222" ht="12.75" customHeight="1" s="186">
      <c r="B222" s="178" t="inlineStr">
        <is>
          <t>MG</t>
        </is>
      </c>
      <c r="C222" s="179" t="n">
        <v>2023</v>
      </c>
      <c r="D222" s="180" t="n">
        <v>8.52</v>
      </c>
      <c r="E222" s="180" t="n">
        <v>0.49</v>
      </c>
      <c r="F222" s="181" t="n">
        <v>80398</v>
      </c>
      <c r="G222" s="182" t="n">
        <v>7.4668</v>
      </c>
      <c r="H222" s="182" t="n">
        <v>4.6151</v>
      </c>
      <c r="I222" s="181" t="n">
        <v>47321</v>
      </c>
      <c r="J222" s="182" t="n">
        <v>10.7647</v>
      </c>
      <c r="K222" s="183" t="n">
        <v>6.1</v>
      </c>
      <c r="L222" s="184" t="n">
        <v>1</v>
      </c>
      <c r="M222" s="184" t="n">
        <v>0</v>
      </c>
      <c r="N222" s="182" t="n">
        <v>178.189</v>
      </c>
      <c r="O222" s="181" t="n">
        <v>20539989</v>
      </c>
      <c r="P222" s="202" t="n">
        <v>1760</v>
      </c>
      <c r="Q222" s="202" t="n">
        <v>11793</v>
      </c>
      <c r="R222" s="202" t="n">
        <v>10033</v>
      </c>
    </row>
    <row r="223" ht="12.75" customHeight="1" s="186">
      <c r="B223" s="171" t="inlineStr">
        <is>
          <t>MG</t>
        </is>
      </c>
      <c r="C223" s="172" t="n">
        <v>2024</v>
      </c>
      <c r="D223" s="173" t="n">
        <v>7.89</v>
      </c>
      <c r="E223" s="173" t="n">
        <v>36.42</v>
      </c>
      <c r="F223" s="174" t="n">
        <v>88164</v>
      </c>
      <c r="G223" s="175" t="n">
        <v>7.4277</v>
      </c>
      <c r="H223" s="175" t="n">
        <v>8.9575</v>
      </c>
      <c r="I223" s="174" t="n">
        <v>48462</v>
      </c>
      <c r="J223" s="175" t="n">
        <v>10.7885</v>
      </c>
      <c r="K223" s="176" t="n">
        <v>5.2</v>
      </c>
      <c r="L223" s="177" t="n">
        <v>1</v>
      </c>
      <c r="M223" s="177" t="n">
        <v>0</v>
      </c>
      <c r="N223" s="175" t="n">
        <v>178.189</v>
      </c>
      <c r="O223" s="174" t="n">
        <v>21322691</v>
      </c>
      <c r="P223" s="202" t="n">
        <v>1694</v>
      </c>
      <c r="Q223" s="202" t="n">
        <v>12373</v>
      </c>
      <c r="R223" s="202" t="n">
        <v>10679</v>
      </c>
    </row>
    <row r="224" ht="12.75" customHeight="1" s="186">
      <c r="B224" s="157" t="inlineStr">
        <is>
          <t>MS</t>
        </is>
      </c>
      <c r="C224" s="158" t="n">
        <v>2005</v>
      </c>
      <c r="D224" s="159" t="n">
        <v>15.28</v>
      </c>
      <c r="E224" s="159" t="n">
        <v>0.35</v>
      </c>
      <c r="F224" s="160" t="n">
        <v>8</v>
      </c>
      <c r="G224" s="161" t="n">
        <v>5.8464</v>
      </c>
      <c r="H224" s="161" t="n">
        <v>2.0794</v>
      </c>
      <c r="I224" s="160" t="n">
        <v>9561</v>
      </c>
      <c r="J224" s="161" t="n">
        <v>9.1654</v>
      </c>
      <c r="K224" s="162" t="n">
        <v>9.199999999999999</v>
      </c>
      <c r="L224" s="163" t="n">
        <v>0</v>
      </c>
      <c r="M224" s="163" t="n">
        <v>0</v>
      </c>
      <c r="N224" s="161" t="n">
        <v>325.6786</v>
      </c>
      <c r="O224" s="160" t="n">
        <v>2264468</v>
      </c>
      <c r="P224" s="202" t="n">
        <v>337</v>
      </c>
      <c r="Q224" s="202" t="n">
        <v>1745</v>
      </c>
      <c r="R224" s="202" t="n">
        <v>1408</v>
      </c>
    </row>
    <row r="225" ht="12.75" customHeight="1" s="186">
      <c r="B225" s="164" t="inlineStr">
        <is>
          <t>MS</t>
        </is>
      </c>
      <c r="C225" s="165" t="n">
        <v>2006</v>
      </c>
      <c r="D225" s="166" t="n">
        <v>16.19</v>
      </c>
      <c r="E225" s="166" t="n">
        <v>0.65</v>
      </c>
      <c r="F225" s="167" t="n">
        <v>23</v>
      </c>
      <c r="G225" s="168" t="n">
        <v>5.9189</v>
      </c>
      <c r="H225" s="168" t="n">
        <v>2.7081</v>
      </c>
      <c r="I225" s="167" t="n">
        <v>10592</v>
      </c>
      <c r="J225" s="168" t="n">
        <v>9.267899999999999</v>
      </c>
      <c r="K225" s="169" t="n">
        <v>8.470000000000001</v>
      </c>
      <c r="L225" s="170" t="n">
        <v>0</v>
      </c>
      <c r="M225" s="170" t="n">
        <v>0</v>
      </c>
      <c r="N225" s="168" t="n">
        <v>325.6786</v>
      </c>
      <c r="O225" s="167" t="n">
        <v>2297981</v>
      </c>
      <c r="P225" s="202" t="n">
        <v>364</v>
      </c>
      <c r="Q225" s="202" t="n">
        <v>1774</v>
      </c>
      <c r="R225" s="202" t="n">
        <v>1410</v>
      </c>
    </row>
    <row r="226" ht="12.75" customHeight="1" s="186">
      <c r="B226" s="157" t="inlineStr">
        <is>
          <t>MS</t>
        </is>
      </c>
      <c r="C226" s="158" t="n">
        <v>2007</v>
      </c>
      <c r="D226" s="159" t="n">
        <v>17.7</v>
      </c>
      <c r="E226" s="159" t="n">
        <v>0.35</v>
      </c>
      <c r="F226" s="160" t="n">
        <v>31</v>
      </c>
      <c r="G226" s="161" t="n">
        <v>5.994</v>
      </c>
      <c r="H226" s="161" t="n">
        <v>2.0794</v>
      </c>
      <c r="I226" s="160" t="n">
        <v>12411</v>
      </c>
      <c r="J226" s="161" t="n">
        <v>9.426299999999999</v>
      </c>
      <c r="K226" s="162" t="n">
        <v>6.48</v>
      </c>
      <c r="L226" s="163" t="n">
        <v>0</v>
      </c>
      <c r="M226" s="163" t="n">
        <v>0</v>
      </c>
      <c r="N226" s="161" t="n">
        <v>325.6786</v>
      </c>
      <c r="O226" s="160" t="n">
        <v>2265813</v>
      </c>
      <c r="P226" s="202" t="n">
        <v>397</v>
      </c>
      <c r="Q226" s="202" t="n">
        <v>1794</v>
      </c>
      <c r="R226" s="202" t="n">
        <v>1397</v>
      </c>
    </row>
    <row r="227" ht="12.75" customHeight="1" s="186">
      <c r="B227" s="164" t="inlineStr">
        <is>
          <t>MS</t>
        </is>
      </c>
      <c r="C227" s="165" t="n">
        <v>2008</v>
      </c>
      <c r="D227" s="166" t="n">
        <v>16.65</v>
      </c>
      <c r="E227" s="166" t="n">
        <v>0.43</v>
      </c>
      <c r="F227" s="167" t="n">
        <v>41</v>
      </c>
      <c r="G227" s="168" t="n">
        <v>5.9636</v>
      </c>
      <c r="H227" s="168" t="n">
        <v>2.3026</v>
      </c>
      <c r="I227" s="167" t="n">
        <v>14188</v>
      </c>
      <c r="J227" s="168" t="n">
        <v>9.5602</v>
      </c>
      <c r="K227" s="169" t="n">
        <v>7.87</v>
      </c>
      <c r="L227" s="170" t="n">
        <v>0</v>
      </c>
      <c r="M227" s="170" t="n">
        <v>0</v>
      </c>
      <c r="N227" s="168" t="n">
        <v>325.6786</v>
      </c>
      <c r="O227" s="167" t="n">
        <v>2336060</v>
      </c>
      <c r="P227" s="202" t="n">
        <v>389</v>
      </c>
      <c r="Q227" s="202" t="n">
        <v>1790</v>
      </c>
      <c r="R227" s="202" t="n">
        <v>1401</v>
      </c>
    </row>
    <row r="228" ht="12.75" customHeight="1" s="186">
      <c r="B228" s="157" t="inlineStr">
        <is>
          <t>MS</t>
        </is>
      </c>
      <c r="C228" s="158" t="n">
        <v>2009</v>
      </c>
      <c r="D228" s="159" t="n">
        <v>18.34</v>
      </c>
      <c r="E228" s="159" t="n">
        <v>1.14</v>
      </c>
      <c r="F228" s="160" t="n">
        <v>68</v>
      </c>
      <c r="G228" s="161" t="n">
        <v>6.0707</v>
      </c>
      <c r="H228" s="161" t="n">
        <v>3.2958</v>
      </c>
      <c r="I228" s="160" t="n">
        <v>15407</v>
      </c>
      <c r="J228" s="161" t="n">
        <v>9.6426</v>
      </c>
      <c r="K228" s="162" t="n">
        <v>7.21</v>
      </c>
      <c r="L228" s="163" t="n">
        <v>0</v>
      </c>
      <c r="M228" s="163" t="n">
        <v>0</v>
      </c>
      <c r="N228" s="161" t="n">
        <v>325.6786</v>
      </c>
      <c r="O228" s="160" t="n">
        <v>2360498</v>
      </c>
      <c r="P228" s="202" t="n">
        <v>424</v>
      </c>
      <c r="Q228" s="202" t="n">
        <v>1866</v>
      </c>
      <c r="R228" s="202" t="n">
        <v>1442</v>
      </c>
    </row>
    <row r="229" ht="12.75" customHeight="1" s="186">
      <c r="B229" s="164" t="inlineStr">
        <is>
          <t>MS</t>
        </is>
      </c>
      <c r="C229" s="165" t="n">
        <v>2010</v>
      </c>
      <c r="D229" s="166" t="n">
        <v>13.84</v>
      </c>
      <c r="E229" s="166" t="n">
        <v>0.78</v>
      </c>
      <c r="F229" s="167" t="n">
        <v>87</v>
      </c>
      <c r="G229" s="168" t="n">
        <v>5.826</v>
      </c>
      <c r="H229" s="168" t="n">
        <v>2.9444</v>
      </c>
      <c r="I229" s="167" t="n">
        <v>19302</v>
      </c>
      <c r="J229" s="168" t="n">
        <v>9.868</v>
      </c>
      <c r="K229" s="169" t="n">
        <v>6.04</v>
      </c>
      <c r="L229" s="170" t="n">
        <v>0</v>
      </c>
      <c r="M229" s="170" t="n">
        <v>0</v>
      </c>
      <c r="N229" s="168" t="n">
        <v>325.6786</v>
      </c>
      <c r="O229" s="167" t="n">
        <v>2449024</v>
      </c>
      <c r="P229" s="202" t="n">
        <v>341</v>
      </c>
      <c r="Q229" s="202" t="n">
        <v>1883</v>
      </c>
      <c r="R229" s="202" t="n">
        <v>1542</v>
      </c>
    </row>
    <row r="230" ht="12.75" customHeight="1" s="186">
      <c r="B230" s="157" t="inlineStr">
        <is>
          <t>MS</t>
        </is>
      </c>
      <c r="C230" s="158" t="n">
        <v>2011</v>
      </c>
      <c r="D230" s="159" t="n">
        <v>14.69</v>
      </c>
      <c r="E230" s="159" t="n">
        <v>2.18</v>
      </c>
      <c r="F230" s="160" t="n">
        <v>141</v>
      </c>
      <c r="G230" s="161" t="n">
        <v>5.8972</v>
      </c>
      <c r="H230" s="161" t="n">
        <v>3.989</v>
      </c>
      <c r="I230" s="160" t="n">
        <v>22253</v>
      </c>
      <c r="J230" s="161" t="n">
        <v>10.0102</v>
      </c>
      <c r="K230" s="162" t="n">
        <v>4.86</v>
      </c>
      <c r="L230" s="163" t="n">
        <v>0</v>
      </c>
      <c r="M230" s="163" t="n">
        <v>0</v>
      </c>
      <c r="N230" s="161" t="n">
        <v>325.6786</v>
      </c>
      <c r="O230" s="160" t="n">
        <v>2477542</v>
      </c>
      <c r="P230" s="202" t="n">
        <v>367</v>
      </c>
      <c r="Q230" s="202" t="n">
        <v>1992</v>
      </c>
      <c r="R230" s="202" t="n">
        <v>1625</v>
      </c>
    </row>
    <row r="231" ht="12.75" customHeight="1" s="186">
      <c r="B231" s="164" t="inlineStr">
        <is>
          <t>MS</t>
        </is>
      </c>
      <c r="C231" s="165" t="n">
        <v>2012</v>
      </c>
      <c r="D231" s="166" t="n">
        <v>13.4</v>
      </c>
      <c r="E231" s="166" t="n">
        <v>1.48</v>
      </c>
      <c r="F231" s="167" t="n">
        <v>178</v>
      </c>
      <c r="G231" s="168" t="n">
        <v>5.8141</v>
      </c>
      <c r="H231" s="168" t="n">
        <v>3.6109</v>
      </c>
      <c r="I231" s="167" t="n">
        <v>24802</v>
      </c>
      <c r="J231" s="168" t="n">
        <v>10.1187</v>
      </c>
      <c r="K231" s="169" t="n">
        <v>3.73</v>
      </c>
      <c r="L231" s="170" t="n">
        <v>0</v>
      </c>
      <c r="M231" s="170" t="n">
        <v>0</v>
      </c>
      <c r="N231" s="168" t="n">
        <v>325.6786</v>
      </c>
      <c r="O231" s="167" t="n">
        <v>2500365</v>
      </c>
      <c r="P231" s="202" t="n">
        <v>334</v>
      </c>
      <c r="Q231" s="202" t="n">
        <v>1919</v>
      </c>
      <c r="R231" s="202" t="n">
        <v>1585</v>
      </c>
    </row>
    <row r="232" ht="12.75" customHeight="1" s="186">
      <c r="B232" s="157" t="inlineStr">
        <is>
          <t>MS</t>
        </is>
      </c>
      <c r="C232" s="158" t="n">
        <v>2013</v>
      </c>
      <c r="D232" s="159" t="n">
        <v>12.14</v>
      </c>
      <c r="E232" s="159" t="n">
        <v>0.5</v>
      </c>
      <c r="F232" s="160" t="n">
        <v>191</v>
      </c>
      <c r="G232" s="161" t="n">
        <v>5.7494</v>
      </c>
      <c r="H232" s="161" t="n">
        <v>2.5649</v>
      </c>
      <c r="I232" s="160" t="n">
        <v>26748</v>
      </c>
      <c r="J232" s="161" t="n">
        <v>10.1942</v>
      </c>
      <c r="K232" s="162" t="n">
        <v>3.87</v>
      </c>
      <c r="L232" s="163" t="n">
        <v>0</v>
      </c>
      <c r="M232" s="163" t="n">
        <v>0</v>
      </c>
      <c r="N232" s="161" t="n">
        <v>325.6786</v>
      </c>
      <c r="O232" s="160" t="n">
        <v>2587269</v>
      </c>
      <c r="P232" s="202" t="n">
        <v>314</v>
      </c>
      <c r="Q232" s="202" t="n">
        <v>1896</v>
      </c>
      <c r="R232" s="202" t="n">
        <v>1582</v>
      </c>
    </row>
    <row r="233" ht="12.75" customHeight="1" s="186">
      <c r="B233" s="164" t="inlineStr">
        <is>
          <t>MS</t>
        </is>
      </c>
      <c r="C233" s="165" t="n">
        <v>2014</v>
      </c>
      <c r="D233" s="166" t="n">
        <v>13.55</v>
      </c>
      <c r="E233" s="166" t="n">
        <v>0.92</v>
      </c>
      <c r="F233" s="167" t="n">
        <v>215</v>
      </c>
      <c r="G233" s="168" t="n">
        <v>5.8721</v>
      </c>
      <c r="H233" s="168" t="n">
        <v>3.1781</v>
      </c>
      <c r="I233" s="167" t="n">
        <v>30138</v>
      </c>
      <c r="J233" s="168" t="n">
        <v>10.3135</v>
      </c>
      <c r="K233" s="169" t="n">
        <v>4.49</v>
      </c>
      <c r="L233" s="170" t="n">
        <v>0</v>
      </c>
      <c r="M233" s="170" t="n">
        <v>0</v>
      </c>
      <c r="N233" s="168" t="n">
        <v>325.6786</v>
      </c>
      <c r="O233" s="167" t="n">
        <v>2619657</v>
      </c>
      <c r="P233" s="202" t="n">
        <v>353</v>
      </c>
      <c r="Q233" s="202" t="n">
        <v>1962</v>
      </c>
      <c r="R233" s="202" t="n">
        <v>1609</v>
      </c>
    </row>
    <row r="234" ht="12.75" customHeight="1" s="186">
      <c r="B234" s="157" t="inlineStr">
        <is>
          <t>MS</t>
        </is>
      </c>
      <c r="C234" s="158" t="n">
        <v>2015</v>
      </c>
      <c r="D234" s="159" t="n">
        <v>11.96</v>
      </c>
      <c r="E234" s="159" t="n">
        <v>0.57</v>
      </c>
      <c r="F234" s="160" t="n">
        <v>230</v>
      </c>
      <c r="G234" s="161" t="n">
        <v>5.7589</v>
      </c>
      <c r="H234" s="161" t="n">
        <v>2.7081</v>
      </c>
      <c r="I234" s="160" t="n">
        <v>31337</v>
      </c>
      <c r="J234" s="161" t="n">
        <v>10.3526</v>
      </c>
      <c r="K234" s="162" t="n">
        <v>6.2</v>
      </c>
      <c r="L234" s="163" t="n">
        <v>0</v>
      </c>
      <c r="M234" s="163" t="n">
        <v>0</v>
      </c>
      <c r="N234" s="161" t="n">
        <v>325.6786</v>
      </c>
      <c r="O234" s="160" t="n">
        <v>2651235</v>
      </c>
      <c r="P234" s="202" t="n">
        <v>313</v>
      </c>
      <c r="Q234" s="202" t="n">
        <v>1739</v>
      </c>
      <c r="R234" s="202" t="n">
        <v>1426</v>
      </c>
    </row>
    <row r="235" ht="12.75" customHeight="1" s="186">
      <c r="B235" s="171" t="inlineStr">
        <is>
          <t>MS</t>
        </is>
      </c>
      <c r="C235" s="172" t="n">
        <v>2016</v>
      </c>
      <c r="D235" s="173" t="n">
        <v>12.23</v>
      </c>
      <c r="E235" s="173" t="n">
        <v>4.36</v>
      </c>
      <c r="F235" s="174" t="n">
        <v>347</v>
      </c>
      <c r="G235" s="175" t="n">
        <v>5.793</v>
      </c>
      <c r="H235" s="175" t="n">
        <v>4.7622</v>
      </c>
      <c r="I235" s="174" t="n">
        <v>34258</v>
      </c>
      <c r="J235" s="175" t="n">
        <v>10.4417</v>
      </c>
      <c r="K235" s="176" t="n">
        <v>7.7</v>
      </c>
      <c r="L235" s="177" t="n">
        <v>0</v>
      </c>
      <c r="M235" s="177" t="n">
        <v>0</v>
      </c>
      <c r="N235" s="175" t="n">
        <v>325.6786</v>
      </c>
      <c r="O235" s="174" t="n">
        <v>2682386</v>
      </c>
      <c r="P235" s="202" t="n">
        <v>323</v>
      </c>
      <c r="Q235" s="202" t="n">
        <v>1807</v>
      </c>
      <c r="R235" s="202" t="n">
        <v>1484</v>
      </c>
    </row>
    <row r="236" ht="12.75" customHeight="1" s="186">
      <c r="B236" s="178" t="inlineStr">
        <is>
          <t>MS</t>
        </is>
      </c>
      <c r="C236" s="179" t="n">
        <v>2017</v>
      </c>
      <c r="D236" s="180" t="n">
        <v>11.72</v>
      </c>
      <c r="E236" s="180" t="n">
        <v>7</v>
      </c>
      <c r="F236" s="181" t="n">
        <v>537</v>
      </c>
      <c r="G236" s="182" t="n">
        <v>5.7621</v>
      </c>
      <c r="H236" s="182" t="n">
        <v>5.247</v>
      </c>
      <c r="I236" s="181" t="n">
        <v>35529</v>
      </c>
      <c r="J236" s="182" t="n">
        <v>10.4781</v>
      </c>
      <c r="K236" s="183" t="n">
        <v>8.6</v>
      </c>
      <c r="L236" s="184" t="n">
        <v>0</v>
      </c>
      <c r="M236" s="184" t="n">
        <v>0</v>
      </c>
      <c r="N236" s="182" t="n">
        <v>325.6786</v>
      </c>
      <c r="O236" s="181" t="n">
        <v>2713147</v>
      </c>
      <c r="P236" s="202" t="n">
        <v>325</v>
      </c>
      <c r="Q236" s="202" t="n">
        <v>1776</v>
      </c>
      <c r="R236" s="202" t="n">
        <v>1451</v>
      </c>
    </row>
    <row r="237" ht="12.75" customHeight="1" s="186">
      <c r="B237" s="171" t="inlineStr">
        <is>
          <t>MS</t>
        </is>
      </c>
      <c r="C237" s="172" t="n">
        <v>2018</v>
      </c>
      <c r="D237" s="173" t="n">
        <v>8.949999999999999</v>
      </c>
      <c r="E237" s="173" t="n">
        <v>6.8</v>
      </c>
      <c r="F237" s="174" t="n">
        <v>724</v>
      </c>
      <c r="G237" s="175" t="n">
        <v>5.5053</v>
      </c>
      <c r="H237" s="175" t="n">
        <v>5.2311</v>
      </c>
      <c r="I237" s="174" t="n">
        <v>38926</v>
      </c>
      <c r="J237" s="175" t="n">
        <v>10.5694</v>
      </c>
      <c r="K237" s="176" t="n">
        <v>7.6</v>
      </c>
      <c r="L237" s="177" t="n">
        <v>0</v>
      </c>
      <c r="M237" s="177" t="n">
        <v>0</v>
      </c>
      <c r="N237" s="175" t="n">
        <v>325.6786</v>
      </c>
      <c r="O237" s="174" t="n">
        <v>2748023</v>
      </c>
      <c r="P237" s="202" t="n">
        <v>239</v>
      </c>
      <c r="Q237" s="202" t="n">
        <v>1662</v>
      </c>
      <c r="R237" s="202" t="n">
        <v>1423</v>
      </c>
    </row>
    <row r="238" ht="12.75" customHeight="1" s="186">
      <c r="B238" s="178" t="inlineStr">
        <is>
          <t>MS</t>
        </is>
      </c>
      <c r="C238" s="179" t="n">
        <v>2019</v>
      </c>
      <c r="D238" s="180" t="n">
        <v>8.31</v>
      </c>
      <c r="E238" s="180" t="n">
        <v>37.89</v>
      </c>
      <c r="F238" s="181" t="n">
        <v>1777</v>
      </c>
      <c r="G238" s="182" t="n">
        <v>5.4424</v>
      </c>
      <c r="H238" s="182" t="n">
        <v>6.9594</v>
      </c>
      <c r="I238" s="181" t="n">
        <v>38483</v>
      </c>
      <c r="J238" s="182" t="n">
        <v>10.558</v>
      </c>
      <c r="K238" s="183" t="n">
        <v>8.1</v>
      </c>
      <c r="L238" s="184" t="n">
        <v>0</v>
      </c>
      <c r="M238" s="184" t="n">
        <v>0</v>
      </c>
      <c r="N238" s="182" t="n">
        <v>325.6786</v>
      </c>
      <c r="O238" s="181" t="n">
        <v>2778986</v>
      </c>
      <c r="P238" s="202" t="n">
        <v>215</v>
      </c>
      <c r="Q238" s="202" t="n">
        <v>1635</v>
      </c>
      <c r="R238" s="202" t="n">
        <v>1420</v>
      </c>
    </row>
    <row r="239" ht="12.75" customHeight="1" s="186">
      <c r="B239" s="171" t="inlineStr">
        <is>
          <t>MS</t>
        </is>
      </c>
      <c r="C239" s="172" t="n">
        <v>2020</v>
      </c>
      <c r="D239" s="173" t="n">
        <v>7.65</v>
      </c>
      <c r="E239" s="173" t="n">
        <v>84.15000000000001</v>
      </c>
      <c r="F239" s="174" t="n">
        <v>4141</v>
      </c>
      <c r="G239" s="175" t="n">
        <v>5.3706</v>
      </c>
      <c r="H239" s="175" t="n">
        <v>7.7681</v>
      </c>
      <c r="I239" s="174" t="n">
        <v>43649</v>
      </c>
      <c r="J239" s="175" t="n">
        <v>10.6839</v>
      </c>
      <c r="K239" s="176" t="n">
        <v>10.2</v>
      </c>
      <c r="L239" s="177" t="n">
        <v>0</v>
      </c>
      <c r="M239" s="177" t="n">
        <v>1</v>
      </c>
      <c r="N239" s="175" t="n">
        <v>325.6786</v>
      </c>
      <c r="O239" s="174" t="n">
        <v>2809394</v>
      </c>
      <c r="P239" s="202" t="n">
        <v>204</v>
      </c>
      <c r="Q239" s="202" t="n">
        <v>1661</v>
      </c>
      <c r="R239" s="202" t="n">
        <v>1457</v>
      </c>
    </row>
    <row r="240" ht="12.75" customHeight="1" s="186">
      <c r="B240" s="178" t="inlineStr">
        <is>
          <t>MS</t>
        </is>
      </c>
      <c r="C240" s="179" t="n">
        <v>2021</v>
      </c>
      <c r="D240" s="180" t="n">
        <v>9.470000000000001</v>
      </c>
      <c r="E240" s="180" t="n">
        <v>167.3</v>
      </c>
      <c r="F240" s="181" t="n">
        <v>8891</v>
      </c>
      <c r="G240" s="182" t="n">
        <v>5.5947</v>
      </c>
      <c r="H240" s="182" t="n">
        <v>8.4659</v>
      </c>
      <c r="I240" s="181" t="n">
        <v>50086</v>
      </c>
      <c r="J240" s="182" t="n">
        <v>10.8215</v>
      </c>
      <c r="K240" s="183" t="n">
        <v>8.699999999999999</v>
      </c>
      <c r="L240" s="184" t="n">
        <v>0</v>
      </c>
      <c r="M240" s="184" t="n">
        <v>1</v>
      </c>
      <c r="N240" s="182" t="n">
        <v>325.6786</v>
      </c>
      <c r="O240" s="181" t="n">
        <v>2839188</v>
      </c>
      <c r="P240" s="202" t="n">
        <v>272</v>
      </c>
      <c r="Q240" s="202" t="n">
        <v>1833</v>
      </c>
      <c r="R240" s="202" t="n">
        <v>1561</v>
      </c>
    </row>
    <row r="241" ht="12.75" customHeight="1" s="186">
      <c r="B241" s="171" t="inlineStr">
        <is>
          <t>MS</t>
        </is>
      </c>
      <c r="C241" s="172" t="n">
        <v>2022</v>
      </c>
      <c r="D241" s="173" t="n">
        <v>9.029999999999999</v>
      </c>
      <c r="E241" s="173" t="n">
        <v>325.68</v>
      </c>
      <c r="F241" s="174" t="n">
        <v>17870</v>
      </c>
      <c r="G241" s="175" t="n">
        <v>5.5175</v>
      </c>
      <c r="H241" s="175" t="n">
        <v>9.102600000000001</v>
      </c>
      <c r="I241" s="174" t="n">
        <v>60358</v>
      </c>
      <c r="J241" s="175" t="n">
        <v>11.008</v>
      </c>
      <c r="K241" s="176" t="n">
        <v>5</v>
      </c>
      <c r="L241" s="177" t="n">
        <v>0</v>
      </c>
      <c r="M241" s="177" t="n">
        <v>0</v>
      </c>
      <c r="N241" s="175" t="n">
        <v>325.6786</v>
      </c>
      <c r="O241" s="174" t="n">
        <v>2757013</v>
      </c>
      <c r="P241" s="202" t="n">
        <v>244</v>
      </c>
      <c r="Q241" s="202" t="n">
        <v>1957</v>
      </c>
      <c r="R241" s="202" t="n">
        <v>1713</v>
      </c>
    </row>
    <row r="242" ht="12.75" customHeight="1" s="186">
      <c r="B242" s="178" t="inlineStr">
        <is>
          <t>MS</t>
        </is>
      </c>
      <c r="C242" s="179" t="n">
        <v>2023</v>
      </c>
      <c r="D242" s="180" t="n">
        <v>8.23</v>
      </c>
      <c r="E242" s="180" t="n">
        <v>0.65</v>
      </c>
      <c r="F242" s="181" t="n">
        <v>17888</v>
      </c>
      <c r="G242" s="182" t="n">
        <v>5.425</v>
      </c>
      <c r="H242" s="182" t="n">
        <v>2.8904</v>
      </c>
      <c r="I242" s="181" t="n">
        <v>66885</v>
      </c>
      <c r="J242" s="182" t="n">
        <v>11.1107</v>
      </c>
      <c r="K242" s="183" t="n">
        <v>4.2</v>
      </c>
      <c r="L242" s="184" t="n">
        <v>1</v>
      </c>
      <c r="M242" s="184" t="n">
        <v>0</v>
      </c>
      <c r="N242" s="182" t="n">
        <v>325.6786</v>
      </c>
      <c r="O242" s="181" t="n">
        <v>2757013</v>
      </c>
      <c r="P242" s="202" t="n">
        <v>215</v>
      </c>
      <c r="Q242" s="202" t="n">
        <v>1935</v>
      </c>
      <c r="R242" s="202" t="n">
        <v>1720</v>
      </c>
    </row>
    <row r="243" ht="12.75" customHeight="1" s="186">
      <c r="B243" s="171" t="inlineStr">
        <is>
          <t>MS</t>
        </is>
      </c>
      <c r="C243" s="172" t="n">
        <v>2024</v>
      </c>
      <c r="D243" s="173" t="n">
        <v>7.48</v>
      </c>
      <c r="E243" s="173" t="n">
        <v>40.66</v>
      </c>
      <c r="F243" s="174" t="n">
        <v>19068</v>
      </c>
      <c r="G243" s="175" t="n">
        <v>5.3799</v>
      </c>
      <c r="H243" s="175" t="n">
        <v>7.0733</v>
      </c>
      <c r="I243" s="174" t="n">
        <v>69436</v>
      </c>
      <c r="J243" s="175" t="n">
        <v>11.1482</v>
      </c>
      <c r="K243" s="176" t="n">
        <v>4</v>
      </c>
      <c r="L243" s="177" t="n">
        <v>1</v>
      </c>
      <c r="M243" s="177" t="n">
        <v>0</v>
      </c>
      <c r="N243" s="175" t="n">
        <v>325.6786</v>
      </c>
      <c r="O243" s="174" t="n">
        <v>2901895</v>
      </c>
      <c r="P243" s="202" t="n">
        <v>210</v>
      </c>
      <c r="Q243" s="202" t="n">
        <v>1966</v>
      </c>
      <c r="R243" s="202" t="n">
        <v>1756</v>
      </c>
    </row>
    <row r="244" ht="12.75" customHeight="1" s="186">
      <c r="B244" s="157" t="inlineStr">
        <is>
          <t>MT</t>
        </is>
      </c>
      <c r="C244" s="158" t="n">
        <v>2005</v>
      </c>
      <c r="D244" s="159" t="n">
        <v>17.27</v>
      </c>
      <c r="E244" s="159" t="n">
        <v>0.18</v>
      </c>
      <c r="F244" s="160" t="n">
        <v>5</v>
      </c>
      <c r="G244" s="161" t="n">
        <v>6.1821</v>
      </c>
      <c r="H244" s="161" t="n">
        <v>1.6094</v>
      </c>
      <c r="I244" s="160" t="n">
        <v>13365</v>
      </c>
      <c r="J244" s="161" t="n">
        <v>9.500400000000001</v>
      </c>
      <c r="K244" s="162" t="n">
        <v>8.69</v>
      </c>
      <c r="L244" s="163" t="n">
        <v>0</v>
      </c>
      <c r="M244" s="163" t="n">
        <v>0</v>
      </c>
      <c r="N244" s="161" t="n">
        <v>362.7569</v>
      </c>
      <c r="O244" s="160" t="n">
        <v>2803274</v>
      </c>
      <c r="P244" s="202" t="n">
        <v>478</v>
      </c>
      <c r="Q244" s="202" t="n">
        <v>2392</v>
      </c>
      <c r="R244" s="202" t="n">
        <v>1914</v>
      </c>
    </row>
    <row r="245" ht="12.75" customHeight="1" s="186">
      <c r="B245" s="164" t="inlineStr">
        <is>
          <t>MT</t>
        </is>
      </c>
      <c r="C245" s="165" t="n">
        <v>2006</v>
      </c>
      <c r="D245" s="166" t="n">
        <v>17.47</v>
      </c>
      <c r="E245" s="166" t="n">
        <v>0</v>
      </c>
      <c r="F245" s="167" t="n">
        <v>5</v>
      </c>
      <c r="G245" s="168" t="n">
        <v>6.2126</v>
      </c>
      <c r="H245" s="168" t="n"/>
      <c r="I245" s="167" t="n">
        <v>12341</v>
      </c>
      <c r="J245" s="168" t="n">
        <v>9.4207</v>
      </c>
      <c r="K245" s="169" t="n">
        <v>9.1</v>
      </c>
      <c r="L245" s="170" t="n">
        <v>0</v>
      </c>
      <c r="M245" s="170" t="n">
        <v>0</v>
      </c>
      <c r="N245" s="168" t="n">
        <v>362.7569</v>
      </c>
      <c r="O245" s="167" t="n">
        <v>2856999</v>
      </c>
      <c r="P245" s="202" t="n">
        <v>491</v>
      </c>
      <c r="Q245" s="202" t="n">
        <v>2311</v>
      </c>
      <c r="R245" s="202" t="n">
        <v>1820</v>
      </c>
    </row>
    <row r="246" ht="12.75" customHeight="1" s="186">
      <c r="B246" s="157" t="inlineStr">
        <is>
          <t>MT</t>
        </is>
      </c>
      <c r="C246" s="158" t="n">
        <v>2007</v>
      </c>
      <c r="D246" s="159" t="n">
        <v>18.99</v>
      </c>
      <c r="E246" s="159" t="n">
        <v>0.21</v>
      </c>
      <c r="F246" s="160" t="n">
        <v>11</v>
      </c>
      <c r="G246" s="161" t="n">
        <v>6.2953</v>
      </c>
      <c r="H246" s="161" t="n">
        <v>1.7918</v>
      </c>
      <c r="I246" s="160" t="n">
        <v>14954</v>
      </c>
      <c r="J246" s="161" t="n">
        <v>9.6127</v>
      </c>
      <c r="K246" s="162" t="n">
        <v>8.42</v>
      </c>
      <c r="L246" s="163" t="n">
        <v>0</v>
      </c>
      <c r="M246" s="163" t="n">
        <v>0</v>
      </c>
      <c r="N246" s="161" t="n">
        <v>362.7569</v>
      </c>
      <c r="O246" s="160" t="n">
        <v>2854642</v>
      </c>
      <c r="P246" s="202" t="n">
        <v>531</v>
      </c>
      <c r="Q246" s="202" t="n">
        <v>2324</v>
      </c>
      <c r="R246" s="202" t="n">
        <v>1793</v>
      </c>
    </row>
    <row r="247" ht="12.75" customHeight="1" s="186">
      <c r="B247" s="164" t="inlineStr">
        <is>
          <t>MT</t>
        </is>
      </c>
      <c r="C247" s="165" t="n">
        <v>2008</v>
      </c>
      <c r="D247" s="166" t="n">
        <v>19.58</v>
      </c>
      <c r="E247" s="166" t="n">
        <v>0.51</v>
      </c>
      <c r="F247" s="167" t="n">
        <v>26</v>
      </c>
      <c r="G247" s="168" t="n">
        <v>6.3613</v>
      </c>
      <c r="H247" s="168" t="n">
        <v>2.7081</v>
      </c>
      <c r="I247" s="167" t="n">
        <v>18050</v>
      </c>
      <c r="J247" s="168" t="n">
        <v>9.8009</v>
      </c>
      <c r="K247" s="169" t="n">
        <v>6.22</v>
      </c>
      <c r="L247" s="170" t="n">
        <v>0</v>
      </c>
      <c r="M247" s="170" t="n">
        <v>0</v>
      </c>
      <c r="N247" s="168" t="n">
        <v>362.7569</v>
      </c>
      <c r="O247" s="167" t="n">
        <v>2957735</v>
      </c>
      <c r="P247" s="202" t="n">
        <v>563</v>
      </c>
      <c r="Q247" s="202" t="n">
        <v>2521</v>
      </c>
      <c r="R247" s="202" t="n">
        <v>1958</v>
      </c>
    </row>
    <row r="248" ht="12.75" customHeight="1" s="186">
      <c r="B248" s="157" t="inlineStr">
        <is>
          <t>MT</t>
        </is>
      </c>
      <c r="C248" s="158" t="n">
        <v>2009</v>
      </c>
      <c r="D248" s="159" t="n">
        <v>19.16</v>
      </c>
      <c r="E248" s="159" t="n">
        <v>1.07</v>
      </c>
      <c r="F248" s="160" t="n">
        <v>58</v>
      </c>
      <c r="G248" s="161" t="n">
        <v>6.3544</v>
      </c>
      <c r="H248" s="161" t="n">
        <v>3.4657</v>
      </c>
      <c r="I248" s="160" t="n">
        <v>19087</v>
      </c>
      <c r="J248" s="161" t="n">
        <v>9.8568</v>
      </c>
      <c r="K248" s="162" t="n">
        <v>6.87</v>
      </c>
      <c r="L248" s="163" t="n">
        <v>0</v>
      </c>
      <c r="M248" s="163" t="n">
        <v>0</v>
      </c>
      <c r="N248" s="161" t="n">
        <v>362.7569</v>
      </c>
      <c r="O248" s="160" t="n">
        <v>3001692</v>
      </c>
      <c r="P248" s="202" t="n">
        <v>565</v>
      </c>
      <c r="Q248" s="202" t="n">
        <v>2667</v>
      </c>
      <c r="R248" s="202" t="n">
        <v>2102</v>
      </c>
    </row>
    <row r="249" ht="12.75" customHeight="1" s="186">
      <c r="B249" s="164" t="inlineStr">
        <is>
          <t>MT</t>
        </is>
      </c>
      <c r="C249" s="165" t="n">
        <v>2010</v>
      </c>
      <c r="D249" s="166" t="n">
        <v>18.71</v>
      </c>
      <c r="E249" s="166" t="n">
        <v>1.61</v>
      </c>
      <c r="F249" s="167" t="n">
        <v>107</v>
      </c>
      <c r="G249" s="168" t="n">
        <v>6.3421</v>
      </c>
      <c r="H249" s="168" t="n">
        <v>3.8918</v>
      </c>
      <c r="I249" s="167" t="n">
        <v>18649</v>
      </c>
      <c r="J249" s="168" t="n">
        <v>9.833500000000001</v>
      </c>
      <c r="K249" s="169" t="n">
        <v>7.25</v>
      </c>
      <c r="L249" s="170" t="n">
        <v>0</v>
      </c>
      <c r="M249" s="170" t="n">
        <v>0</v>
      </c>
      <c r="N249" s="168" t="n">
        <v>362.7569</v>
      </c>
      <c r="O249" s="167" t="n">
        <v>3035122</v>
      </c>
      <c r="P249" s="202" t="n">
        <v>557</v>
      </c>
      <c r="Q249" s="202" t="n">
        <v>2608</v>
      </c>
      <c r="R249" s="202" t="n">
        <v>2051</v>
      </c>
    </row>
    <row r="250" ht="12.75" customHeight="1" s="186">
      <c r="B250" s="157" t="inlineStr">
        <is>
          <t>MT</t>
        </is>
      </c>
      <c r="C250" s="158" t="n">
        <v>2011</v>
      </c>
      <c r="D250" s="159" t="n">
        <v>19.67</v>
      </c>
      <c r="E250" s="159" t="n">
        <v>1.89</v>
      </c>
      <c r="F250" s="160" t="n">
        <v>165</v>
      </c>
      <c r="G250" s="161" t="n">
        <v>6.4052</v>
      </c>
      <c r="H250" s="161" t="n">
        <v>4.0604</v>
      </c>
      <c r="I250" s="160" t="n">
        <v>22482</v>
      </c>
      <c r="J250" s="161" t="n">
        <v>10.0205</v>
      </c>
      <c r="K250" s="162" t="n">
        <v>7.63</v>
      </c>
      <c r="L250" s="163" t="n">
        <v>0</v>
      </c>
      <c r="M250" s="163" t="n">
        <v>0</v>
      </c>
      <c r="N250" s="161" t="n">
        <v>362.7569</v>
      </c>
      <c r="O250" s="160" t="n">
        <v>3075936</v>
      </c>
      <c r="P250" s="202" t="n">
        <v>591</v>
      </c>
      <c r="Q250" s="202" t="n">
        <v>2611</v>
      </c>
      <c r="R250" s="202" t="n">
        <v>2020</v>
      </c>
    </row>
    <row r="251" ht="12.75" customHeight="1" s="186">
      <c r="B251" s="164" t="inlineStr">
        <is>
          <t>MT</t>
        </is>
      </c>
      <c r="C251" s="165" t="n">
        <v>2012</v>
      </c>
      <c r="D251" s="166" t="n">
        <v>20.83</v>
      </c>
      <c r="E251" s="166" t="n">
        <v>3.31</v>
      </c>
      <c r="F251" s="167" t="n">
        <v>268</v>
      </c>
      <c r="G251" s="168" t="n">
        <v>6.4754</v>
      </c>
      <c r="H251" s="168" t="n">
        <v>4.6347</v>
      </c>
      <c r="I251" s="167" t="n">
        <v>25572</v>
      </c>
      <c r="J251" s="168" t="n">
        <v>10.1493</v>
      </c>
      <c r="K251" s="169" t="n">
        <v>5.26</v>
      </c>
      <c r="L251" s="170" t="n">
        <v>0</v>
      </c>
      <c r="M251" s="170" t="n">
        <v>0</v>
      </c>
      <c r="N251" s="168" t="n">
        <v>362.7569</v>
      </c>
      <c r="O251" s="167" t="n">
        <v>3115336</v>
      </c>
      <c r="P251" s="202" t="n">
        <v>630</v>
      </c>
      <c r="Q251" s="202" t="n">
        <v>2776</v>
      </c>
      <c r="R251" s="202" t="n">
        <v>2146</v>
      </c>
    </row>
    <row r="252" ht="12.75" customHeight="1" s="186">
      <c r="B252" s="157" t="inlineStr">
        <is>
          <t>MT</t>
        </is>
      </c>
      <c r="C252" s="158" t="n">
        <v>2013</v>
      </c>
      <c r="D252" s="159" t="n">
        <v>23.57</v>
      </c>
      <c r="E252" s="159" t="n">
        <v>0.91</v>
      </c>
      <c r="F252" s="160" t="n">
        <v>297</v>
      </c>
      <c r="G252" s="161" t="n">
        <v>6.6201</v>
      </c>
      <c r="H252" s="161" t="n">
        <v>3.3673</v>
      </c>
      <c r="I252" s="160" t="n">
        <v>28036</v>
      </c>
      <c r="J252" s="161" t="n">
        <v>10.2412</v>
      </c>
      <c r="K252" s="162" t="n">
        <v>4.9</v>
      </c>
      <c r="L252" s="163" t="n">
        <v>0</v>
      </c>
      <c r="M252" s="163" t="n">
        <v>0</v>
      </c>
      <c r="N252" s="161" t="n">
        <v>362.7569</v>
      </c>
      <c r="O252" s="160" t="n">
        <v>3182113</v>
      </c>
      <c r="P252" s="202" t="n">
        <v>740</v>
      </c>
      <c r="Q252" s="202" t="n">
        <v>2927</v>
      </c>
      <c r="R252" s="202" t="n">
        <v>2187</v>
      </c>
    </row>
    <row r="253" ht="12.75" customHeight="1" s="186">
      <c r="B253" s="164" t="inlineStr">
        <is>
          <t>MT</t>
        </is>
      </c>
      <c r="C253" s="165" t="n">
        <v>2014</v>
      </c>
      <c r="D253" s="166" t="n">
        <v>26.55</v>
      </c>
      <c r="E253" s="166" t="n">
        <v>2.02</v>
      </c>
      <c r="F253" s="167" t="n">
        <v>362</v>
      </c>
      <c r="G253" s="168" t="n">
        <v>6.7523</v>
      </c>
      <c r="H253" s="168" t="n">
        <v>4.1744</v>
      </c>
      <c r="I253" s="167" t="n">
        <v>31397</v>
      </c>
      <c r="J253" s="168" t="n">
        <v>10.3545</v>
      </c>
      <c r="K253" s="169" t="n">
        <v>4.81</v>
      </c>
      <c r="L253" s="170" t="n">
        <v>0</v>
      </c>
      <c r="M253" s="170" t="n">
        <v>0</v>
      </c>
      <c r="N253" s="168" t="n">
        <v>362.7569</v>
      </c>
      <c r="O253" s="167" t="n">
        <v>3224357</v>
      </c>
      <c r="P253" s="202" t="n">
        <v>843</v>
      </c>
      <c r="Q253" s="202" t="n">
        <v>3092</v>
      </c>
      <c r="R253" s="202" t="n">
        <v>2249</v>
      </c>
    </row>
    <row r="254" ht="12.75" customHeight="1" s="186">
      <c r="B254" s="157" t="inlineStr">
        <is>
          <t>MT</t>
        </is>
      </c>
      <c r="C254" s="158" t="n">
        <v>2015</v>
      </c>
      <c r="D254" s="159" t="n">
        <v>23.89</v>
      </c>
      <c r="E254" s="159" t="n">
        <v>0.73</v>
      </c>
      <c r="F254" s="160" t="n">
        <v>386</v>
      </c>
      <c r="G254" s="161" t="n">
        <v>6.6593</v>
      </c>
      <c r="H254" s="161" t="n">
        <v>3.1781</v>
      </c>
      <c r="I254" s="160" t="n">
        <v>32895</v>
      </c>
      <c r="J254" s="161" t="n">
        <v>10.4011</v>
      </c>
      <c r="K254" s="162" t="n">
        <v>6.2</v>
      </c>
      <c r="L254" s="163" t="n">
        <v>0</v>
      </c>
      <c r="M254" s="163" t="n">
        <v>0</v>
      </c>
      <c r="N254" s="161" t="n">
        <v>362.7569</v>
      </c>
      <c r="O254" s="160" t="n">
        <v>3265486</v>
      </c>
      <c r="P254" s="202" t="n">
        <v>762</v>
      </c>
      <c r="Q254" s="202" t="n">
        <v>2814</v>
      </c>
      <c r="R254" s="202" t="n">
        <v>2052</v>
      </c>
    </row>
    <row r="255" ht="12.75" customHeight="1" s="186">
      <c r="B255" s="171" t="inlineStr">
        <is>
          <t>MT</t>
        </is>
      </c>
      <c r="C255" s="172" t="n">
        <v>2016</v>
      </c>
      <c r="D255" s="173" t="n">
        <v>22.9</v>
      </c>
      <c r="E255" s="173" t="n">
        <v>4.33</v>
      </c>
      <c r="F255" s="174" t="n">
        <v>529</v>
      </c>
      <c r="G255" s="175" t="n">
        <v>6.6294</v>
      </c>
      <c r="H255" s="175" t="n">
        <v>4.9628</v>
      </c>
      <c r="I255" s="174" t="n">
        <v>37477</v>
      </c>
      <c r="J255" s="175" t="n">
        <v>10.5315</v>
      </c>
      <c r="K255" s="176" t="n">
        <v>9.5</v>
      </c>
      <c r="L255" s="177" t="n">
        <v>0</v>
      </c>
      <c r="M255" s="177" t="n">
        <v>0</v>
      </c>
      <c r="N255" s="175" t="n">
        <v>362.7569</v>
      </c>
      <c r="O255" s="174" t="n">
        <v>3305531</v>
      </c>
      <c r="P255" s="202" t="n">
        <v>744</v>
      </c>
      <c r="Q255" s="202" t="n">
        <v>2797</v>
      </c>
      <c r="R255" s="202" t="n">
        <v>2053</v>
      </c>
    </row>
    <row r="256" ht="12.75" customHeight="1" s="186">
      <c r="B256" s="178" t="inlineStr">
        <is>
          <t>MT</t>
        </is>
      </c>
      <c r="C256" s="179" t="n">
        <v>2017</v>
      </c>
      <c r="D256" s="180" t="n">
        <v>20.18</v>
      </c>
      <c r="E256" s="180" t="n">
        <v>6.76</v>
      </c>
      <c r="F256" s="181" t="n">
        <v>755</v>
      </c>
      <c r="G256" s="182" t="n">
        <v>6.5147</v>
      </c>
      <c r="H256" s="182" t="n">
        <v>5.4205</v>
      </c>
      <c r="I256" s="181" t="n">
        <v>37926</v>
      </c>
      <c r="J256" s="182" t="n">
        <v>10.5434</v>
      </c>
      <c r="K256" s="183" t="n">
        <v>9.1</v>
      </c>
      <c r="L256" s="184" t="n">
        <v>0</v>
      </c>
      <c r="M256" s="184" t="n">
        <v>0</v>
      </c>
      <c r="N256" s="182" t="n">
        <v>362.7569</v>
      </c>
      <c r="O256" s="181" t="n">
        <v>3344544</v>
      </c>
      <c r="P256" s="202" t="n">
        <v>663</v>
      </c>
      <c r="Q256" s="202" t="n">
        <v>2725</v>
      </c>
      <c r="R256" s="202" t="n">
        <v>2062</v>
      </c>
    </row>
    <row r="257" ht="12.75" customHeight="1" s="186">
      <c r="B257" s="171" t="inlineStr">
        <is>
          <t>MT</t>
        </is>
      </c>
      <c r="C257" s="172" t="n">
        <v>2018</v>
      </c>
      <c r="D257" s="173" t="n">
        <v>16.33</v>
      </c>
      <c r="E257" s="173" t="n">
        <v>9.44</v>
      </c>
      <c r="F257" s="174" t="n">
        <v>1080</v>
      </c>
      <c r="G257" s="175" t="n">
        <v>6.3315</v>
      </c>
      <c r="H257" s="175" t="n">
        <v>5.7838</v>
      </c>
      <c r="I257" s="174" t="n">
        <v>39931</v>
      </c>
      <c r="J257" s="175" t="n">
        <v>10.5949</v>
      </c>
      <c r="K257" s="176" t="n">
        <v>8</v>
      </c>
      <c r="L257" s="177" t="n">
        <v>0</v>
      </c>
      <c r="M257" s="177" t="n">
        <v>0</v>
      </c>
      <c r="N257" s="175" t="n">
        <v>362.7569</v>
      </c>
      <c r="O257" s="174" t="n">
        <v>3441998</v>
      </c>
      <c r="P257" s="202" t="n">
        <v>558</v>
      </c>
      <c r="Q257" s="202" t="n">
        <v>2628</v>
      </c>
      <c r="R257" s="202" t="n">
        <v>2070</v>
      </c>
    </row>
    <row r="258" ht="12.75" customHeight="1" s="186">
      <c r="B258" s="178" t="inlineStr">
        <is>
          <t>MT</t>
        </is>
      </c>
      <c r="C258" s="179" t="n">
        <v>2019</v>
      </c>
      <c r="D258" s="180" t="n">
        <v>14.52</v>
      </c>
      <c r="E258" s="180" t="n">
        <v>47.47</v>
      </c>
      <c r="F258" s="181" t="n">
        <v>2734</v>
      </c>
      <c r="G258" s="182" t="n">
        <v>6.2265</v>
      </c>
      <c r="H258" s="182" t="n">
        <v>7.411</v>
      </c>
      <c r="I258" s="181" t="n">
        <v>40787</v>
      </c>
      <c r="J258" s="182" t="n">
        <v>10.6161</v>
      </c>
      <c r="K258" s="183" t="n">
        <v>8</v>
      </c>
      <c r="L258" s="184" t="n">
        <v>0</v>
      </c>
      <c r="M258" s="184" t="n">
        <v>0</v>
      </c>
      <c r="N258" s="182" t="n">
        <v>362.7569</v>
      </c>
      <c r="O258" s="181" t="n">
        <v>3484466</v>
      </c>
      <c r="P258" s="202" t="n">
        <v>486</v>
      </c>
      <c r="Q258" s="202" t="n">
        <v>2516</v>
      </c>
      <c r="R258" s="202" t="n">
        <v>2030</v>
      </c>
    </row>
    <row r="259" ht="12.75" customHeight="1" s="186">
      <c r="B259" s="171" t="inlineStr">
        <is>
          <t>MT</t>
        </is>
      </c>
      <c r="C259" s="172" t="n">
        <v>2020</v>
      </c>
      <c r="D259" s="173" t="n">
        <v>16.85</v>
      </c>
      <c r="E259" s="173" t="n">
        <v>64.34999999999999</v>
      </c>
      <c r="F259" s="174" t="n">
        <v>5003</v>
      </c>
      <c r="G259" s="175" t="n">
        <v>6.3869</v>
      </c>
      <c r="H259" s="175" t="n">
        <v>7.7271</v>
      </c>
      <c r="I259" s="174" t="n">
        <v>50663</v>
      </c>
      <c r="J259" s="175" t="n">
        <v>10.833</v>
      </c>
      <c r="K259" s="176" t="n">
        <v>9.9</v>
      </c>
      <c r="L259" s="177" t="n">
        <v>0</v>
      </c>
      <c r="M259" s="177" t="n">
        <v>1</v>
      </c>
      <c r="N259" s="175" t="n">
        <v>362.7569</v>
      </c>
      <c r="O259" s="174" t="n">
        <v>3526220</v>
      </c>
      <c r="P259" s="202" t="n">
        <v>578</v>
      </c>
      <c r="Q259" s="202" t="n">
        <v>2839</v>
      </c>
      <c r="R259" s="202" t="n">
        <v>2261</v>
      </c>
    </row>
    <row r="260" ht="12.75" customHeight="1" s="186">
      <c r="B260" s="178" t="inlineStr">
        <is>
          <t>MT</t>
        </is>
      </c>
      <c r="C260" s="179" t="n">
        <v>2021</v>
      </c>
      <c r="D260" s="180" t="n">
        <v>15.59</v>
      </c>
      <c r="E260" s="180" t="n">
        <v>169.43</v>
      </c>
      <c r="F260" s="181" t="n">
        <v>11047</v>
      </c>
      <c r="G260" s="182" t="n">
        <v>6.3208</v>
      </c>
      <c r="H260" s="182" t="n">
        <v>8.706799999999999</v>
      </c>
      <c r="I260" s="181" t="n">
        <v>65426</v>
      </c>
      <c r="J260" s="182" t="n">
        <v>11.0887</v>
      </c>
      <c r="K260" s="183" t="n">
        <v>8</v>
      </c>
      <c r="L260" s="184" t="n">
        <v>0</v>
      </c>
      <c r="M260" s="184" t="n">
        <v>1</v>
      </c>
      <c r="N260" s="182" t="n">
        <v>362.7569</v>
      </c>
      <c r="O260" s="181" t="n">
        <v>3567234</v>
      </c>
      <c r="P260" s="202" t="n">
        <v>523</v>
      </c>
      <c r="Q260" s="202" t="n">
        <v>2853</v>
      </c>
      <c r="R260" s="202" t="n">
        <v>2330</v>
      </c>
    </row>
    <row r="261" ht="12.75" customHeight="1" s="186">
      <c r="B261" s="171" t="inlineStr">
        <is>
          <t>MT</t>
        </is>
      </c>
      <c r="C261" s="172" t="n">
        <v>2022</v>
      </c>
      <c r="D261" s="173" t="n">
        <v>18.48</v>
      </c>
      <c r="E261" s="173" t="n">
        <v>362.76</v>
      </c>
      <c r="F261" s="174" t="n">
        <v>24319</v>
      </c>
      <c r="G261" s="175" t="n">
        <v>6.5162</v>
      </c>
      <c r="H261" s="175" t="n">
        <v>9.493399999999999</v>
      </c>
      <c r="I261" s="174" t="n">
        <v>69842</v>
      </c>
      <c r="J261" s="175" t="n">
        <v>11.154</v>
      </c>
      <c r="K261" s="176" t="n">
        <v>4.3</v>
      </c>
      <c r="L261" s="177" t="n">
        <v>0</v>
      </c>
      <c r="M261" s="177" t="n">
        <v>0</v>
      </c>
      <c r="N261" s="175" t="n">
        <v>362.7569</v>
      </c>
      <c r="O261" s="174" t="n">
        <v>3658649</v>
      </c>
      <c r="P261" s="202" t="n">
        <v>654</v>
      </c>
      <c r="Q261" s="202" t="n">
        <v>3030</v>
      </c>
      <c r="R261" s="202" t="n">
        <v>2376</v>
      </c>
    </row>
    <row r="262" ht="12.75" customHeight="1" s="186">
      <c r="B262" s="178" t="inlineStr">
        <is>
          <t>MT</t>
        </is>
      </c>
      <c r="C262" s="179" t="n">
        <v>2023</v>
      </c>
      <c r="D262" s="180" t="n">
        <v>20.91</v>
      </c>
      <c r="E262" s="180" t="n">
        <v>1.01</v>
      </c>
      <c r="F262" s="181" t="n">
        <v>24356</v>
      </c>
      <c r="G262" s="182" t="n">
        <v>6.6399</v>
      </c>
      <c r="H262" s="182" t="n">
        <v>3.6109</v>
      </c>
      <c r="I262" s="181" t="n">
        <v>74620</v>
      </c>
      <c r="J262" s="182" t="n">
        <v>11.2202</v>
      </c>
      <c r="K262" s="183" t="n">
        <v>3.5</v>
      </c>
      <c r="L262" s="184" t="n">
        <v>1</v>
      </c>
      <c r="M262" s="184" t="n">
        <v>0</v>
      </c>
      <c r="N262" s="182" t="n">
        <v>362.7569</v>
      </c>
      <c r="O262" s="181" t="n">
        <v>3658649</v>
      </c>
      <c r="P262" s="202" t="n">
        <v>723</v>
      </c>
      <c r="Q262" s="202" t="n">
        <v>3162</v>
      </c>
      <c r="R262" s="202" t="n">
        <v>2439</v>
      </c>
    </row>
    <row r="263" ht="12.75" customHeight="1" s="186">
      <c r="B263" s="171" t="inlineStr">
        <is>
          <t>MT</t>
        </is>
      </c>
      <c r="C263" s="172" t="n">
        <v>2024</v>
      </c>
      <c r="D263" s="173" t="n">
        <v>18.06</v>
      </c>
      <c r="E263" s="173" t="n">
        <v>58.75</v>
      </c>
      <c r="F263" s="174" t="n">
        <v>26610</v>
      </c>
      <c r="G263" s="175" t="n">
        <v>6.541</v>
      </c>
      <c r="H263" s="175" t="n">
        <v>7.7205</v>
      </c>
      <c r="I263" s="174" t="n">
        <v>75843</v>
      </c>
      <c r="J263" s="175" t="n">
        <v>11.2364</v>
      </c>
      <c r="K263" s="176" t="n">
        <v>2.9</v>
      </c>
      <c r="L263" s="177" t="n">
        <v>1</v>
      </c>
      <c r="M263" s="177" t="n">
        <v>0</v>
      </c>
      <c r="N263" s="175" t="n">
        <v>362.7569</v>
      </c>
      <c r="O263" s="174" t="n">
        <v>3836399</v>
      </c>
      <c r="P263" s="202" t="n">
        <v>629</v>
      </c>
      <c r="Q263" s="202" t="n">
        <v>3185</v>
      </c>
      <c r="R263" s="202" t="n">
        <v>2556</v>
      </c>
    </row>
    <row r="264" ht="12.75" customHeight="1" s="186">
      <c r="B264" s="157" t="inlineStr">
        <is>
          <t>PA</t>
        </is>
      </c>
      <c r="C264" s="158" t="n">
        <v>2005</v>
      </c>
      <c r="D264" s="159" t="n">
        <v>17.2</v>
      </c>
      <c r="E264" s="159" t="n">
        <v>0.09</v>
      </c>
      <c r="F264" s="160" t="n">
        <v>6</v>
      </c>
      <c r="G264" s="161" t="n">
        <v>7.0892</v>
      </c>
      <c r="H264" s="161" t="n">
        <v>1.7918</v>
      </c>
      <c r="I264" s="160" t="n">
        <v>5612</v>
      </c>
      <c r="J264" s="161" t="n">
        <v>8.6327</v>
      </c>
      <c r="K264" s="162" t="n">
        <v>9.699999999999999</v>
      </c>
      <c r="L264" s="163" t="n">
        <v>0</v>
      </c>
      <c r="M264" s="163" t="n">
        <v>0</v>
      </c>
      <c r="N264" s="161" t="n">
        <v>75.46680000000001</v>
      </c>
      <c r="O264" s="160" t="n">
        <v>6970586</v>
      </c>
      <c r="P264" s="202" t="n">
        <v>1183</v>
      </c>
      <c r="Q264" s="202" t="n">
        <v>3674</v>
      </c>
      <c r="R264" s="202" t="n">
        <v>2491</v>
      </c>
    </row>
    <row r="265" ht="12.75" customHeight="1" s="186">
      <c r="B265" s="164" t="inlineStr">
        <is>
          <t>PA</t>
        </is>
      </c>
      <c r="C265" s="165" t="n">
        <v>2006</v>
      </c>
      <c r="D265" s="166" t="n">
        <v>18.23</v>
      </c>
      <c r="E265" s="166" t="n">
        <v>0.04</v>
      </c>
      <c r="F265" s="167" t="n">
        <v>9</v>
      </c>
      <c r="G265" s="168" t="n">
        <v>7.167</v>
      </c>
      <c r="H265" s="168" t="n">
        <v>1.0986</v>
      </c>
      <c r="I265" s="167" t="n">
        <v>6240</v>
      </c>
      <c r="J265" s="168" t="n">
        <v>8.7387</v>
      </c>
      <c r="K265" s="169" t="n">
        <v>9.26</v>
      </c>
      <c r="L265" s="170" t="n">
        <v>0</v>
      </c>
      <c r="M265" s="170" t="n">
        <v>0</v>
      </c>
      <c r="N265" s="168" t="n">
        <v>75.46680000000001</v>
      </c>
      <c r="O265" s="167" t="n">
        <v>7110465</v>
      </c>
      <c r="P265" s="202" t="n">
        <v>1267</v>
      </c>
      <c r="Q265" s="202" t="n">
        <v>3996</v>
      </c>
      <c r="R265" s="202" t="n">
        <v>2729</v>
      </c>
    </row>
    <row r="266" ht="12.75" customHeight="1" s="186">
      <c r="B266" s="157" t="inlineStr">
        <is>
          <t>PA</t>
        </is>
      </c>
      <c r="C266" s="158" t="n">
        <v>2007</v>
      </c>
      <c r="D266" s="159" t="n">
        <v>19.67</v>
      </c>
      <c r="E266" s="159" t="n">
        <v>0.11</v>
      </c>
      <c r="F266" s="160" t="n">
        <v>17</v>
      </c>
      <c r="G266" s="161" t="n">
        <v>7.2371</v>
      </c>
      <c r="H266" s="161" t="n">
        <v>2.0794</v>
      </c>
      <c r="I266" s="160" t="n">
        <v>7007</v>
      </c>
      <c r="J266" s="161" t="n">
        <v>8.854699999999999</v>
      </c>
      <c r="K266" s="162" t="n">
        <v>8.720000000000001</v>
      </c>
      <c r="L266" s="163" t="n">
        <v>0</v>
      </c>
      <c r="M266" s="163" t="n">
        <v>0</v>
      </c>
      <c r="N266" s="161" t="n">
        <v>75.46680000000001</v>
      </c>
      <c r="O266" s="160" t="n">
        <v>7065573</v>
      </c>
      <c r="P266" s="202" t="n">
        <v>1358</v>
      </c>
      <c r="Q266" s="202" t="n">
        <v>4107</v>
      </c>
      <c r="R266" s="202" t="n">
        <v>2749</v>
      </c>
    </row>
    <row r="267" ht="12.75" customHeight="1" s="186">
      <c r="B267" s="164" t="inlineStr">
        <is>
          <t>PA</t>
        </is>
      </c>
      <c r="C267" s="165" t="n">
        <v>2008</v>
      </c>
      <c r="D267" s="166" t="n">
        <v>26.43</v>
      </c>
      <c r="E267" s="166" t="n">
        <v>0.29</v>
      </c>
      <c r="F267" s="167" t="n">
        <v>38</v>
      </c>
      <c r="G267" s="168" t="n">
        <v>7.5679</v>
      </c>
      <c r="H267" s="168" t="n">
        <v>3.0445</v>
      </c>
      <c r="I267" s="167" t="n">
        <v>7993</v>
      </c>
      <c r="J267" s="168" t="n">
        <v>8.9863</v>
      </c>
      <c r="K267" s="169" t="n">
        <v>6.78</v>
      </c>
      <c r="L267" s="170" t="n">
        <v>0</v>
      </c>
      <c r="M267" s="170" t="n">
        <v>0</v>
      </c>
      <c r="N267" s="168" t="n">
        <v>75.46680000000001</v>
      </c>
      <c r="O267" s="167" t="n">
        <v>7321490</v>
      </c>
      <c r="P267" s="202" t="n">
        <v>1892</v>
      </c>
      <c r="Q267" s="202" t="n">
        <v>4887</v>
      </c>
      <c r="R267" s="202" t="n">
        <v>2995</v>
      </c>
    </row>
    <row r="268" ht="12.75" customHeight="1" s="186">
      <c r="B268" s="157" t="inlineStr">
        <is>
          <t>PA</t>
        </is>
      </c>
      <c r="C268" s="158" t="n">
        <v>2009</v>
      </c>
      <c r="D268" s="159" t="n">
        <v>27.48</v>
      </c>
      <c r="E268" s="159" t="n">
        <v>0.35</v>
      </c>
      <c r="F268" s="160" t="n">
        <v>64</v>
      </c>
      <c r="G268" s="161" t="n">
        <v>7.6217</v>
      </c>
      <c r="H268" s="161" t="n">
        <v>3.2581</v>
      </c>
      <c r="I268" s="160" t="n">
        <v>7859</v>
      </c>
      <c r="J268" s="161" t="n">
        <v>8.9694</v>
      </c>
      <c r="K268" s="162" t="n">
        <v>10.24</v>
      </c>
      <c r="L268" s="163" t="n">
        <v>0</v>
      </c>
      <c r="M268" s="163" t="n">
        <v>0</v>
      </c>
      <c r="N268" s="161" t="n">
        <v>75.46680000000001</v>
      </c>
      <c r="O268" s="160" t="n">
        <v>7431020</v>
      </c>
      <c r="P268" s="202" t="n">
        <v>2001</v>
      </c>
      <c r="Q268" s="202" t="n">
        <v>4854</v>
      </c>
      <c r="R268" s="202" t="n">
        <v>2853</v>
      </c>
    </row>
    <row r="269" ht="12.75" customHeight="1" s="186">
      <c r="B269" s="164" t="inlineStr">
        <is>
          <t>PA</t>
        </is>
      </c>
      <c r="C269" s="165" t="n">
        <v>2010</v>
      </c>
      <c r="D269" s="166" t="n">
        <v>33.24</v>
      </c>
      <c r="E269" s="166" t="n">
        <v>0.16</v>
      </c>
      <c r="F269" s="167" t="n">
        <v>76</v>
      </c>
      <c r="G269" s="168" t="n">
        <v>7.832</v>
      </c>
      <c r="H269" s="168" t="n">
        <v>2.4849</v>
      </c>
      <c r="I269" s="167" t="n">
        <v>10907</v>
      </c>
      <c r="J269" s="168" t="n">
        <v>9.2972</v>
      </c>
      <c r="K269" s="169" t="n">
        <v>9.93</v>
      </c>
      <c r="L269" s="170" t="n">
        <v>0</v>
      </c>
      <c r="M269" s="170" t="n">
        <v>0</v>
      </c>
      <c r="N269" s="168" t="n">
        <v>75.46680000000001</v>
      </c>
      <c r="O269" s="167" t="n">
        <v>7581051</v>
      </c>
      <c r="P269" s="202" t="n">
        <v>2450</v>
      </c>
      <c r="Q269" s="202" t="n">
        <v>5776</v>
      </c>
      <c r="R269" s="202" t="n">
        <v>3326</v>
      </c>
    </row>
    <row r="270" ht="12.75" customHeight="1" s="186">
      <c r="B270" s="157" t="inlineStr">
        <is>
          <t>PA</t>
        </is>
      </c>
      <c r="C270" s="158" t="n">
        <v>2011</v>
      </c>
      <c r="D270" s="159" t="n">
        <v>27.08</v>
      </c>
      <c r="E270" s="159" t="n">
        <v>0.26</v>
      </c>
      <c r="F270" s="160" t="n">
        <v>96</v>
      </c>
      <c r="G270" s="161" t="n">
        <v>7.6411</v>
      </c>
      <c r="H270" s="161" t="n">
        <v>2.9957</v>
      </c>
      <c r="I270" s="160" t="n">
        <v>12839</v>
      </c>
      <c r="J270" s="161" t="n">
        <v>9.4602</v>
      </c>
      <c r="K270" s="162" t="n">
        <v>9.619999999999999</v>
      </c>
      <c r="L270" s="163" t="n">
        <v>0</v>
      </c>
      <c r="M270" s="163" t="n">
        <v>0</v>
      </c>
      <c r="N270" s="161" t="n">
        <v>75.46680000000001</v>
      </c>
      <c r="O270" s="160" t="n">
        <v>7688593</v>
      </c>
      <c r="P270" s="202" t="n">
        <v>2035</v>
      </c>
      <c r="Q270" s="202" t="n">
        <v>5381</v>
      </c>
      <c r="R270" s="202" t="n">
        <v>3346</v>
      </c>
    </row>
    <row r="271" ht="12.75" customHeight="1" s="186">
      <c r="B271" s="164" t="inlineStr">
        <is>
          <t>PA</t>
        </is>
      </c>
      <c r="C271" s="165" t="n">
        <v>2012</v>
      </c>
      <c r="D271" s="166" t="n">
        <v>27.64</v>
      </c>
      <c r="E271" s="166" t="n">
        <v>0.32</v>
      </c>
      <c r="F271" s="167" t="n">
        <v>121</v>
      </c>
      <c r="G271" s="168" t="n">
        <v>7.6732</v>
      </c>
      <c r="H271" s="168" t="n">
        <v>3.2189</v>
      </c>
      <c r="I271" s="167" t="n">
        <v>13768</v>
      </c>
      <c r="J271" s="168" t="n">
        <v>9.530099999999999</v>
      </c>
      <c r="K271" s="169" t="n">
        <v>7.8</v>
      </c>
      <c r="L271" s="170" t="n">
        <v>0</v>
      </c>
      <c r="M271" s="170" t="n">
        <v>0</v>
      </c>
      <c r="N271" s="168" t="n">
        <v>75.46680000000001</v>
      </c>
      <c r="O271" s="167" t="n">
        <v>7777543</v>
      </c>
      <c r="P271" s="202" t="n">
        <v>2085</v>
      </c>
      <c r="Q271" s="202" t="n">
        <v>5764</v>
      </c>
      <c r="R271" s="202" t="n">
        <v>3679</v>
      </c>
    </row>
    <row r="272" ht="12.75" customHeight="1" s="186">
      <c r="B272" s="157" t="inlineStr">
        <is>
          <t>PA</t>
        </is>
      </c>
      <c r="C272" s="158" t="n">
        <v>2013</v>
      </c>
      <c r="D272" s="159" t="n">
        <v>28.28</v>
      </c>
      <c r="E272" s="159" t="n">
        <v>0.28</v>
      </c>
      <c r="F272" s="160" t="n">
        <v>143</v>
      </c>
      <c r="G272" s="161" t="n">
        <v>7.7205</v>
      </c>
      <c r="H272" s="161" t="n">
        <v>3.091</v>
      </c>
      <c r="I272" s="160" t="n">
        <v>15211</v>
      </c>
      <c r="J272" s="161" t="n">
        <v>9.629799999999999</v>
      </c>
      <c r="K272" s="162" t="n">
        <v>9.59</v>
      </c>
      <c r="L272" s="163" t="n">
        <v>0</v>
      </c>
      <c r="M272" s="163" t="n">
        <v>0</v>
      </c>
      <c r="N272" s="161" t="n">
        <v>75.46680000000001</v>
      </c>
      <c r="O272" s="160" t="n">
        <v>7969654</v>
      </c>
      <c r="P272" s="202" t="n">
        <v>2143</v>
      </c>
      <c r="Q272" s="202" t="n">
        <v>5970</v>
      </c>
      <c r="R272" s="202" t="n">
        <v>3827</v>
      </c>
    </row>
    <row r="273" ht="12.75" customHeight="1" s="186">
      <c r="B273" s="164" t="inlineStr">
        <is>
          <t>PA</t>
        </is>
      </c>
      <c r="C273" s="165" t="n">
        <v>2014</v>
      </c>
      <c r="D273" s="166" t="n">
        <v>28.82</v>
      </c>
      <c r="E273" s="166" t="n">
        <v>0.25</v>
      </c>
      <c r="F273" s="167" t="n">
        <v>163</v>
      </c>
      <c r="G273" s="168" t="n">
        <v>7.7523</v>
      </c>
      <c r="H273" s="168" t="n">
        <v>2.9957</v>
      </c>
      <c r="I273" s="167" t="n">
        <v>15431</v>
      </c>
      <c r="J273" s="168" t="n">
        <v>9.6441</v>
      </c>
      <c r="K273" s="169" t="n">
        <v>9.710000000000001</v>
      </c>
      <c r="L273" s="170" t="n">
        <v>0</v>
      </c>
      <c r="M273" s="170" t="n">
        <v>0</v>
      </c>
      <c r="N273" s="168" t="n">
        <v>75.46680000000001</v>
      </c>
      <c r="O273" s="167" t="n">
        <v>8073924</v>
      </c>
      <c r="P273" s="202" t="n">
        <v>2237</v>
      </c>
      <c r="Q273" s="202" t="n">
        <v>6140</v>
      </c>
      <c r="R273" s="202" t="n">
        <v>3903</v>
      </c>
    </row>
    <row r="274" ht="12.75" customHeight="1" s="186">
      <c r="B274" s="157" t="inlineStr">
        <is>
          <t>PA</t>
        </is>
      </c>
      <c r="C274" s="158" t="n">
        <v>2015</v>
      </c>
      <c r="D274" s="159" t="n">
        <v>31.14</v>
      </c>
      <c r="E274" s="159" t="n">
        <v>0.21</v>
      </c>
      <c r="F274" s="160" t="n">
        <v>180</v>
      </c>
      <c r="G274" s="161" t="n">
        <v>7.8423</v>
      </c>
      <c r="H274" s="161" t="n">
        <v>2.8332</v>
      </c>
      <c r="I274" s="160" t="n">
        <v>16012</v>
      </c>
      <c r="J274" s="161" t="n">
        <v>9.681100000000001</v>
      </c>
      <c r="K274" s="162" t="n">
        <v>8.9</v>
      </c>
      <c r="L274" s="163" t="n">
        <v>0</v>
      </c>
      <c r="M274" s="163" t="n">
        <v>0</v>
      </c>
      <c r="N274" s="161" t="n">
        <v>75.46680000000001</v>
      </c>
      <c r="O274" s="160" t="n">
        <v>8175113</v>
      </c>
      <c r="P274" s="202" t="n">
        <v>2461</v>
      </c>
      <c r="Q274" s="202" t="n">
        <v>6360</v>
      </c>
      <c r="R274" s="202" t="n">
        <v>3899</v>
      </c>
    </row>
    <row r="275" ht="12.75" customHeight="1" s="186">
      <c r="B275" s="171" t="inlineStr">
        <is>
          <t>PA</t>
        </is>
      </c>
      <c r="C275" s="172" t="n">
        <v>2016</v>
      </c>
      <c r="D275" s="173" t="n">
        <v>37</v>
      </c>
      <c r="E275" s="173" t="n">
        <v>0.62</v>
      </c>
      <c r="F275" s="174" t="n">
        <v>231</v>
      </c>
      <c r="G275" s="175" t="n">
        <v>8.0265</v>
      </c>
      <c r="H275" s="175" t="n">
        <v>3.9318</v>
      </c>
      <c r="I275" s="174" t="n">
        <v>16694</v>
      </c>
      <c r="J275" s="175" t="n">
        <v>9.722799999999999</v>
      </c>
      <c r="K275" s="176" t="n">
        <v>11.2</v>
      </c>
      <c r="L275" s="177" t="n">
        <v>0</v>
      </c>
      <c r="M275" s="177" t="n">
        <v>0</v>
      </c>
      <c r="N275" s="175" t="n">
        <v>75.46680000000001</v>
      </c>
      <c r="O275" s="174" t="n">
        <v>8272724</v>
      </c>
      <c r="P275" s="202" t="n">
        <v>2975</v>
      </c>
      <c r="Q275" s="202" t="n">
        <v>6907</v>
      </c>
      <c r="R275" s="202" t="n">
        <v>3932</v>
      </c>
    </row>
    <row r="276" ht="12.75" customHeight="1" s="186">
      <c r="B276" s="178" t="inlineStr">
        <is>
          <t>PA</t>
        </is>
      </c>
      <c r="C276" s="179" t="n">
        <v>2017</v>
      </c>
      <c r="D276" s="180" t="n">
        <v>40.37</v>
      </c>
      <c r="E276" s="180" t="n">
        <v>0.8100000000000001</v>
      </c>
      <c r="F276" s="181" t="n">
        <v>299</v>
      </c>
      <c r="G276" s="182" t="n">
        <v>8.125</v>
      </c>
      <c r="H276" s="182" t="n">
        <v>4.2195</v>
      </c>
      <c r="I276" s="181" t="n">
        <v>18554</v>
      </c>
      <c r="J276" s="182" t="n">
        <v>9.8284</v>
      </c>
      <c r="K276" s="183" t="n">
        <v>11.8</v>
      </c>
      <c r="L276" s="184" t="n">
        <v>0</v>
      </c>
      <c r="M276" s="184" t="n">
        <v>0</v>
      </c>
      <c r="N276" s="182" t="n">
        <v>75.46680000000001</v>
      </c>
      <c r="O276" s="181" t="n">
        <v>8366628</v>
      </c>
      <c r="P276" s="202" t="n">
        <v>3283</v>
      </c>
      <c r="Q276" s="202" t="n">
        <v>7075</v>
      </c>
      <c r="R276" s="202" t="n">
        <v>3792</v>
      </c>
    </row>
    <row r="277" ht="12.75" customHeight="1" s="186">
      <c r="B277" s="171" t="inlineStr">
        <is>
          <t>PA</t>
        </is>
      </c>
      <c r="C277" s="172" t="n">
        <v>2018</v>
      </c>
      <c r="D277" s="173" t="n">
        <v>40.65</v>
      </c>
      <c r="E277" s="173" t="n">
        <v>0.99</v>
      </c>
      <c r="F277" s="174" t="n">
        <v>383</v>
      </c>
      <c r="G277" s="175" t="n">
        <v>8.1493</v>
      </c>
      <c r="H277" s="175" t="n">
        <v>4.4308</v>
      </c>
      <c r="I277" s="174" t="n">
        <v>18952</v>
      </c>
      <c r="J277" s="175" t="n">
        <v>9.8497</v>
      </c>
      <c r="K277" s="176" t="n">
        <v>11.2</v>
      </c>
      <c r="L277" s="177" t="n">
        <v>0</v>
      </c>
      <c r="M277" s="177" t="n">
        <v>0</v>
      </c>
      <c r="N277" s="175" t="n">
        <v>75.46680000000001</v>
      </c>
      <c r="O277" s="174" t="n">
        <v>8513497</v>
      </c>
      <c r="P277" s="202" t="n">
        <v>3363</v>
      </c>
      <c r="Q277" s="202" t="n">
        <v>7027</v>
      </c>
      <c r="R277" s="202" t="n">
        <v>3664</v>
      </c>
    </row>
    <row r="278" ht="12.75" customHeight="1" s="186">
      <c r="B278" s="178" t="inlineStr">
        <is>
          <t>PA</t>
        </is>
      </c>
      <c r="C278" s="179" t="n">
        <v>2019</v>
      </c>
      <c r="D278" s="180" t="n">
        <v>27.39</v>
      </c>
      <c r="E278" s="180" t="n">
        <v>5.7</v>
      </c>
      <c r="F278" s="181" t="n">
        <v>873</v>
      </c>
      <c r="G278" s="182" t="n">
        <v>7.7647</v>
      </c>
      <c r="H278" s="182" t="n">
        <v>6.1944</v>
      </c>
      <c r="I278" s="181" t="n">
        <v>20735</v>
      </c>
      <c r="J278" s="182" t="n">
        <v>9.9396</v>
      </c>
      <c r="K278" s="183" t="n">
        <v>10.8</v>
      </c>
      <c r="L278" s="184" t="n">
        <v>0</v>
      </c>
      <c r="M278" s="184" t="n">
        <v>0</v>
      </c>
      <c r="N278" s="182" t="n">
        <v>75.46680000000001</v>
      </c>
      <c r="O278" s="181" t="n">
        <v>8602865</v>
      </c>
      <c r="P278" s="202" t="n">
        <v>2293</v>
      </c>
      <c r="Q278" s="202" t="n">
        <v>5912</v>
      </c>
      <c r="R278" s="202" t="n">
        <v>3619</v>
      </c>
    </row>
    <row r="279" ht="12.75" customHeight="1" s="186">
      <c r="B279" s="171" t="inlineStr">
        <is>
          <t>PA</t>
        </is>
      </c>
      <c r="C279" s="172" t="n">
        <v>2020</v>
      </c>
      <c r="D279" s="173" t="n">
        <v>21.85</v>
      </c>
      <c r="E279" s="173" t="n">
        <v>22.29</v>
      </c>
      <c r="F279" s="174" t="n">
        <v>2810</v>
      </c>
      <c r="G279" s="175" t="n">
        <v>7.5491</v>
      </c>
      <c r="H279" s="175" t="n">
        <v>7.5689</v>
      </c>
      <c r="I279" s="174" t="n">
        <v>24847</v>
      </c>
      <c r="J279" s="175" t="n">
        <v>10.1205</v>
      </c>
      <c r="K279" s="176" t="n">
        <v>10.5</v>
      </c>
      <c r="L279" s="177" t="n">
        <v>0</v>
      </c>
      <c r="M279" s="177" t="n">
        <v>1</v>
      </c>
      <c r="N279" s="175" t="n">
        <v>75.46680000000001</v>
      </c>
      <c r="O279" s="174" t="n">
        <v>8690745</v>
      </c>
      <c r="P279" s="202" t="n">
        <v>1842</v>
      </c>
      <c r="Q279" s="202" t="n">
        <v>5584</v>
      </c>
      <c r="R279" s="202" t="n">
        <v>3742</v>
      </c>
    </row>
    <row r="280" ht="12.75" customHeight="1" s="186">
      <c r="B280" s="178" t="inlineStr">
        <is>
          <t>PA</t>
        </is>
      </c>
      <c r="C280" s="179" t="n">
        <v>2021</v>
      </c>
      <c r="D280" s="180" t="n">
        <v>22.32</v>
      </c>
      <c r="E280" s="180" t="n">
        <v>46.17</v>
      </c>
      <c r="F280" s="181" t="n">
        <v>6862</v>
      </c>
      <c r="G280" s="182" t="n">
        <v>7.5802</v>
      </c>
      <c r="H280" s="182" t="n">
        <v>8.307</v>
      </c>
      <c r="I280" s="181" t="n">
        <v>29953</v>
      </c>
      <c r="J280" s="182" t="n">
        <v>10.3074</v>
      </c>
      <c r="K280" s="183" t="n">
        <v>12.5</v>
      </c>
      <c r="L280" s="184" t="n">
        <v>0</v>
      </c>
      <c r="M280" s="184" t="n">
        <v>1</v>
      </c>
      <c r="N280" s="182" t="n">
        <v>75.46680000000001</v>
      </c>
      <c r="O280" s="181" t="n">
        <v>8777124</v>
      </c>
      <c r="P280" s="202" t="n">
        <v>1898</v>
      </c>
      <c r="Q280" s="202" t="n">
        <v>5615</v>
      </c>
      <c r="R280" s="202" t="n">
        <v>3717</v>
      </c>
    </row>
    <row r="281" ht="12.75" customHeight="1" s="186">
      <c r="B281" s="171" t="inlineStr">
        <is>
          <t>PA</t>
        </is>
      </c>
      <c r="C281" s="172" t="n">
        <v>2022</v>
      </c>
      <c r="D281" s="173" t="n">
        <v>25.11</v>
      </c>
      <c r="E281" s="173" t="n">
        <v>75.47</v>
      </c>
      <c r="F281" s="174" t="n">
        <v>12990</v>
      </c>
      <c r="G281" s="175" t="n">
        <v>7.6202</v>
      </c>
      <c r="H281" s="175" t="n">
        <v>8.720599999999999</v>
      </c>
      <c r="I281" s="174" t="n">
        <v>29081</v>
      </c>
      <c r="J281" s="175" t="n">
        <v>10.2778</v>
      </c>
      <c r="K281" s="176" t="n">
        <v>9.6</v>
      </c>
      <c r="L281" s="177" t="n">
        <v>0</v>
      </c>
      <c r="M281" s="177" t="n">
        <v>0</v>
      </c>
      <c r="N281" s="175" t="n">
        <v>75.46680000000001</v>
      </c>
      <c r="O281" s="174" t="n">
        <v>8120131</v>
      </c>
      <c r="P281" s="202" t="n">
        <v>1963</v>
      </c>
      <c r="Q281" s="202" t="n">
        <v>5875</v>
      </c>
      <c r="R281" s="202" t="n">
        <v>3912</v>
      </c>
    </row>
    <row r="282" ht="12.75" customHeight="1" s="186">
      <c r="B282" s="178" t="inlineStr">
        <is>
          <t>PA</t>
        </is>
      </c>
      <c r="C282" s="179" t="n">
        <v>2023</v>
      </c>
      <c r="D282" s="180" t="n">
        <v>21.74</v>
      </c>
      <c r="E282" s="180" t="n">
        <v>0.22</v>
      </c>
      <c r="F282" s="181" t="n">
        <v>13008</v>
      </c>
      <c r="G282" s="182" t="n">
        <v>7.4759</v>
      </c>
      <c r="H282" s="182" t="n">
        <v>2.8904</v>
      </c>
      <c r="I282" s="181" t="n">
        <v>31348</v>
      </c>
      <c r="J282" s="182" t="n">
        <v>10.3529</v>
      </c>
      <c r="K282" s="183" t="n">
        <v>8.5</v>
      </c>
      <c r="L282" s="184" t="n">
        <v>1</v>
      </c>
      <c r="M282" s="184" t="n">
        <v>0</v>
      </c>
      <c r="N282" s="182" t="n">
        <v>75.46680000000001</v>
      </c>
      <c r="O282" s="181" t="n">
        <v>8120131</v>
      </c>
      <c r="P282" s="202" t="n">
        <v>1703</v>
      </c>
      <c r="Q282" s="202" t="n">
        <v>5601</v>
      </c>
      <c r="R282" s="202" t="n">
        <v>3898</v>
      </c>
    </row>
    <row r="283" ht="12.75" customHeight="1" s="186">
      <c r="B283" s="171" t="inlineStr">
        <is>
          <t>PA</t>
        </is>
      </c>
      <c r="C283" s="172" t="n">
        <v>2024</v>
      </c>
      <c r="D283" s="173" t="n">
        <v>18</v>
      </c>
      <c r="E283" s="173" t="n">
        <v>11.15</v>
      </c>
      <c r="F283" s="174" t="n">
        <v>13974</v>
      </c>
      <c r="G283" s="175" t="n">
        <v>7.3524</v>
      </c>
      <c r="H283" s="175" t="n">
        <v>6.8732</v>
      </c>
      <c r="I283" s="174" t="n">
        <v>30179</v>
      </c>
      <c r="J283" s="175" t="n">
        <v>10.3149</v>
      </c>
      <c r="K283" s="176" t="n">
        <v>7.5</v>
      </c>
      <c r="L283" s="177" t="n">
        <v>1</v>
      </c>
      <c r="M283" s="177" t="n">
        <v>0</v>
      </c>
      <c r="N283" s="175" t="n">
        <v>75.46680000000001</v>
      </c>
      <c r="O283" s="174" t="n">
        <v>8664306</v>
      </c>
      <c r="P283" s="202" t="n">
        <v>1522</v>
      </c>
      <c r="Q283" s="202" t="n">
        <v>5726</v>
      </c>
      <c r="R283" s="202" t="n">
        <v>4204</v>
      </c>
    </row>
    <row r="284" ht="12.75" customHeight="1" s="186">
      <c r="B284" s="157" t="inlineStr">
        <is>
          <t>PB</t>
        </is>
      </c>
      <c r="C284" s="158" t="n">
        <v>2005</v>
      </c>
      <c r="D284" s="159" t="n">
        <v>15.04</v>
      </c>
      <c r="E284" s="159" t="n">
        <v>0.22</v>
      </c>
      <c r="F284" s="160" t="n">
        <v>8</v>
      </c>
      <c r="G284" s="161" t="n">
        <v>6.2934</v>
      </c>
      <c r="H284" s="161" t="n">
        <v>2.0794</v>
      </c>
      <c r="I284" s="160" t="n">
        <v>4691</v>
      </c>
      <c r="J284" s="161" t="n">
        <v>8.4534</v>
      </c>
      <c r="K284" s="162" t="n">
        <v>8.69</v>
      </c>
      <c r="L284" s="163" t="n">
        <v>0</v>
      </c>
      <c r="M284" s="163" t="n">
        <v>0</v>
      </c>
      <c r="N284" s="161" t="n">
        <v>93.39100000000001</v>
      </c>
      <c r="O284" s="160" t="n">
        <v>3595886</v>
      </c>
      <c r="P284" s="202" t="n">
        <v>535</v>
      </c>
      <c r="Q284" s="202" t="n">
        <v>1826</v>
      </c>
      <c r="R284" s="202" t="n">
        <v>1291</v>
      </c>
    </row>
    <row r="285" ht="12.75" customHeight="1" s="186">
      <c r="B285" s="164" t="inlineStr">
        <is>
          <t>PB</t>
        </is>
      </c>
      <c r="C285" s="165" t="n">
        <v>2006</v>
      </c>
      <c r="D285" s="166" t="n">
        <v>17.31</v>
      </c>
      <c r="E285" s="166" t="n">
        <v>0.06</v>
      </c>
      <c r="F285" s="167" t="n">
        <v>10</v>
      </c>
      <c r="G285" s="168" t="n">
        <v>6.4409</v>
      </c>
      <c r="H285" s="168" t="n">
        <v>0.6931</v>
      </c>
      <c r="I285" s="167" t="n">
        <v>5506</v>
      </c>
      <c r="J285" s="168" t="n">
        <v>8.6136</v>
      </c>
      <c r="K285" s="169" t="n">
        <v>8.69</v>
      </c>
      <c r="L285" s="170" t="n">
        <v>0</v>
      </c>
      <c r="M285" s="170" t="n">
        <v>0</v>
      </c>
      <c r="N285" s="168" t="n">
        <v>93.39100000000001</v>
      </c>
      <c r="O285" s="167" t="n">
        <v>3623215</v>
      </c>
      <c r="P285" s="202" t="n">
        <v>620</v>
      </c>
      <c r="Q285" s="202" t="n">
        <v>1964</v>
      </c>
      <c r="R285" s="202" t="n">
        <v>1344</v>
      </c>
    </row>
    <row r="286" ht="12.75" customHeight="1" s="186">
      <c r="B286" s="157" t="inlineStr">
        <is>
          <t>PB</t>
        </is>
      </c>
      <c r="C286" s="158" t="n">
        <v>2007</v>
      </c>
      <c r="D286" s="159" t="n">
        <v>18.1</v>
      </c>
      <c r="E286" s="159" t="n">
        <v>0.03</v>
      </c>
      <c r="F286" s="160" t="n">
        <v>11</v>
      </c>
      <c r="G286" s="161" t="n">
        <v>6.4907</v>
      </c>
      <c r="H286" s="161" t="n">
        <v>0</v>
      </c>
      <c r="I286" s="160" t="n">
        <v>6097</v>
      </c>
      <c r="J286" s="161" t="n">
        <v>8.7156</v>
      </c>
      <c r="K286" s="162" t="n">
        <v>8.5</v>
      </c>
      <c r="L286" s="163" t="n">
        <v>0</v>
      </c>
      <c r="M286" s="163" t="n">
        <v>0</v>
      </c>
      <c r="N286" s="161" t="n">
        <v>93.39100000000001</v>
      </c>
      <c r="O286" s="160" t="n">
        <v>3641397</v>
      </c>
      <c r="P286" s="202" t="n">
        <v>643</v>
      </c>
      <c r="Q286" s="202" t="n">
        <v>1984</v>
      </c>
      <c r="R286" s="202" t="n">
        <v>1341</v>
      </c>
    </row>
    <row r="287" ht="12.75" customHeight="1" s="186">
      <c r="B287" s="164" t="inlineStr">
        <is>
          <t>PB</t>
        </is>
      </c>
      <c r="C287" s="165" t="n">
        <v>2008</v>
      </c>
      <c r="D287" s="166" t="n">
        <v>19.91</v>
      </c>
      <c r="E287" s="166" t="n">
        <v>0.32</v>
      </c>
      <c r="F287" s="167" t="n">
        <v>23</v>
      </c>
      <c r="G287" s="168" t="n">
        <v>6.6134</v>
      </c>
      <c r="H287" s="168" t="n">
        <v>2.4849</v>
      </c>
      <c r="I287" s="167" t="n">
        <v>6866</v>
      </c>
      <c r="J287" s="168" t="n">
        <v>8.834300000000001</v>
      </c>
      <c r="K287" s="169" t="n">
        <v>7.86</v>
      </c>
      <c r="L287" s="170" t="n">
        <v>0</v>
      </c>
      <c r="M287" s="170" t="n">
        <v>0</v>
      </c>
      <c r="N287" s="168" t="n">
        <v>93.39100000000001</v>
      </c>
      <c r="O287" s="167" t="n">
        <v>3742604</v>
      </c>
      <c r="P287" s="202" t="n">
        <v>743</v>
      </c>
      <c r="Q287" s="202" t="n">
        <v>2341</v>
      </c>
      <c r="R287" s="202" t="n">
        <v>1598</v>
      </c>
    </row>
    <row r="288" ht="12.75" customHeight="1" s="186">
      <c r="B288" s="157" t="inlineStr">
        <is>
          <t>PB</t>
        </is>
      </c>
      <c r="C288" s="158" t="n">
        <v>2009</v>
      </c>
      <c r="D288" s="159" t="n">
        <v>27.11</v>
      </c>
      <c r="E288" s="159" t="n">
        <v>0.45</v>
      </c>
      <c r="F288" s="160" t="n">
        <v>40</v>
      </c>
      <c r="G288" s="161" t="n">
        <v>6.9295</v>
      </c>
      <c r="H288" s="161" t="n">
        <v>2.8332</v>
      </c>
      <c r="I288" s="160" t="n">
        <v>7618</v>
      </c>
      <c r="J288" s="161" t="n">
        <v>8.9383</v>
      </c>
      <c r="K288" s="162" t="n">
        <v>9.84</v>
      </c>
      <c r="L288" s="163" t="n">
        <v>0</v>
      </c>
      <c r="M288" s="163" t="n">
        <v>0</v>
      </c>
      <c r="N288" s="161" t="n">
        <v>93.39100000000001</v>
      </c>
      <c r="O288" s="160" t="n">
        <v>3769977</v>
      </c>
      <c r="P288" s="202" t="n">
        <v>1003</v>
      </c>
      <c r="Q288" s="202" t="n">
        <v>2541</v>
      </c>
      <c r="R288" s="202" t="n">
        <v>1538</v>
      </c>
    </row>
    <row r="289" ht="12.75" customHeight="1" s="186">
      <c r="B289" s="164" t="inlineStr">
        <is>
          <t>PB</t>
        </is>
      </c>
      <c r="C289" s="165" t="n">
        <v>2010</v>
      </c>
      <c r="D289" s="166" t="n">
        <v>32.26</v>
      </c>
      <c r="E289" s="166" t="n">
        <v>0.77</v>
      </c>
      <c r="F289" s="167" t="n">
        <v>69</v>
      </c>
      <c r="G289" s="168" t="n">
        <v>7.1025</v>
      </c>
      <c r="H289" s="168" t="n">
        <v>3.3673</v>
      </c>
      <c r="I289" s="167" t="n">
        <v>8900</v>
      </c>
      <c r="J289" s="168" t="n">
        <v>9.0938</v>
      </c>
      <c r="K289" s="169" t="n">
        <v>10.11</v>
      </c>
      <c r="L289" s="170" t="n">
        <v>0</v>
      </c>
      <c r="M289" s="170" t="n">
        <v>0</v>
      </c>
      <c r="N289" s="168" t="n">
        <v>93.39100000000001</v>
      </c>
      <c r="O289" s="167" t="n">
        <v>3766528</v>
      </c>
      <c r="P289" s="202" t="n">
        <v>1191</v>
      </c>
      <c r="Q289" s="202" t="n">
        <v>2731</v>
      </c>
      <c r="R289" s="202" t="n">
        <v>1540</v>
      </c>
    </row>
    <row r="290" ht="12.75" customHeight="1" s="186">
      <c r="B290" s="157" t="inlineStr">
        <is>
          <t>PB</t>
        </is>
      </c>
      <c r="C290" s="158" t="n">
        <v>2011</v>
      </c>
      <c r="D290" s="159" t="n">
        <v>36.45</v>
      </c>
      <c r="E290" s="159" t="n">
        <v>0.42</v>
      </c>
      <c r="F290" s="160" t="n">
        <v>85</v>
      </c>
      <c r="G290" s="161" t="n">
        <v>7.2313</v>
      </c>
      <c r="H290" s="161" t="n">
        <v>2.7726</v>
      </c>
      <c r="I290" s="160" t="n">
        <v>9788</v>
      </c>
      <c r="J290" s="161" t="n">
        <v>9.1889</v>
      </c>
      <c r="K290" s="162" t="n">
        <v>10.37</v>
      </c>
      <c r="L290" s="163" t="n">
        <v>0</v>
      </c>
      <c r="M290" s="163" t="n">
        <v>0</v>
      </c>
      <c r="N290" s="161" t="n">
        <v>93.39100000000001</v>
      </c>
      <c r="O290" s="160" t="n">
        <v>3791315</v>
      </c>
      <c r="P290" s="202" t="n">
        <v>1369</v>
      </c>
      <c r="Q290" s="202" t="n">
        <v>2893</v>
      </c>
      <c r="R290" s="202" t="n">
        <v>1524</v>
      </c>
    </row>
    <row r="291" ht="12.75" customHeight="1" s="186">
      <c r="B291" s="164" t="inlineStr">
        <is>
          <t>PB</t>
        </is>
      </c>
      <c r="C291" s="165" t="n">
        <v>2012</v>
      </c>
      <c r="D291" s="166" t="n">
        <v>32.24</v>
      </c>
      <c r="E291" s="166" t="n">
        <v>0.45</v>
      </c>
      <c r="F291" s="167" t="n">
        <v>102</v>
      </c>
      <c r="G291" s="168" t="n">
        <v>7.1148</v>
      </c>
      <c r="H291" s="168" t="n">
        <v>2.8332</v>
      </c>
      <c r="I291" s="167" t="n">
        <v>11137</v>
      </c>
      <c r="J291" s="168" t="n">
        <v>9.318</v>
      </c>
      <c r="K291" s="169" t="n">
        <v>8.98</v>
      </c>
      <c r="L291" s="170" t="n">
        <v>0</v>
      </c>
      <c r="M291" s="170" t="n">
        <v>0</v>
      </c>
      <c r="N291" s="168" t="n">
        <v>93.39100000000001</v>
      </c>
      <c r="O291" s="167" t="n">
        <v>3815171</v>
      </c>
      <c r="P291" s="202" t="n">
        <v>1219</v>
      </c>
      <c r="Q291" s="202" t="n">
        <v>2960</v>
      </c>
      <c r="R291" s="202" t="n">
        <v>1741</v>
      </c>
    </row>
    <row r="292" ht="12.75" customHeight="1" s="186">
      <c r="B292" s="157" t="inlineStr">
        <is>
          <t>PB</t>
        </is>
      </c>
      <c r="C292" s="158" t="n">
        <v>2013</v>
      </c>
      <c r="D292" s="159" t="n">
        <v>31.96</v>
      </c>
      <c r="E292" s="159" t="n">
        <v>0.31</v>
      </c>
      <c r="F292" s="160" t="n">
        <v>114</v>
      </c>
      <c r="G292" s="161" t="n">
        <v>7.1317</v>
      </c>
      <c r="H292" s="161" t="n">
        <v>2.4849</v>
      </c>
      <c r="I292" s="160" t="n">
        <v>11848</v>
      </c>
      <c r="J292" s="161" t="n">
        <v>9.379899999999999</v>
      </c>
      <c r="K292" s="162" t="n">
        <v>9.83</v>
      </c>
      <c r="L292" s="163" t="n">
        <v>0</v>
      </c>
      <c r="M292" s="163" t="n">
        <v>0</v>
      </c>
      <c r="N292" s="161" t="n">
        <v>93.39100000000001</v>
      </c>
      <c r="O292" s="160" t="n">
        <v>3914421</v>
      </c>
      <c r="P292" s="202" t="n">
        <v>1251</v>
      </c>
      <c r="Q292" s="202" t="n">
        <v>3008</v>
      </c>
      <c r="R292" s="202" t="n">
        <v>1757</v>
      </c>
    </row>
    <row r="293" ht="12.75" customHeight="1" s="186">
      <c r="B293" s="164" t="inlineStr">
        <is>
          <t>PB</t>
        </is>
      </c>
      <c r="C293" s="165" t="n">
        <v>2014</v>
      </c>
      <c r="D293" s="166" t="n">
        <v>31.69</v>
      </c>
      <c r="E293" s="166" t="n">
        <v>0.15</v>
      </c>
      <c r="F293" s="167" t="n">
        <v>120</v>
      </c>
      <c r="G293" s="168" t="n">
        <v>7.1309</v>
      </c>
      <c r="H293" s="168" t="n">
        <v>1.7918</v>
      </c>
      <c r="I293" s="167" t="n">
        <v>13422</v>
      </c>
      <c r="J293" s="168" t="n">
        <v>9.5047</v>
      </c>
      <c r="K293" s="169" t="n">
        <v>8.5</v>
      </c>
      <c r="L293" s="170" t="n">
        <v>0</v>
      </c>
      <c r="M293" s="170" t="n">
        <v>0</v>
      </c>
      <c r="N293" s="168" t="n">
        <v>93.39100000000001</v>
      </c>
      <c r="O293" s="167" t="n">
        <v>3943885</v>
      </c>
      <c r="P293" s="202" t="n">
        <v>1243</v>
      </c>
      <c r="Q293" s="202" t="n">
        <v>2913</v>
      </c>
      <c r="R293" s="202" t="n">
        <v>1670</v>
      </c>
    </row>
    <row r="294" ht="12.75" customHeight="1" s="186">
      <c r="B294" s="157" t="inlineStr">
        <is>
          <t>PB</t>
        </is>
      </c>
      <c r="C294" s="158" t="n">
        <v>2015</v>
      </c>
      <c r="D294" s="159" t="n">
        <v>31.85</v>
      </c>
      <c r="E294" s="159" t="n">
        <v>0.08</v>
      </c>
      <c r="F294" s="160" t="n">
        <v>123</v>
      </c>
      <c r="G294" s="161" t="n">
        <v>7.1428</v>
      </c>
      <c r="H294" s="161" t="n">
        <v>1.0986</v>
      </c>
      <c r="I294" s="160" t="n">
        <v>14134</v>
      </c>
      <c r="J294" s="161" t="n">
        <v>9.5563</v>
      </c>
      <c r="K294" s="162" t="n">
        <v>9.699999999999999</v>
      </c>
      <c r="L294" s="163" t="n">
        <v>0</v>
      </c>
      <c r="M294" s="163" t="n">
        <v>0</v>
      </c>
      <c r="N294" s="161" t="n">
        <v>93.39100000000001</v>
      </c>
      <c r="O294" s="160" t="n">
        <v>3972202</v>
      </c>
      <c r="P294" s="202" t="n">
        <v>1254</v>
      </c>
      <c r="Q294" s="202" t="n">
        <v>2975</v>
      </c>
      <c r="R294" s="202" t="n">
        <v>1721</v>
      </c>
    </row>
    <row r="295" ht="12.75" customHeight="1" s="186">
      <c r="B295" s="171" t="inlineStr">
        <is>
          <t>PB</t>
        </is>
      </c>
      <c r="C295" s="172" t="n">
        <v>2016</v>
      </c>
      <c r="D295" s="173" t="n">
        <v>26.6</v>
      </c>
      <c r="E295" s="173" t="n">
        <v>1.5</v>
      </c>
      <c r="F295" s="174" t="n">
        <v>183</v>
      </c>
      <c r="G295" s="175" t="n">
        <v>6.9698</v>
      </c>
      <c r="H295" s="175" t="n">
        <v>4.0943</v>
      </c>
      <c r="I295" s="174" t="n">
        <v>14778</v>
      </c>
      <c r="J295" s="175" t="n">
        <v>9.600899999999999</v>
      </c>
      <c r="K295" s="176" t="n">
        <v>11.6</v>
      </c>
      <c r="L295" s="177" t="n">
        <v>0</v>
      </c>
      <c r="M295" s="177" t="n">
        <v>0</v>
      </c>
      <c r="N295" s="175" t="n">
        <v>93.39100000000001</v>
      </c>
      <c r="O295" s="174" t="n">
        <v>3999415</v>
      </c>
      <c r="P295" s="202" t="n">
        <v>1054</v>
      </c>
      <c r="Q295" s="202" t="n">
        <v>2833</v>
      </c>
      <c r="R295" s="202" t="n">
        <v>1779</v>
      </c>
    </row>
    <row r="296" ht="12.75" customHeight="1" s="186">
      <c r="B296" s="178" t="inlineStr">
        <is>
          <t>PB</t>
        </is>
      </c>
      <c r="C296" s="179" t="n">
        <v>2017</v>
      </c>
      <c r="D296" s="180" t="n">
        <v>25.79</v>
      </c>
      <c r="E296" s="180" t="n">
        <v>2.58</v>
      </c>
      <c r="F296" s="181" t="n">
        <v>287</v>
      </c>
      <c r="G296" s="182" t="n">
        <v>6.9451</v>
      </c>
      <c r="H296" s="182" t="n">
        <v>4.6444</v>
      </c>
      <c r="I296" s="181" t="n">
        <v>15500</v>
      </c>
      <c r="J296" s="182" t="n">
        <v>9.6486</v>
      </c>
      <c r="K296" s="183" t="n">
        <v>11.5</v>
      </c>
      <c r="L296" s="184" t="n">
        <v>0</v>
      </c>
      <c r="M296" s="184" t="n">
        <v>0</v>
      </c>
      <c r="N296" s="182" t="n">
        <v>93.39100000000001</v>
      </c>
      <c r="O296" s="181" t="n">
        <v>4025558</v>
      </c>
      <c r="P296" s="202" t="n">
        <v>1047</v>
      </c>
      <c r="Q296" s="202" t="n">
        <v>2770</v>
      </c>
      <c r="R296" s="202" t="n">
        <v>1723</v>
      </c>
    </row>
    <row r="297" ht="12.75" customHeight="1" s="186">
      <c r="B297" s="171" t="inlineStr">
        <is>
          <t>PB</t>
        </is>
      </c>
      <c r="C297" s="172" t="n">
        <v>2018</v>
      </c>
      <c r="D297" s="173" t="n">
        <v>24.9</v>
      </c>
      <c r="E297" s="173" t="n">
        <v>15.99</v>
      </c>
      <c r="F297" s="174" t="n">
        <v>926</v>
      </c>
      <c r="G297" s="175" t="n">
        <v>6.9027</v>
      </c>
      <c r="H297" s="175" t="n">
        <v>6.4599</v>
      </c>
      <c r="I297" s="174" t="n">
        <v>16108</v>
      </c>
      <c r="J297" s="175" t="n">
        <v>9.687099999999999</v>
      </c>
      <c r="K297" s="176" t="n">
        <v>11.3</v>
      </c>
      <c r="L297" s="177" t="n">
        <v>0</v>
      </c>
      <c r="M297" s="177" t="n">
        <v>0</v>
      </c>
      <c r="N297" s="175" t="n">
        <v>93.39100000000001</v>
      </c>
      <c r="O297" s="174" t="n">
        <v>3996496</v>
      </c>
      <c r="P297" s="202" t="n">
        <v>1001</v>
      </c>
      <c r="Q297" s="202" t="n">
        <v>2678</v>
      </c>
      <c r="R297" s="202" t="n">
        <v>1677</v>
      </c>
    </row>
    <row r="298" ht="12.75" customHeight="1" s="186">
      <c r="B298" s="178" t="inlineStr">
        <is>
          <t>PB</t>
        </is>
      </c>
      <c r="C298" s="179" t="n">
        <v>2019</v>
      </c>
      <c r="D298" s="180" t="n">
        <v>17.87</v>
      </c>
      <c r="E298" s="180" t="n">
        <v>29.34</v>
      </c>
      <c r="F298" s="181" t="n">
        <v>2105</v>
      </c>
      <c r="G298" s="182" t="n">
        <v>6.5765</v>
      </c>
      <c r="H298" s="182" t="n">
        <v>7.0724</v>
      </c>
      <c r="I298" s="181" t="n">
        <v>16920</v>
      </c>
      <c r="J298" s="182" t="n">
        <v>9.7363</v>
      </c>
      <c r="K298" s="183" t="n">
        <v>11.8</v>
      </c>
      <c r="L298" s="184" t="n">
        <v>0</v>
      </c>
      <c r="M298" s="184" t="n">
        <v>0</v>
      </c>
      <c r="N298" s="182" t="n">
        <v>93.39100000000001</v>
      </c>
      <c r="O298" s="181" t="n">
        <v>4018127</v>
      </c>
      <c r="P298" s="202" t="n">
        <v>705</v>
      </c>
      <c r="Q298" s="202" t="n">
        <v>2270</v>
      </c>
      <c r="R298" s="202" t="n">
        <v>1565</v>
      </c>
    </row>
    <row r="299" ht="12.75" customHeight="1" s="186">
      <c r="B299" s="171" t="inlineStr">
        <is>
          <t>PB</t>
        </is>
      </c>
      <c r="C299" s="172" t="n">
        <v>2020</v>
      </c>
      <c r="D299" s="173" t="n">
        <v>22.85</v>
      </c>
      <c r="E299" s="173" t="n">
        <v>40.5</v>
      </c>
      <c r="F299" s="174" t="n">
        <v>3741</v>
      </c>
      <c r="G299" s="175" t="n">
        <v>6.8276</v>
      </c>
      <c r="H299" s="175" t="n">
        <v>7.4</v>
      </c>
      <c r="I299" s="174" t="n">
        <v>17402</v>
      </c>
      <c r="J299" s="175" t="n">
        <v>9.7643</v>
      </c>
      <c r="K299" s="176" t="n">
        <v>15</v>
      </c>
      <c r="L299" s="177" t="n">
        <v>0</v>
      </c>
      <c r="M299" s="177" t="n">
        <v>1</v>
      </c>
      <c r="N299" s="175" t="n">
        <v>93.39100000000001</v>
      </c>
      <c r="O299" s="174" t="n">
        <v>4039277</v>
      </c>
      <c r="P299" s="202" t="n">
        <v>911</v>
      </c>
      <c r="Q299" s="202" t="n">
        <v>2603</v>
      </c>
      <c r="R299" s="202" t="n">
        <v>1692</v>
      </c>
    </row>
    <row r="300" ht="12.75" customHeight="1" s="186">
      <c r="B300" s="178" t="inlineStr">
        <is>
          <t>PB</t>
        </is>
      </c>
      <c r="C300" s="179" t="n">
        <v>2021</v>
      </c>
      <c r="D300" s="180" t="n">
        <v>23.15</v>
      </c>
      <c r="E300" s="180" t="n">
        <v>71.75</v>
      </c>
      <c r="F300" s="181" t="n">
        <v>6654</v>
      </c>
      <c r="G300" s="182" t="n">
        <v>6.8459</v>
      </c>
      <c r="H300" s="182" t="n">
        <v>7.9769</v>
      </c>
      <c r="I300" s="181" t="n">
        <v>19082</v>
      </c>
      <c r="J300" s="182" t="n">
        <v>9.8565</v>
      </c>
      <c r="K300" s="183" t="n">
        <v>14.8</v>
      </c>
      <c r="L300" s="184" t="n">
        <v>0</v>
      </c>
      <c r="M300" s="184" t="n">
        <v>1</v>
      </c>
      <c r="N300" s="182" t="n">
        <v>93.39100000000001</v>
      </c>
      <c r="O300" s="181" t="n">
        <v>4059905</v>
      </c>
      <c r="P300" s="202" t="n">
        <v>918</v>
      </c>
      <c r="Q300" s="202" t="n">
        <v>2628</v>
      </c>
      <c r="R300" s="202" t="n">
        <v>1710</v>
      </c>
    </row>
    <row r="301" ht="12.75" customHeight="1" s="186">
      <c r="B301" s="171" t="inlineStr">
        <is>
          <t>PB</t>
        </is>
      </c>
      <c r="C301" s="172" t="n">
        <v>2022</v>
      </c>
      <c r="D301" s="173" t="n">
        <v>22.69</v>
      </c>
      <c r="E301" s="173" t="n">
        <v>93.39</v>
      </c>
      <c r="F301" s="174" t="n">
        <v>10366</v>
      </c>
      <c r="G301" s="175" t="n">
        <v>6.8046</v>
      </c>
      <c r="H301" s="175" t="n">
        <v>8.2193</v>
      </c>
      <c r="I301" s="174" t="n">
        <v>21661</v>
      </c>
      <c r="J301" s="175" t="n">
        <v>9.9833</v>
      </c>
      <c r="K301" s="176" t="n">
        <v>12</v>
      </c>
      <c r="L301" s="177" t="n">
        <v>0</v>
      </c>
      <c r="M301" s="177" t="n">
        <v>0</v>
      </c>
      <c r="N301" s="175" t="n">
        <v>93.39100000000001</v>
      </c>
      <c r="O301" s="174" t="n">
        <v>3974687</v>
      </c>
      <c r="P301" s="202" t="n">
        <v>908</v>
      </c>
      <c r="Q301" s="202" t="n">
        <v>2699</v>
      </c>
      <c r="R301" s="202" t="n">
        <v>1791</v>
      </c>
    </row>
    <row r="302" ht="12.75" customHeight="1" s="186">
      <c r="B302" s="178" t="inlineStr">
        <is>
          <t>PB</t>
        </is>
      </c>
      <c r="C302" s="179" t="n">
        <v>2023</v>
      </c>
      <c r="D302" s="180" t="n">
        <v>22.54</v>
      </c>
      <c r="E302" s="180" t="n">
        <v>0.1</v>
      </c>
      <c r="F302" s="181" t="n">
        <v>10370</v>
      </c>
      <c r="G302" s="182" t="n">
        <v>6.7979</v>
      </c>
      <c r="H302" s="182" t="n">
        <v>1.3863</v>
      </c>
      <c r="I302" s="181" t="n">
        <v>24395</v>
      </c>
      <c r="J302" s="182" t="n">
        <v>10.1021</v>
      </c>
      <c r="K302" s="183" t="n">
        <v>10.1</v>
      </c>
      <c r="L302" s="184" t="n">
        <v>1</v>
      </c>
      <c r="M302" s="184" t="n">
        <v>0</v>
      </c>
      <c r="N302" s="182" t="n">
        <v>93.39100000000001</v>
      </c>
      <c r="O302" s="181" t="n">
        <v>3974687</v>
      </c>
      <c r="P302" s="202" t="n">
        <v>895</v>
      </c>
      <c r="Q302" s="202" t="n">
        <v>2631</v>
      </c>
      <c r="R302" s="202" t="n">
        <v>1736</v>
      </c>
    </row>
    <row r="303" ht="12.75" customHeight="1" s="186">
      <c r="B303" s="171" t="inlineStr">
        <is>
          <t>PB</t>
        </is>
      </c>
      <c r="C303" s="172" t="n">
        <v>2024</v>
      </c>
      <c r="D303" s="173" t="n">
        <v>21.52</v>
      </c>
      <c r="E303" s="173" t="n">
        <v>13.05</v>
      </c>
      <c r="F303" s="174" t="n">
        <v>10911</v>
      </c>
      <c r="G303" s="175" t="n">
        <v>6.7935</v>
      </c>
      <c r="H303" s="175" t="n">
        <v>6.2934</v>
      </c>
      <c r="I303" s="174" t="n">
        <v>25683</v>
      </c>
      <c r="J303" s="175" t="n">
        <v>10.1536</v>
      </c>
      <c r="K303" s="176" t="n">
        <v>8.699999999999999</v>
      </c>
      <c r="L303" s="177" t="n">
        <v>1</v>
      </c>
      <c r="M303" s="177" t="n">
        <v>0</v>
      </c>
      <c r="N303" s="175" t="n">
        <v>93.39100000000001</v>
      </c>
      <c r="O303" s="174" t="n">
        <v>4145040</v>
      </c>
      <c r="P303" s="202" t="n">
        <v>879</v>
      </c>
      <c r="Q303" s="202" t="n">
        <v>2746</v>
      </c>
      <c r="R303" s="202" t="n">
        <v>1867</v>
      </c>
    </row>
    <row r="304" ht="12.75" customHeight="1" s="186">
      <c r="B304" s="157" t="inlineStr">
        <is>
          <t>PE</t>
        </is>
      </c>
      <c r="C304" s="158" t="n">
        <v>2005</v>
      </c>
      <c r="D304" s="159" t="n">
        <v>41.5</v>
      </c>
      <c r="E304" s="159" t="n">
        <v>0.4</v>
      </c>
      <c r="F304" s="160" t="n">
        <v>34</v>
      </c>
      <c r="G304" s="161" t="n">
        <v>8.158200000000001</v>
      </c>
      <c r="H304" s="161" t="n">
        <v>3.5264</v>
      </c>
      <c r="I304" s="160" t="n">
        <v>5933</v>
      </c>
      <c r="J304" s="161" t="n">
        <v>8.6883</v>
      </c>
      <c r="K304" s="162" t="n">
        <v>12.69</v>
      </c>
      <c r="L304" s="163" t="n">
        <v>0</v>
      </c>
      <c r="M304" s="163" t="n">
        <v>0</v>
      </c>
      <c r="N304" s="161" t="n">
        <v>91.6996</v>
      </c>
      <c r="O304" s="160" t="n">
        <v>8413593</v>
      </c>
      <c r="P304" s="202" t="n">
        <v>3483</v>
      </c>
      <c r="Q304" s="202" t="n">
        <v>7089</v>
      </c>
      <c r="R304" s="202" t="n">
        <v>3606</v>
      </c>
    </row>
    <row r="305" ht="12.75" customHeight="1" s="186">
      <c r="B305" s="164" t="inlineStr">
        <is>
          <t>PE</t>
        </is>
      </c>
      <c r="C305" s="165" t="n">
        <v>2006</v>
      </c>
      <c r="D305" s="166" t="n">
        <v>42.27</v>
      </c>
      <c r="E305" s="166" t="n">
        <v>0.07000000000000001</v>
      </c>
      <c r="F305" s="167" t="n">
        <v>40</v>
      </c>
      <c r="G305" s="168" t="n">
        <v>8.186999999999999</v>
      </c>
      <c r="H305" s="168" t="n">
        <v>1.7918</v>
      </c>
      <c r="I305" s="167" t="n">
        <v>6527</v>
      </c>
      <c r="J305" s="168" t="n">
        <v>8.7837</v>
      </c>
      <c r="K305" s="169" t="n">
        <v>11.3</v>
      </c>
      <c r="L305" s="170" t="n">
        <v>0</v>
      </c>
      <c r="M305" s="170" t="n">
        <v>0</v>
      </c>
      <c r="N305" s="168" t="n">
        <v>91.6996</v>
      </c>
      <c r="O305" s="167" t="n">
        <v>8502603</v>
      </c>
      <c r="P305" s="202" t="n">
        <v>3563</v>
      </c>
      <c r="Q305" s="202" t="n">
        <v>7290</v>
      </c>
      <c r="R305" s="202" t="n">
        <v>3727</v>
      </c>
    </row>
    <row r="306" ht="12.75" customHeight="1" s="186">
      <c r="B306" s="157" t="inlineStr">
        <is>
          <t>PE</t>
        </is>
      </c>
      <c r="C306" s="158" t="n">
        <v>2007</v>
      </c>
      <c r="D306" s="159" t="n">
        <v>43.68</v>
      </c>
      <c r="E306" s="159" t="n">
        <v>0.06</v>
      </c>
      <c r="F306" s="160" t="n">
        <v>45</v>
      </c>
      <c r="G306" s="161" t="n">
        <v>8.218</v>
      </c>
      <c r="H306" s="161" t="n">
        <v>1.6094</v>
      </c>
      <c r="I306" s="160" t="n">
        <v>7336</v>
      </c>
      <c r="J306" s="161" t="n">
        <v>8.900499999999999</v>
      </c>
      <c r="K306" s="162" t="n">
        <v>12.98</v>
      </c>
      <c r="L306" s="163" t="n">
        <v>0</v>
      </c>
      <c r="M306" s="163" t="n">
        <v>0</v>
      </c>
      <c r="N306" s="161" t="n">
        <v>91.6996</v>
      </c>
      <c r="O306" s="160" t="n">
        <v>8486638</v>
      </c>
      <c r="P306" s="202" t="n">
        <v>3686</v>
      </c>
      <c r="Q306" s="202" t="n">
        <v>7571</v>
      </c>
      <c r="R306" s="202" t="n">
        <v>3885</v>
      </c>
    </row>
    <row r="307" ht="12.75" customHeight="1" s="186">
      <c r="B307" s="164" t="inlineStr">
        <is>
          <t>PE</t>
        </is>
      </c>
      <c r="C307" s="165" t="n">
        <v>2008</v>
      </c>
      <c r="D307" s="166" t="n">
        <v>39.35</v>
      </c>
      <c r="E307" s="166" t="n">
        <v>0.11</v>
      </c>
      <c r="F307" s="167" t="n">
        <v>55</v>
      </c>
      <c r="G307" s="168" t="n">
        <v>8.1424</v>
      </c>
      <c r="H307" s="168" t="n">
        <v>2.3026</v>
      </c>
      <c r="I307" s="167" t="n">
        <v>8065</v>
      </c>
      <c r="J307" s="168" t="n">
        <v>8.9953</v>
      </c>
      <c r="K307" s="169" t="n">
        <v>10.74</v>
      </c>
      <c r="L307" s="170" t="n">
        <v>0</v>
      </c>
      <c r="M307" s="170" t="n">
        <v>0</v>
      </c>
      <c r="N307" s="168" t="n">
        <v>91.6996</v>
      </c>
      <c r="O307" s="167" t="n">
        <v>8734196</v>
      </c>
      <c r="P307" s="202" t="n">
        <v>3421</v>
      </c>
      <c r="Q307" s="202" t="n">
        <v>7574</v>
      </c>
      <c r="R307" s="202" t="n">
        <v>4153</v>
      </c>
    </row>
    <row r="308" ht="12.75" customHeight="1" s="186">
      <c r="B308" s="157" t="inlineStr">
        <is>
          <t>PE</t>
        </is>
      </c>
      <c r="C308" s="158" t="n">
        <v>2009</v>
      </c>
      <c r="D308" s="159" t="n">
        <v>35.25</v>
      </c>
      <c r="E308" s="159" t="n">
        <v>0.25</v>
      </c>
      <c r="F308" s="160" t="n">
        <v>77</v>
      </c>
      <c r="G308" s="161" t="n">
        <v>8.0411</v>
      </c>
      <c r="H308" s="161" t="n">
        <v>3.091</v>
      </c>
      <c r="I308" s="160" t="n">
        <v>8902</v>
      </c>
      <c r="J308" s="161" t="n">
        <v>9.093999999999999</v>
      </c>
      <c r="K308" s="162" t="n">
        <v>13.09</v>
      </c>
      <c r="L308" s="163" t="n">
        <v>0</v>
      </c>
      <c r="M308" s="163" t="n">
        <v>0</v>
      </c>
      <c r="N308" s="161" t="n">
        <v>91.6996</v>
      </c>
      <c r="O308" s="160" t="n">
        <v>8810256</v>
      </c>
      <c r="P308" s="202" t="n">
        <v>3096</v>
      </c>
      <c r="Q308" s="202" t="n">
        <v>7292</v>
      </c>
      <c r="R308" s="202" t="n">
        <v>4196</v>
      </c>
    </row>
    <row r="309" ht="12.75" customHeight="1" s="186">
      <c r="B309" s="164" t="inlineStr">
        <is>
          <t>PE</t>
        </is>
      </c>
      <c r="C309" s="165" t="n">
        <v>2010</v>
      </c>
      <c r="D309" s="166" t="n">
        <v>29.9</v>
      </c>
      <c r="E309" s="166" t="n">
        <v>0.45</v>
      </c>
      <c r="F309" s="167" t="n">
        <v>117</v>
      </c>
      <c r="G309" s="168" t="n">
        <v>7.8747</v>
      </c>
      <c r="H309" s="168" t="n">
        <v>3.6889</v>
      </c>
      <c r="I309" s="167" t="n">
        <v>11049</v>
      </c>
      <c r="J309" s="168" t="n">
        <v>9.3101</v>
      </c>
      <c r="K309" s="169" t="n">
        <v>11.31</v>
      </c>
      <c r="L309" s="170" t="n">
        <v>0</v>
      </c>
      <c r="M309" s="170" t="n">
        <v>0</v>
      </c>
      <c r="N309" s="168" t="n">
        <v>91.6996</v>
      </c>
      <c r="O309" s="167" t="n">
        <v>8796448</v>
      </c>
      <c r="P309" s="202" t="n">
        <v>2624</v>
      </c>
      <c r="Q309" s="202" t="n">
        <v>6968</v>
      </c>
      <c r="R309" s="202" t="n">
        <v>4344</v>
      </c>
    </row>
    <row r="310" ht="12.75" customHeight="1" s="186">
      <c r="B310" s="157" t="inlineStr">
        <is>
          <t>PE</t>
        </is>
      </c>
      <c r="C310" s="158" t="n">
        <v>2011</v>
      </c>
      <c r="D310" s="159" t="n">
        <v>28.57</v>
      </c>
      <c r="E310" s="159" t="n">
        <v>1.16</v>
      </c>
      <c r="F310" s="160" t="n">
        <v>220</v>
      </c>
      <c r="G310" s="161" t="n">
        <v>7.8372</v>
      </c>
      <c r="H310" s="161" t="n">
        <v>4.6347</v>
      </c>
      <c r="I310" s="160" t="n">
        <v>12427</v>
      </c>
      <c r="J310" s="161" t="n">
        <v>9.4276</v>
      </c>
      <c r="K310" s="162" t="n">
        <v>9.539999999999999</v>
      </c>
      <c r="L310" s="163" t="n">
        <v>0</v>
      </c>
      <c r="M310" s="163" t="n">
        <v>0</v>
      </c>
      <c r="N310" s="161" t="n">
        <v>91.6996</v>
      </c>
      <c r="O310" s="160" t="n">
        <v>8864906</v>
      </c>
      <c r="P310" s="202" t="n">
        <v>2514</v>
      </c>
      <c r="Q310" s="202" t="n">
        <v>6997</v>
      </c>
      <c r="R310" s="202" t="n">
        <v>4483</v>
      </c>
    </row>
    <row r="311" ht="12.75" customHeight="1" s="186">
      <c r="B311" s="164" t="inlineStr">
        <is>
          <t>PE</t>
        </is>
      </c>
      <c r="C311" s="165" t="n">
        <v>2012</v>
      </c>
      <c r="D311" s="166" t="n">
        <v>27.62</v>
      </c>
      <c r="E311" s="166" t="n">
        <v>0.99</v>
      </c>
      <c r="F311" s="167" t="n">
        <v>308</v>
      </c>
      <c r="G311" s="168" t="n">
        <v>7.8108</v>
      </c>
      <c r="H311" s="168" t="n">
        <v>4.4773</v>
      </c>
      <c r="I311" s="167" t="n">
        <v>14331</v>
      </c>
      <c r="J311" s="168" t="n">
        <v>9.5702</v>
      </c>
      <c r="K311" s="169" t="n">
        <v>10.29</v>
      </c>
      <c r="L311" s="170" t="n">
        <v>0</v>
      </c>
      <c r="M311" s="170" t="n">
        <v>0</v>
      </c>
      <c r="N311" s="168" t="n">
        <v>91.6996</v>
      </c>
      <c r="O311" s="167" t="n">
        <v>8931028</v>
      </c>
      <c r="P311" s="202" t="n">
        <v>2453</v>
      </c>
      <c r="Q311" s="202" t="n">
        <v>6758</v>
      </c>
      <c r="R311" s="202" t="n">
        <v>4305</v>
      </c>
    </row>
    <row r="312" ht="12.75" customHeight="1" s="186">
      <c r="B312" s="157" t="inlineStr">
        <is>
          <t>PE</t>
        </is>
      </c>
      <c r="C312" s="158" t="n">
        <v>2013</v>
      </c>
      <c r="D312" s="159" t="n">
        <v>24.99</v>
      </c>
      <c r="E312" s="159" t="n">
        <v>0.5</v>
      </c>
      <c r="F312" s="160" t="n">
        <v>354</v>
      </c>
      <c r="G312" s="161" t="n">
        <v>7.7411</v>
      </c>
      <c r="H312" s="161" t="n">
        <v>3.8286</v>
      </c>
      <c r="I312" s="160" t="n">
        <v>15328</v>
      </c>
      <c r="J312" s="161" t="n">
        <v>9.6374</v>
      </c>
      <c r="K312" s="162" t="n">
        <v>9.09</v>
      </c>
      <c r="L312" s="163" t="n">
        <v>0</v>
      </c>
      <c r="M312" s="163" t="n">
        <v>0</v>
      </c>
      <c r="N312" s="161" t="n">
        <v>91.6996</v>
      </c>
      <c r="O312" s="160" t="n">
        <v>9208550</v>
      </c>
      <c r="P312" s="202" t="n">
        <v>2263</v>
      </c>
      <c r="Q312" s="202" t="n">
        <v>6523</v>
      </c>
      <c r="R312" s="202" t="n">
        <v>4260</v>
      </c>
    </row>
    <row r="313" ht="12.75" customHeight="1" s="186">
      <c r="B313" s="164" t="inlineStr">
        <is>
          <t>PE</t>
        </is>
      </c>
      <c r="C313" s="165" t="n">
        <v>2014</v>
      </c>
      <c r="D313" s="166" t="n">
        <v>27.41</v>
      </c>
      <c r="E313" s="166" t="n">
        <v>0.43</v>
      </c>
      <c r="F313" s="167" t="n">
        <v>394</v>
      </c>
      <c r="G313" s="168" t="n">
        <v>7.8411</v>
      </c>
      <c r="H313" s="168" t="n">
        <v>3.6889</v>
      </c>
      <c r="I313" s="167" t="n">
        <v>16722</v>
      </c>
      <c r="J313" s="168" t="n">
        <v>9.724500000000001</v>
      </c>
      <c r="K313" s="169" t="n">
        <v>9.470000000000001</v>
      </c>
      <c r="L313" s="170" t="n">
        <v>0</v>
      </c>
      <c r="M313" s="170" t="n">
        <v>0</v>
      </c>
      <c r="N313" s="168" t="n">
        <v>91.6996</v>
      </c>
      <c r="O313" s="167" t="n">
        <v>9277727</v>
      </c>
      <c r="P313" s="202" t="n">
        <v>2504</v>
      </c>
      <c r="Q313" s="202" t="n">
        <v>6678</v>
      </c>
      <c r="R313" s="202" t="n">
        <v>4174</v>
      </c>
    </row>
    <row r="314" ht="12.75" customHeight="1" s="186">
      <c r="B314" s="157" t="inlineStr">
        <is>
          <t>PE</t>
        </is>
      </c>
      <c r="C314" s="158" t="n">
        <v>2015</v>
      </c>
      <c r="D314" s="159" t="n">
        <v>32.88</v>
      </c>
      <c r="E314" s="159" t="n">
        <v>0.11</v>
      </c>
      <c r="F314" s="160" t="n">
        <v>404</v>
      </c>
      <c r="G314" s="161" t="n">
        <v>8.0304</v>
      </c>
      <c r="H314" s="161" t="n">
        <v>2.3026</v>
      </c>
      <c r="I314" s="160" t="n">
        <v>16796</v>
      </c>
      <c r="J314" s="161" t="n">
        <v>9.728899999999999</v>
      </c>
      <c r="K314" s="162" t="n">
        <v>9.9</v>
      </c>
      <c r="L314" s="163" t="n">
        <v>0</v>
      </c>
      <c r="M314" s="163" t="n">
        <v>0</v>
      </c>
      <c r="N314" s="161" t="n">
        <v>91.6996</v>
      </c>
      <c r="O314" s="160" t="n">
        <v>9345173</v>
      </c>
      <c r="P314" s="202" t="n">
        <v>3016</v>
      </c>
      <c r="Q314" s="202" t="n">
        <v>7235</v>
      </c>
      <c r="R314" s="202" t="n">
        <v>4219</v>
      </c>
    </row>
    <row r="315" ht="12.75" customHeight="1" s="186">
      <c r="B315" s="171" t="inlineStr">
        <is>
          <t>PE</t>
        </is>
      </c>
      <c r="C315" s="172" t="n">
        <v>2016</v>
      </c>
      <c r="D315" s="173" t="n">
        <v>37.09</v>
      </c>
      <c r="E315" s="173" t="n">
        <v>1.33</v>
      </c>
      <c r="F315" s="174" t="n">
        <v>529</v>
      </c>
      <c r="G315" s="175" t="n">
        <v>8.1577</v>
      </c>
      <c r="H315" s="175" t="n">
        <v>4.8283</v>
      </c>
      <c r="I315" s="174" t="n">
        <v>17783</v>
      </c>
      <c r="J315" s="175" t="n">
        <v>9.786</v>
      </c>
      <c r="K315" s="176" t="n">
        <v>14.8</v>
      </c>
      <c r="L315" s="177" t="n">
        <v>0</v>
      </c>
      <c r="M315" s="177" t="n">
        <v>0</v>
      </c>
      <c r="N315" s="175" t="n">
        <v>91.6996</v>
      </c>
      <c r="O315" s="174" t="n">
        <v>9410336</v>
      </c>
      <c r="P315" s="202" t="n">
        <v>3412</v>
      </c>
      <c r="Q315" s="202" t="n">
        <v>8001</v>
      </c>
      <c r="R315" s="202" t="n">
        <v>4589</v>
      </c>
    </row>
    <row r="316" ht="12.75" customHeight="1" s="186">
      <c r="B316" s="178" t="inlineStr">
        <is>
          <t>PE</t>
        </is>
      </c>
      <c r="C316" s="179" t="n">
        <v>2017</v>
      </c>
      <c r="D316" s="180" t="n">
        <v>47.45</v>
      </c>
      <c r="E316" s="180" t="n">
        <v>3.02</v>
      </c>
      <c r="F316" s="181" t="n">
        <v>815</v>
      </c>
      <c r="G316" s="182" t="n">
        <v>8.4107</v>
      </c>
      <c r="H316" s="182" t="n">
        <v>5.656</v>
      </c>
      <c r="I316" s="181" t="n">
        <v>19171</v>
      </c>
      <c r="J316" s="182" t="n">
        <v>9.8612</v>
      </c>
      <c r="K316" s="183" t="n">
        <v>17.9</v>
      </c>
      <c r="L316" s="184" t="n">
        <v>0</v>
      </c>
      <c r="M316" s="184" t="n">
        <v>0</v>
      </c>
      <c r="N316" s="182" t="n">
        <v>91.6996</v>
      </c>
      <c r="O316" s="181" t="n">
        <v>9473266</v>
      </c>
      <c r="P316" s="202" t="n">
        <v>4418</v>
      </c>
      <c r="Q316" s="202" t="n">
        <v>8743</v>
      </c>
      <c r="R316" s="202" t="n">
        <v>4325</v>
      </c>
    </row>
    <row r="317" ht="12.75" customHeight="1" s="186">
      <c r="B317" s="171" t="inlineStr">
        <is>
          <t>PE</t>
        </is>
      </c>
      <c r="C317" s="172" t="n">
        <v>2018</v>
      </c>
      <c r="D317" s="173" t="n">
        <v>35.57</v>
      </c>
      <c r="E317" s="173" t="n">
        <v>4.04</v>
      </c>
      <c r="F317" s="174" t="n">
        <v>1199</v>
      </c>
      <c r="G317" s="175" t="n">
        <v>8.125</v>
      </c>
      <c r="H317" s="175" t="n">
        <v>5.9506</v>
      </c>
      <c r="I317" s="174" t="n">
        <v>19624</v>
      </c>
      <c r="J317" s="175" t="n">
        <v>9.884499999999999</v>
      </c>
      <c r="K317" s="176" t="n">
        <v>16.9</v>
      </c>
      <c r="L317" s="177" t="n">
        <v>0</v>
      </c>
      <c r="M317" s="177" t="n">
        <v>0</v>
      </c>
      <c r="N317" s="175" t="n">
        <v>91.6996</v>
      </c>
      <c r="O317" s="174" t="n">
        <v>9496294</v>
      </c>
      <c r="P317" s="202" t="n">
        <v>3319</v>
      </c>
      <c r="Q317" s="202" t="n">
        <v>7470</v>
      </c>
      <c r="R317" s="202" t="n">
        <v>4151</v>
      </c>
    </row>
    <row r="318" ht="12.75" customHeight="1" s="186">
      <c r="B318" s="178" t="inlineStr">
        <is>
          <t>PE</t>
        </is>
      </c>
      <c r="C318" s="179" t="n">
        <v>2019</v>
      </c>
      <c r="D318" s="180" t="n">
        <v>28.24</v>
      </c>
      <c r="E318" s="180" t="n">
        <v>20.59</v>
      </c>
      <c r="F318" s="181" t="n">
        <v>3167</v>
      </c>
      <c r="G318" s="182" t="n">
        <v>7.9006</v>
      </c>
      <c r="H318" s="182" t="n">
        <v>7.5848</v>
      </c>
      <c r="I318" s="181" t="n">
        <v>20702</v>
      </c>
      <c r="J318" s="182" t="n">
        <v>9.938000000000001</v>
      </c>
      <c r="K318" s="183" t="n">
        <v>15.7</v>
      </c>
      <c r="L318" s="184" t="n">
        <v>0</v>
      </c>
      <c r="M318" s="184" t="n">
        <v>0</v>
      </c>
      <c r="N318" s="182" t="n">
        <v>91.6996</v>
      </c>
      <c r="O318" s="181" t="n">
        <v>9557071</v>
      </c>
      <c r="P318" s="202" t="n">
        <v>2652</v>
      </c>
      <c r="Q318" s="202" t="n">
        <v>6915</v>
      </c>
      <c r="R318" s="202" t="n">
        <v>4263</v>
      </c>
    </row>
    <row r="319" ht="12.75" customHeight="1" s="186">
      <c r="B319" s="171" t="inlineStr">
        <is>
          <t>PE</t>
        </is>
      </c>
      <c r="C319" s="172" t="n">
        <v>2020</v>
      </c>
      <c r="D319" s="173" t="n">
        <v>31.85</v>
      </c>
      <c r="E319" s="173" t="n">
        <v>39.15</v>
      </c>
      <c r="F319" s="174" t="n">
        <v>6932</v>
      </c>
      <c r="G319" s="175" t="n">
        <v>8.027200000000001</v>
      </c>
      <c r="H319" s="175" t="n">
        <v>8.233499999999999</v>
      </c>
      <c r="I319" s="174" t="n">
        <v>20101</v>
      </c>
      <c r="J319" s="175" t="n">
        <v>9.9085</v>
      </c>
      <c r="K319" s="176" t="n">
        <v>17.2</v>
      </c>
      <c r="L319" s="177" t="n">
        <v>0</v>
      </c>
      <c r="M319" s="177" t="n">
        <v>1</v>
      </c>
      <c r="N319" s="175" t="n">
        <v>91.6996</v>
      </c>
      <c r="O319" s="174" t="n">
        <v>9616621</v>
      </c>
      <c r="P319" s="202" t="n">
        <v>2993</v>
      </c>
      <c r="Q319" s="202" t="n">
        <v>7438</v>
      </c>
      <c r="R319" s="202" t="n">
        <v>4445</v>
      </c>
    </row>
    <row r="320" ht="12.75" customHeight="1" s="186">
      <c r="B320" s="178" t="inlineStr">
        <is>
          <t>PE</t>
        </is>
      </c>
      <c r="C320" s="179" t="n">
        <v>2021</v>
      </c>
      <c r="D320" s="180" t="n">
        <v>28.87</v>
      </c>
      <c r="E320" s="180" t="n">
        <v>65.48</v>
      </c>
      <c r="F320" s="181" t="n">
        <v>13267</v>
      </c>
      <c r="G320" s="182" t="n">
        <v>7.9349</v>
      </c>
      <c r="H320" s="182" t="n">
        <v>8.7538</v>
      </c>
      <c r="I320" s="181" t="n">
        <v>22824</v>
      </c>
      <c r="J320" s="182" t="n">
        <v>10.0356</v>
      </c>
      <c r="K320" s="183" t="n">
        <v>19.9</v>
      </c>
      <c r="L320" s="184" t="n">
        <v>0</v>
      </c>
      <c r="M320" s="184" t="n">
        <v>1</v>
      </c>
      <c r="N320" s="182" t="n">
        <v>91.6996</v>
      </c>
      <c r="O320" s="181" t="n">
        <v>9674793</v>
      </c>
      <c r="P320" s="202" t="n">
        <v>2736</v>
      </c>
      <c r="Q320" s="202" t="n">
        <v>7007</v>
      </c>
      <c r="R320" s="202" t="n">
        <v>4271</v>
      </c>
    </row>
    <row r="321" ht="12.75" customHeight="1" s="186">
      <c r="B321" s="171" t="inlineStr">
        <is>
          <t>PE</t>
        </is>
      </c>
      <c r="C321" s="172" t="n">
        <v>2022</v>
      </c>
      <c r="D321" s="173" t="n">
        <v>30.53</v>
      </c>
      <c r="E321" s="173" t="n">
        <v>91.7</v>
      </c>
      <c r="F321" s="174" t="n">
        <v>21574</v>
      </c>
      <c r="G321" s="175" t="n">
        <v>7.9252</v>
      </c>
      <c r="H321" s="175" t="n">
        <v>9.024900000000001</v>
      </c>
      <c r="I321" s="174" t="n">
        <v>27137</v>
      </c>
      <c r="J321" s="175" t="n">
        <v>10.2087</v>
      </c>
      <c r="K321" s="176" t="n">
        <v>14.2</v>
      </c>
      <c r="L321" s="177" t="n">
        <v>0</v>
      </c>
      <c r="M321" s="177" t="n">
        <v>0</v>
      </c>
      <c r="N321" s="175" t="n">
        <v>91.6996</v>
      </c>
      <c r="O321" s="174" t="n">
        <v>9058931</v>
      </c>
      <c r="P321" s="202" t="n">
        <v>2661</v>
      </c>
      <c r="Q321" s="202" t="n">
        <v>7153</v>
      </c>
      <c r="R321" s="202" t="n">
        <v>4492</v>
      </c>
    </row>
    <row r="322" ht="12.75" customHeight="1" s="186">
      <c r="B322" s="178" t="inlineStr">
        <is>
          <t>PE</t>
        </is>
      </c>
      <c r="C322" s="179" t="n">
        <v>2023</v>
      </c>
      <c r="D322" s="180" t="n">
        <v>33.08</v>
      </c>
      <c r="E322" s="180" t="n">
        <v>0.11</v>
      </c>
      <c r="F322" s="181" t="n">
        <v>21584</v>
      </c>
      <c r="G322" s="182" t="n">
        <v>8.0054</v>
      </c>
      <c r="H322" s="182" t="n">
        <v>2.3026</v>
      </c>
      <c r="I322" s="181" t="n">
        <v>29857</v>
      </c>
      <c r="J322" s="182" t="n">
        <v>10.3042</v>
      </c>
      <c r="K322" s="183" t="n">
        <v>13.4</v>
      </c>
      <c r="L322" s="184" t="n">
        <v>1</v>
      </c>
      <c r="M322" s="184" t="n">
        <v>0</v>
      </c>
      <c r="N322" s="182" t="n">
        <v>91.6996</v>
      </c>
      <c r="O322" s="181" t="n">
        <v>9058931</v>
      </c>
      <c r="P322" s="202" t="n">
        <v>2921</v>
      </c>
      <c r="Q322" s="202" t="n">
        <v>7322</v>
      </c>
      <c r="R322" s="202" t="n">
        <v>4401</v>
      </c>
    </row>
    <row r="323" ht="12.75" customHeight="1" s="186">
      <c r="B323" s="171" t="inlineStr">
        <is>
          <t>PE</t>
        </is>
      </c>
      <c r="C323" s="172" t="n">
        <v>2024</v>
      </c>
      <c r="D323" s="173" t="n">
        <v>29.09</v>
      </c>
      <c r="E323" s="173" t="n">
        <v>10.01</v>
      </c>
      <c r="F323" s="174" t="n">
        <v>22539</v>
      </c>
      <c r="G323" s="175" t="n">
        <v>7.9284</v>
      </c>
      <c r="H323" s="175" t="n">
        <v>6.8617</v>
      </c>
      <c r="I323" s="174" t="n">
        <v>30956</v>
      </c>
      <c r="J323" s="175" t="n">
        <v>10.3403</v>
      </c>
      <c r="K323" s="176" t="n">
        <v>11.1</v>
      </c>
      <c r="L323" s="177" t="n">
        <v>1</v>
      </c>
      <c r="M323" s="177" t="n">
        <v>0</v>
      </c>
      <c r="N323" s="175" t="n">
        <v>91.6996</v>
      </c>
      <c r="O323" s="174" t="n">
        <v>9539029</v>
      </c>
      <c r="P323" s="202" t="n">
        <v>2713</v>
      </c>
      <c r="Q323" s="202" t="n">
        <v>7407</v>
      </c>
      <c r="R323" s="202" t="n">
        <v>4694</v>
      </c>
    </row>
    <row r="324" ht="12.75" customHeight="1" s="186">
      <c r="B324" s="157" t="inlineStr">
        <is>
          <t>PI</t>
        </is>
      </c>
      <c r="C324" s="158" t="n">
        <v>2005</v>
      </c>
      <c r="D324" s="159" t="n">
        <v>5.19</v>
      </c>
      <c r="E324" s="159" t="n">
        <v>0</v>
      </c>
      <c r="F324" s="160" t="n">
        <v>0</v>
      </c>
      <c r="G324" s="161" t="n">
        <v>5.0499</v>
      </c>
      <c r="H324" s="161" t="n"/>
      <c r="I324" s="160" t="n">
        <v>3701</v>
      </c>
      <c r="J324" s="161" t="n">
        <v>8.2164</v>
      </c>
      <c r="K324" s="162" t="n">
        <v>6.83</v>
      </c>
      <c r="L324" s="163" t="n">
        <v>0</v>
      </c>
      <c r="M324" s="163" t="n">
        <v>0</v>
      </c>
      <c r="N324" s="161" t="n">
        <v>43.5926</v>
      </c>
      <c r="O324" s="160" t="n">
        <v>3006885</v>
      </c>
      <c r="P324" s="202" t="n">
        <v>150</v>
      </c>
      <c r="Q324" s="202" t="n">
        <v>1291</v>
      </c>
      <c r="R324" s="202" t="n">
        <v>1141</v>
      </c>
    </row>
    <row r="325" ht="12.75" customHeight="1" s="186">
      <c r="B325" s="164" t="inlineStr">
        <is>
          <t>PI</t>
        </is>
      </c>
      <c r="C325" s="165" t="n">
        <v>2006</v>
      </c>
      <c r="D325" s="166" t="n">
        <v>6.62</v>
      </c>
      <c r="E325" s="166" t="n">
        <v>0.07000000000000001</v>
      </c>
      <c r="F325" s="167" t="n">
        <v>2</v>
      </c>
      <c r="G325" s="168" t="n">
        <v>5.3033</v>
      </c>
      <c r="H325" s="168" t="n">
        <v>0.6931</v>
      </c>
      <c r="I325" s="167" t="n">
        <v>4212</v>
      </c>
      <c r="J325" s="168" t="n">
        <v>8.345700000000001</v>
      </c>
      <c r="K325" s="169" t="n">
        <v>5.25</v>
      </c>
      <c r="L325" s="170" t="n">
        <v>0</v>
      </c>
      <c r="M325" s="170" t="n">
        <v>0</v>
      </c>
      <c r="N325" s="168" t="n">
        <v>43.5926</v>
      </c>
      <c r="O325" s="167" t="n">
        <v>3036290</v>
      </c>
      <c r="P325" s="202" t="n">
        <v>191</v>
      </c>
      <c r="Q325" s="202" t="n">
        <v>1590</v>
      </c>
      <c r="R325" s="202" t="n">
        <v>1399</v>
      </c>
    </row>
    <row r="326" ht="12.75" customHeight="1" s="186">
      <c r="B326" s="157" t="inlineStr">
        <is>
          <t>PI</t>
        </is>
      </c>
      <c r="C326" s="158" t="n">
        <v>2007</v>
      </c>
      <c r="D326" s="159" t="n">
        <v>6.46</v>
      </c>
      <c r="E326" s="159" t="n">
        <v>0.1</v>
      </c>
      <c r="F326" s="160" t="n">
        <v>5</v>
      </c>
      <c r="G326" s="161" t="n">
        <v>5.2781</v>
      </c>
      <c r="H326" s="161" t="n">
        <v>1.0986</v>
      </c>
      <c r="I326" s="160" t="n">
        <v>4662</v>
      </c>
      <c r="J326" s="161" t="n">
        <v>8.4472</v>
      </c>
      <c r="K326" s="162" t="n">
        <v>4.61</v>
      </c>
      <c r="L326" s="163" t="n">
        <v>0</v>
      </c>
      <c r="M326" s="163" t="n">
        <v>0</v>
      </c>
      <c r="N326" s="161" t="n">
        <v>43.5926</v>
      </c>
      <c r="O326" s="160" t="n">
        <v>3032435</v>
      </c>
      <c r="P326" s="202" t="n">
        <v>184</v>
      </c>
      <c r="Q326" s="202" t="n">
        <v>1495</v>
      </c>
      <c r="R326" s="202" t="n">
        <v>1311</v>
      </c>
    </row>
    <row r="327" ht="12.75" customHeight="1" s="186">
      <c r="B327" s="164" t="inlineStr">
        <is>
          <t>PI</t>
        </is>
      </c>
      <c r="C327" s="165" t="n">
        <v>2008</v>
      </c>
      <c r="D327" s="166" t="n">
        <v>5.43</v>
      </c>
      <c r="E327" s="166" t="n">
        <v>0</v>
      </c>
      <c r="F327" s="167" t="n">
        <v>5</v>
      </c>
      <c r="G327" s="168" t="n">
        <v>5.1299</v>
      </c>
      <c r="H327" s="168" t="n"/>
      <c r="I327" s="167" t="n">
        <v>5386</v>
      </c>
      <c r="J327" s="168" t="n">
        <v>8.5916</v>
      </c>
      <c r="K327" s="169" t="n">
        <v>5.01</v>
      </c>
      <c r="L327" s="170" t="n">
        <v>0</v>
      </c>
      <c r="M327" s="170" t="n">
        <v>0</v>
      </c>
      <c r="N327" s="168" t="n">
        <v>43.5926</v>
      </c>
      <c r="O327" s="167" t="n">
        <v>3111881</v>
      </c>
      <c r="P327" s="202" t="n">
        <v>157</v>
      </c>
      <c r="Q327" s="202" t="n">
        <v>1617</v>
      </c>
      <c r="R327" s="202" t="n">
        <v>1460</v>
      </c>
    </row>
    <row r="328" ht="12.75" customHeight="1" s="186">
      <c r="B328" s="157" t="inlineStr">
        <is>
          <t>PI</t>
        </is>
      </c>
      <c r="C328" s="158" t="n">
        <v>2009</v>
      </c>
      <c r="D328" s="159" t="n">
        <v>6.1</v>
      </c>
      <c r="E328" s="159" t="n">
        <v>0.06</v>
      </c>
      <c r="F328" s="160" t="n">
        <v>7</v>
      </c>
      <c r="G328" s="161" t="n">
        <v>5.2575</v>
      </c>
      <c r="H328" s="161" t="n">
        <v>0.6931</v>
      </c>
      <c r="I328" s="160" t="n">
        <v>6051</v>
      </c>
      <c r="J328" s="161" t="n">
        <v>8.708</v>
      </c>
      <c r="K328" s="162" t="n">
        <v>5.21</v>
      </c>
      <c r="L328" s="163" t="n">
        <v>0</v>
      </c>
      <c r="M328" s="163" t="n">
        <v>0</v>
      </c>
      <c r="N328" s="161" t="n">
        <v>43.5926</v>
      </c>
      <c r="O328" s="160" t="n">
        <v>3145325</v>
      </c>
      <c r="P328" s="202" t="n">
        <v>183</v>
      </c>
      <c r="Q328" s="202" t="n">
        <v>1689</v>
      </c>
      <c r="R328" s="202" t="n">
        <v>1506</v>
      </c>
    </row>
    <row r="329" ht="12.75" customHeight="1" s="186">
      <c r="B329" s="164" t="inlineStr">
        <is>
          <t>PI</t>
        </is>
      </c>
      <c r="C329" s="165" t="n">
        <v>2010</v>
      </c>
      <c r="D329" s="166" t="n">
        <v>7.05</v>
      </c>
      <c r="E329" s="166" t="n">
        <v>0.13</v>
      </c>
      <c r="F329" s="167" t="n">
        <v>11</v>
      </c>
      <c r="G329" s="168" t="n">
        <v>5.3936</v>
      </c>
      <c r="H329" s="168" t="n">
        <v>1.3863</v>
      </c>
      <c r="I329" s="167" t="n">
        <v>7141</v>
      </c>
      <c r="J329" s="168" t="n">
        <v>8.8736</v>
      </c>
      <c r="K329" s="169" t="n">
        <v>6.12</v>
      </c>
      <c r="L329" s="170" t="n">
        <v>0</v>
      </c>
      <c r="M329" s="170" t="n">
        <v>0</v>
      </c>
      <c r="N329" s="168" t="n">
        <v>43.5926</v>
      </c>
      <c r="O329" s="167" t="n">
        <v>3118360</v>
      </c>
      <c r="P329" s="202" t="n">
        <v>202</v>
      </c>
      <c r="Q329" s="202" t="n">
        <v>1806</v>
      </c>
      <c r="R329" s="202" t="n">
        <v>1604</v>
      </c>
    </row>
    <row r="330" ht="12.75" customHeight="1" s="186">
      <c r="B330" s="157" t="inlineStr">
        <is>
          <t>PI</t>
        </is>
      </c>
      <c r="C330" s="158" t="n">
        <v>2011</v>
      </c>
      <c r="D330" s="159" t="n">
        <v>8.41</v>
      </c>
      <c r="E330" s="159" t="n">
        <v>0.22</v>
      </c>
      <c r="F330" s="160" t="n">
        <v>18</v>
      </c>
      <c r="G330" s="161" t="n">
        <v>5.5759</v>
      </c>
      <c r="H330" s="161" t="n">
        <v>1.9459</v>
      </c>
      <c r="I330" s="160" t="n">
        <v>8261</v>
      </c>
      <c r="J330" s="161" t="n">
        <v>9.019299999999999</v>
      </c>
      <c r="K330" s="162" t="n">
        <v>7.04</v>
      </c>
      <c r="L330" s="163" t="n">
        <v>0</v>
      </c>
      <c r="M330" s="163" t="n">
        <v>0</v>
      </c>
      <c r="N330" s="161" t="n">
        <v>43.5926</v>
      </c>
      <c r="O330" s="160" t="n">
        <v>3140328</v>
      </c>
      <c r="P330" s="202" t="n">
        <v>250</v>
      </c>
      <c r="Q330" s="202" t="n">
        <v>1909</v>
      </c>
      <c r="R330" s="202" t="n">
        <v>1659</v>
      </c>
    </row>
    <row r="331" ht="12.75" customHeight="1" s="186">
      <c r="B331" s="164" t="inlineStr">
        <is>
          <t>PI</t>
        </is>
      </c>
      <c r="C331" s="165" t="n">
        <v>2012</v>
      </c>
      <c r="D331" s="166" t="n">
        <v>10.16</v>
      </c>
      <c r="E331" s="166" t="n">
        <v>0.19</v>
      </c>
      <c r="F331" s="167" t="n">
        <v>24</v>
      </c>
      <c r="G331" s="168" t="n">
        <v>5.7714</v>
      </c>
      <c r="H331" s="168" t="n">
        <v>1.7918</v>
      </c>
      <c r="I331" s="167" t="n">
        <v>9060</v>
      </c>
      <c r="J331" s="168" t="n">
        <v>9.111599999999999</v>
      </c>
      <c r="K331" s="169" t="n">
        <v>5.62</v>
      </c>
      <c r="L331" s="170" t="n">
        <v>0</v>
      </c>
      <c r="M331" s="170" t="n">
        <v>0</v>
      </c>
      <c r="N331" s="168" t="n">
        <v>43.5926</v>
      </c>
      <c r="O331" s="167" t="n">
        <v>3160748</v>
      </c>
      <c r="P331" s="202" t="n">
        <v>310</v>
      </c>
      <c r="Q331" s="202" t="n">
        <v>2147</v>
      </c>
      <c r="R331" s="202" t="n">
        <v>1837</v>
      </c>
    </row>
    <row r="332" ht="12.75" customHeight="1" s="186">
      <c r="B332" s="157" t="inlineStr">
        <is>
          <t>PI</t>
        </is>
      </c>
      <c r="C332" s="158" t="n">
        <v>2013</v>
      </c>
      <c r="D332" s="159" t="n">
        <v>11.71</v>
      </c>
      <c r="E332" s="159" t="n">
        <v>0.22</v>
      </c>
      <c r="F332" s="160" t="n">
        <v>31</v>
      </c>
      <c r="G332" s="161" t="n">
        <v>5.9216</v>
      </c>
      <c r="H332" s="161" t="n">
        <v>1.9459</v>
      </c>
      <c r="I332" s="160" t="n">
        <v>9825</v>
      </c>
      <c r="J332" s="161" t="n">
        <v>9.1927</v>
      </c>
      <c r="K332" s="162" t="n">
        <v>6.99</v>
      </c>
      <c r="L332" s="163" t="n">
        <v>0</v>
      </c>
      <c r="M332" s="163" t="n">
        <v>0</v>
      </c>
      <c r="N332" s="161" t="n">
        <v>43.5926</v>
      </c>
      <c r="O332" s="160" t="n">
        <v>3184166</v>
      </c>
      <c r="P332" s="202" t="n">
        <v>360</v>
      </c>
      <c r="Q332" s="202" t="n">
        <v>2165</v>
      </c>
      <c r="R332" s="202" t="n">
        <v>1805</v>
      </c>
    </row>
    <row r="333" ht="12.75" customHeight="1" s="186">
      <c r="B333" s="164" t="inlineStr">
        <is>
          <t>PI</t>
        </is>
      </c>
      <c r="C333" s="165" t="n">
        <v>2014</v>
      </c>
      <c r="D333" s="166" t="n">
        <v>14.27</v>
      </c>
      <c r="E333" s="166" t="n">
        <v>0.22</v>
      </c>
      <c r="F333" s="167" t="n">
        <v>38</v>
      </c>
      <c r="G333" s="168" t="n">
        <v>6.1225</v>
      </c>
      <c r="H333" s="168" t="n">
        <v>1.9459</v>
      </c>
      <c r="I333" s="167" t="n">
        <v>11808</v>
      </c>
      <c r="J333" s="168" t="n">
        <v>9.3765</v>
      </c>
      <c r="K333" s="169" t="n">
        <v>6.01</v>
      </c>
      <c r="L333" s="170" t="n">
        <v>0</v>
      </c>
      <c r="M333" s="170" t="n">
        <v>0</v>
      </c>
      <c r="N333" s="168" t="n">
        <v>43.5926</v>
      </c>
      <c r="O333" s="167" t="n">
        <v>3194718</v>
      </c>
      <c r="P333" s="202" t="n">
        <v>453</v>
      </c>
      <c r="Q333" s="202" t="n">
        <v>2405</v>
      </c>
      <c r="R333" s="202" t="n">
        <v>1952</v>
      </c>
    </row>
    <row r="334" ht="12.75" customHeight="1" s="186">
      <c r="B334" s="157" t="inlineStr">
        <is>
          <t>PI</t>
        </is>
      </c>
      <c r="C334" s="158" t="n">
        <v>2015</v>
      </c>
      <c r="D334" s="159" t="n">
        <v>12.67</v>
      </c>
      <c r="E334" s="159" t="n">
        <v>0.25</v>
      </c>
      <c r="F334" s="160" t="n">
        <v>46</v>
      </c>
      <c r="G334" s="161" t="n">
        <v>6.0064</v>
      </c>
      <c r="H334" s="161" t="n">
        <v>2.0794</v>
      </c>
      <c r="I334" s="160" t="n">
        <v>12219</v>
      </c>
      <c r="J334" s="161" t="n">
        <v>9.4107</v>
      </c>
      <c r="K334" s="162" t="n">
        <v>7.7</v>
      </c>
      <c r="L334" s="163" t="n">
        <v>0</v>
      </c>
      <c r="M334" s="163" t="n">
        <v>0</v>
      </c>
      <c r="N334" s="161" t="n">
        <v>43.5926</v>
      </c>
      <c r="O334" s="160" t="n">
        <v>3204028</v>
      </c>
      <c r="P334" s="202" t="n">
        <v>397</v>
      </c>
      <c r="Q334" s="202" t="n">
        <v>2282</v>
      </c>
      <c r="R334" s="202" t="n">
        <v>1885</v>
      </c>
    </row>
    <row r="335" ht="12.75" customHeight="1" s="186">
      <c r="B335" s="171" t="inlineStr">
        <is>
          <t>PI</t>
        </is>
      </c>
      <c r="C335" s="172" t="n">
        <v>2016</v>
      </c>
      <c r="D335" s="173" t="n">
        <v>13.95</v>
      </c>
      <c r="E335" s="173" t="n">
        <v>1.15</v>
      </c>
      <c r="F335" s="174" t="n">
        <v>83</v>
      </c>
      <c r="G335" s="175" t="n">
        <v>6.1048</v>
      </c>
      <c r="H335" s="175" t="n">
        <v>3.6109</v>
      </c>
      <c r="I335" s="174" t="n">
        <v>12894</v>
      </c>
      <c r="J335" s="175" t="n">
        <v>9.464499999999999</v>
      </c>
      <c r="K335" s="176" t="n">
        <v>9.6</v>
      </c>
      <c r="L335" s="177" t="n">
        <v>0</v>
      </c>
      <c r="M335" s="177" t="n">
        <v>0</v>
      </c>
      <c r="N335" s="175" t="n">
        <v>43.5926</v>
      </c>
      <c r="O335" s="174" t="n">
        <v>3212180</v>
      </c>
      <c r="P335" s="202" t="n">
        <v>436</v>
      </c>
      <c r="Q335" s="202" t="n">
        <v>2353</v>
      </c>
      <c r="R335" s="202" t="n">
        <v>1917</v>
      </c>
    </row>
    <row r="336" ht="12.75" customHeight="1" s="186">
      <c r="B336" s="178" t="inlineStr">
        <is>
          <t>PI</t>
        </is>
      </c>
      <c r="C336" s="179" t="n">
        <v>2017</v>
      </c>
      <c r="D336" s="180" t="n">
        <v>11.96</v>
      </c>
      <c r="E336" s="180" t="n">
        <v>3.48</v>
      </c>
      <c r="F336" s="181" t="n">
        <v>195</v>
      </c>
      <c r="G336" s="182" t="n">
        <v>5.9532</v>
      </c>
      <c r="H336" s="182" t="n">
        <v>4.7185</v>
      </c>
      <c r="I336" s="181" t="n">
        <v>14092</v>
      </c>
      <c r="J336" s="182" t="n">
        <v>9.5534</v>
      </c>
      <c r="K336" s="183" t="n">
        <v>13</v>
      </c>
      <c r="L336" s="184" t="n">
        <v>0</v>
      </c>
      <c r="M336" s="184" t="n">
        <v>0</v>
      </c>
      <c r="N336" s="182" t="n">
        <v>43.5926</v>
      </c>
      <c r="O336" s="181" t="n">
        <v>3219257</v>
      </c>
      <c r="P336" s="202" t="n">
        <v>372</v>
      </c>
      <c r="Q336" s="202" t="n">
        <v>2152</v>
      </c>
      <c r="R336" s="202" t="n">
        <v>1780</v>
      </c>
    </row>
    <row r="337" ht="12.75" customHeight="1" s="186">
      <c r="B337" s="171" t="inlineStr">
        <is>
          <t>PI</t>
        </is>
      </c>
      <c r="C337" s="172" t="n">
        <v>2018</v>
      </c>
      <c r="D337" s="173" t="n">
        <v>11.79</v>
      </c>
      <c r="E337" s="173" t="n">
        <v>3.95</v>
      </c>
      <c r="F337" s="174" t="n">
        <v>324</v>
      </c>
      <c r="G337" s="175" t="n">
        <v>5.9532</v>
      </c>
      <c r="H337" s="175" t="n">
        <v>4.8598</v>
      </c>
      <c r="I337" s="174" t="n">
        <v>15432</v>
      </c>
      <c r="J337" s="175" t="n">
        <v>9.6442</v>
      </c>
      <c r="K337" s="176" t="n">
        <v>12.9</v>
      </c>
      <c r="L337" s="177" t="n">
        <v>0</v>
      </c>
      <c r="M337" s="177" t="n">
        <v>0</v>
      </c>
      <c r="N337" s="175" t="n">
        <v>43.5926</v>
      </c>
      <c r="O337" s="174" t="n">
        <v>3264531</v>
      </c>
      <c r="P337" s="202" t="n">
        <v>366</v>
      </c>
      <c r="Q337" s="202" t="n">
        <v>2157</v>
      </c>
      <c r="R337" s="202" t="n">
        <v>1791</v>
      </c>
    </row>
    <row r="338" ht="12.75" customHeight="1" s="186">
      <c r="B338" s="178" t="inlineStr">
        <is>
          <t>PI</t>
        </is>
      </c>
      <c r="C338" s="179" t="n">
        <v>2019</v>
      </c>
      <c r="D338" s="180" t="n">
        <v>10.75</v>
      </c>
      <c r="E338" s="180" t="n">
        <v>8.800000000000001</v>
      </c>
      <c r="F338" s="181" t="n">
        <v>612</v>
      </c>
      <c r="G338" s="182" t="n">
        <v>5.8636</v>
      </c>
      <c r="H338" s="182" t="n">
        <v>5.663</v>
      </c>
      <c r="I338" s="181" t="n">
        <v>16125</v>
      </c>
      <c r="J338" s="182" t="n">
        <v>9.6881</v>
      </c>
      <c r="K338" s="183" t="n">
        <v>13</v>
      </c>
      <c r="L338" s="184" t="n">
        <v>0</v>
      </c>
      <c r="M338" s="184" t="n">
        <v>0</v>
      </c>
      <c r="N338" s="182" t="n">
        <v>43.5926</v>
      </c>
      <c r="O338" s="181" t="n">
        <v>3273227</v>
      </c>
      <c r="P338" s="202" t="n">
        <v>340</v>
      </c>
      <c r="Q338" s="202" t="n">
        <v>2002</v>
      </c>
      <c r="R338" s="202" t="n">
        <v>1662</v>
      </c>
    </row>
    <row r="339" ht="12.75" customHeight="1" s="186">
      <c r="B339" s="171" t="inlineStr">
        <is>
          <t>PI</t>
        </is>
      </c>
      <c r="C339" s="172" t="n">
        <v>2020</v>
      </c>
      <c r="D339" s="173" t="n">
        <v>13.9</v>
      </c>
      <c r="E339" s="173" t="n">
        <v>14.08</v>
      </c>
      <c r="F339" s="174" t="n">
        <v>1074</v>
      </c>
      <c r="G339" s="175" t="n">
        <v>6.1225</v>
      </c>
      <c r="H339" s="175" t="n">
        <v>6.1356</v>
      </c>
      <c r="I339" s="174" t="n">
        <v>17185</v>
      </c>
      <c r="J339" s="175" t="n">
        <v>9.751799999999999</v>
      </c>
      <c r="K339" s="176" t="n">
        <v>13.3</v>
      </c>
      <c r="L339" s="177" t="n">
        <v>0</v>
      </c>
      <c r="M339" s="177" t="n">
        <v>1</v>
      </c>
      <c r="N339" s="175" t="n">
        <v>43.5926</v>
      </c>
      <c r="O339" s="174" t="n">
        <v>3281480</v>
      </c>
      <c r="P339" s="202" t="n">
        <v>426</v>
      </c>
      <c r="Q339" s="202" t="n">
        <v>2174</v>
      </c>
      <c r="R339" s="202" t="n">
        <v>1748</v>
      </c>
    </row>
    <row r="340" ht="12.75" customHeight="1" s="186">
      <c r="B340" s="178" t="inlineStr">
        <is>
          <t>PI</t>
        </is>
      </c>
      <c r="C340" s="179" t="n">
        <v>2021</v>
      </c>
      <c r="D340" s="180" t="n">
        <v>17.21</v>
      </c>
      <c r="E340" s="180" t="n">
        <v>36.76</v>
      </c>
      <c r="F340" s="181" t="n">
        <v>2283</v>
      </c>
      <c r="G340" s="182" t="n">
        <v>6.3386</v>
      </c>
      <c r="H340" s="182" t="n">
        <v>7.0975</v>
      </c>
      <c r="I340" s="181" t="n">
        <v>19466</v>
      </c>
      <c r="J340" s="182" t="n">
        <v>9.8764</v>
      </c>
      <c r="K340" s="183" t="n">
        <v>13.6</v>
      </c>
      <c r="L340" s="184" t="n">
        <v>0</v>
      </c>
      <c r="M340" s="184" t="n">
        <v>1</v>
      </c>
      <c r="N340" s="182" t="n">
        <v>43.5926</v>
      </c>
      <c r="O340" s="181" t="n">
        <v>3289290</v>
      </c>
      <c r="P340" s="202" t="n">
        <v>545</v>
      </c>
      <c r="Q340" s="202" t="n">
        <v>2337</v>
      </c>
      <c r="R340" s="202" t="n">
        <v>1792</v>
      </c>
    </row>
    <row r="341" ht="12.75" customHeight="1" s="186">
      <c r="B341" s="171" t="inlineStr">
        <is>
          <t>PI</t>
        </is>
      </c>
      <c r="C341" s="172" t="n">
        <v>2022</v>
      </c>
      <c r="D341" s="173" t="n">
        <v>18.56</v>
      </c>
      <c r="E341" s="173" t="n">
        <v>43.59</v>
      </c>
      <c r="F341" s="174" t="n">
        <v>3709</v>
      </c>
      <c r="G341" s="175" t="n">
        <v>6.4085</v>
      </c>
      <c r="H341" s="175" t="n">
        <v>7.2626</v>
      </c>
      <c r="I341" s="174" t="n">
        <v>22265</v>
      </c>
      <c r="J341" s="175" t="n">
        <v>10.0108</v>
      </c>
      <c r="K341" s="176" t="n">
        <v>10.2</v>
      </c>
      <c r="L341" s="177" t="n">
        <v>0</v>
      </c>
      <c r="M341" s="177" t="n">
        <v>0</v>
      </c>
      <c r="N341" s="175" t="n">
        <v>43.5926</v>
      </c>
      <c r="O341" s="174" t="n">
        <v>3271199</v>
      </c>
      <c r="P341" s="202" t="n">
        <v>599</v>
      </c>
      <c r="Q341" s="202" t="n">
        <v>2302</v>
      </c>
      <c r="R341" s="202" t="n">
        <v>1703</v>
      </c>
    </row>
    <row r="342" ht="12.75" customHeight="1" s="186">
      <c r="B342" s="178" t="inlineStr">
        <is>
          <t>PI</t>
        </is>
      </c>
      <c r="C342" s="179" t="n">
        <v>2023</v>
      </c>
      <c r="D342" s="180" t="n">
        <v>15.99</v>
      </c>
      <c r="E342" s="180" t="n">
        <v>0</v>
      </c>
      <c r="F342" s="181" t="n">
        <v>3709</v>
      </c>
      <c r="G342" s="182" t="n">
        <v>6.2596</v>
      </c>
      <c r="H342" s="182" t="n"/>
      <c r="I342" s="181" t="n">
        <v>24736</v>
      </c>
      <c r="J342" s="182" t="n">
        <v>10.116</v>
      </c>
      <c r="K342" s="183" t="n">
        <v>10.3</v>
      </c>
      <c r="L342" s="184" t="n">
        <v>1</v>
      </c>
      <c r="M342" s="184" t="n">
        <v>0</v>
      </c>
      <c r="N342" s="182" t="n">
        <v>43.5926</v>
      </c>
      <c r="O342" s="181" t="n">
        <v>3271199</v>
      </c>
      <c r="P342" s="202" t="n">
        <v>491</v>
      </c>
      <c r="Q342" s="202" t="n">
        <v>2409</v>
      </c>
      <c r="R342" s="202" t="n">
        <v>1918</v>
      </c>
    </row>
    <row r="343" ht="12.75" customHeight="1" s="186">
      <c r="B343" s="171" t="inlineStr">
        <is>
          <t>PI</t>
        </is>
      </c>
      <c r="C343" s="172" t="n">
        <v>2024</v>
      </c>
      <c r="D343" s="173" t="n">
        <v>14.31</v>
      </c>
      <c r="E343" s="173" t="n">
        <v>8.06</v>
      </c>
      <c r="F343" s="174" t="n">
        <v>3981</v>
      </c>
      <c r="G343" s="175" t="n">
        <v>6.18</v>
      </c>
      <c r="H343" s="175" t="n">
        <v>5.6058</v>
      </c>
      <c r="I343" s="174" t="n">
        <v>26337</v>
      </c>
      <c r="J343" s="175" t="n">
        <v>10.1787</v>
      </c>
      <c r="K343" s="176" t="n">
        <v>8.5</v>
      </c>
      <c r="L343" s="177" t="n">
        <v>1</v>
      </c>
      <c r="M343" s="177" t="n">
        <v>0</v>
      </c>
      <c r="N343" s="175" t="n">
        <v>43.5926</v>
      </c>
      <c r="O343" s="174" t="n">
        <v>3375646</v>
      </c>
      <c r="P343" s="202" t="n">
        <v>482</v>
      </c>
      <c r="Q343" s="202" t="n">
        <v>2552</v>
      </c>
      <c r="R343" s="202" t="n">
        <v>2070</v>
      </c>
    </row>
    <row r="344" ht="12.75" customHeight="1" s="186">
      <c r="B344" s="157" t="inlineStr">
        <is>
          <t>PR</t>
        </is>
      </c>
      <c r="C344" s="158" t="n">
        <v>2005</v>
      </c>
      <c r="D344" s="159" t="n">
        <v>19.89</v>
      </c>
      <c r="E344" s="159" t="n">
        <v>0.79</v>
      </c>
      <c r="F344" s="160" t="n">
        <v>81</v>
      </c>
      <c r="G344" s="161" t="n">
        <v>7.6212</v>
      </c>
      <c r="H344" s="161" t="n">
        <v>4.3944</v>
      </c>
      <c r="I344" s="160" t="n">
        <v>12344</v>
      </c>
      <c r="J344" s="161" t="n">
        <v>9.4209</v>
      </c>
      <c r="K344" s="162" t="n">
        <v>7.5</v>
      </c>
      <c r="L344" s="163" t="n">
        <v>0</v>
      </c>
      <c r="M344" s="163" t="n">
        <v>0</v>
      </c>
      <c r="N344" s="161" t="n">
        <v>339.4679</v>
      </c>
      <c r="O344" s="160" t="n">
        <v>10261856</v>
      </c>
      <c r="P344" s="202" t="n">
        <v>1981</v>
      </c>
      <c r="Q344" s="202" t="n">
        <v>7568</v>
      </c>
      <c r="R344" s="202" t="n">
        <v>5587</v>
      </c>
    </row>
    <row r="345" ht="12.75" customHeight="1" s="186">
      <c r="B345" s="164" t="inlineStr">
        <is>
          <t>PR</t>
        </is>
      </c>
      <c r="C345" s="165" t="n">
        <v>2006</v>
      </c>
      <c r="D345" s="166" t="n">
        <v>21.51</v>
      </c>
      <c r="E345" s="166" t="n">
        <v>0.71</v>
      </c>
      <c r="F345" s="167" t="n">
        <v>155</v>
      </c>
      <c r="G345" s="168" t="n">
        <v>7.7115</v>
      </c>
      <c r="H345" s="168" t="n">
        <v>4.3041</v>
      </c>
      <c r="I345" s="167" t="n">
        <v>13152</v>
      </c>
      <c r="J345" s="168" t="n">
        <v>9.484299999999999</v>
      </c>
      <c r="K345" s="169" t="n">
        <v>7.36</v>
      </c>
      <c r="L345" s="170" t="n">
        <v>0</v>
      </c>
      <c r="M345" s="170" t="n">
        <v>0</v>
      </c>
      <c r="N345" s="168" t="n">
        <v>339.4679</v>
      </c>
      <c r="O345" s="167" t="n">
        <v>10387378</v>
      </c>
      <c r="P345" s="202" t="n">
        <v>2191</v>
      </c>
      <c r="Q345" s="202" t="n">
        <v>7661</v>
      </c>
      <c r="R345" s="202" t="n">
        <v>5470</v>
      </c>
    </row>
    <row r="346" ht="12.75" customHeight="1" s="186">
      <c r="B346" s="157" t="inlineStr">
        <is>
          <t>PR</t>
        </is>
      </c>
      <c r="C346" s="158" t="n">
        <v>2007</v>
      </c>
      <c r="D346" s="159" t="n">
        <v>22.33</v>
      </c>
      <c r="E346" s="159" t="n">
        <v>0.6</v>
      </c>
      <c r="F346" s="160" t="n">
        <v>217</v>
      </c>
      <c r="G346" s="161" t="n">
        <v>7.7394</v>
      </c>
      <c r="H346" s="161" t="n">
        <v>4.1271</v>
      </c>
      <c r="I346" s="160" t="n">
        <v>15711</v>
      </c>
      <c r="J346" s="161" t="n">
        <v>9.662100000000001</v>
      </c>
      <c r="K346" s="162" t="n">
        <v>6.22</v>
      </c>
      <c r="L346" s="163" t="n">
        <v>0</v>
      </c>
      <c r="M346" s="163" t="n">
        <v>0</v>
      </c>
      <c r="N346" s="161" t="n">
        <v>339.4679</v>
      </c>
      <c r="O346" s="160" t="n">
        <v>10284503</v>
      </c>
      <c r="P346" s="202" t="n">
        <v>2232</v>
      </c>
      <c r="Q346" s="202" t="n">
        <v>7876</v>
      </c>
      <c r="R346" s="202" t="n">
        <v>5644</v>
      </c>
    </row>
    <row r="347" ht="12.75" customHeight="1" s="186">
      <c r="B347" s="164" t="inlineStr">
        <is>
          <t>PR</t>
        </is>
      </c>
      <c r="C347" s="165" t="n">
        <v>2008</v>
      </c>
      <c r="D347" s="166" t="n">
        <v>24.18</v>
      </c>
      <c r="E347" s="166" t="n">
        <v>1.65</v>
      </c>
      <c r="F347" s="167" t="n">
        <v>392</v>
      </c>
      <c r="G347" s="168" t="n">
        <v>7.8482</v>
      </c>
      <c r="H347" s="168" t="n">
        <v>5.1648</v>
      </c>
      <c r="I347" s="167" t="n">
        <v>16927</v>
      </c>
      <c r="J347" s="168" t="n">
        <v>9.736700000000001</v>
      </c>
      <c r="K347" s="169" t="n">
        <v>5</v>
      </c>
      <c r="L347" s="170" t="n">
        <v>0</v>
      </c>
      <c r="M347" s="170" t="n">
        <v>0</v>
      </c>
      <c r="N347" s="168" t="n">
        <v>339.4679</v>
      </c>
      <c r="O347" s="167" t="n">
        <v>10590171</v>
      </c>
      <c r="P347" s="202" t="n">
        <v>2481</v>
      </c>
      <c r="Q347" s="202" t="n">
        <v>8146</v>
      </c>
      <c r="R347" s="202" t="n">
        <v>5665</v>
      </c>
    </row>
    <row r="348" ht="12.75" customHeight="1" s="186">
      <c r="B348" s="157" t="inlineStr">
        <is>
          <t>PR</t>
        </is>
      </c>
      <c r="C348" s="158" t="n">
        <v>2009</v>
      </c>
      <c r="D348" s="159" t="n">
        <v>25.14</v>
      </c>
      <c r="E348" s="159" t="n">
        <v>1.8</v>
      </c>
      <c r="F348" s="160" t="n">
        <v>584</v>
      </c>
      <c r="G348" s="161" t="n">
        <v>7.8958</v>
      </c>
      <c r="H348" s="161" t="n">
        <v>5.2575</v>
      </c>
      <c r="I348" s="160" t="n">
        <v>17779</v>
      </c>
      <c r="J348" s="161" t="n">
        <v>9.7858</v>
      </c>
      <c r="K348" s="162" t="n">
        <v>6.8</v>
      </c>
      <c r="L348" s="163" t="n">
        <v>0</v>
      </c>
      <c r="M348" s="163" t="n">
        <v>0</v>
      </c>
      <c r="N348" s="161" t="n">
        <v>339.4679</v>
      </c>
      <c r="O348" s="160" t="n">
        <v>10686247</v>
      </c>
      <c r="P348" s="202" t="n">
        <v>2601</v>
      </c>
      <c r="Q348" s="202" t="n">
        <v>8350</v>
      </c>
      <c r="R348" s="202" t="n">
        <v>5749</v>
      </c>
    </row>
    <row r="349" ht="12.75" customHeight="1" s="186">
      <c r="B349" s="164" t="inlineStr">
        <is>
          <t>PR</t>
        </is>
      </c>
      <c r="C349" s="165" t="n">
        <v>2010</v>
      </c>
      <c r="D349" s="166" t="n">
        <v>25.35</v>
      </c>
      <c r="E349" s="166" t="n">
        <v>2.03</v>
      </c>
      <c r="F349" s="167" t="n">
        <v>796</v>
      </c>
      <c r="G349" s="168" t="n">
        <v>7.8816</v>
      </c>
      <c r="H349" s="168" t="n">
        <v>5.3566</v>
      </c>
      <c r="I349" s="167" t="n">
        <v>21562</v>
      </c>
      <c r="J349" s="168" t="n">
        <v>9.9787</v>
      </c>
      <c r="K349" s="169" t="n">
        <v>5.89</v>
      </c>
      <c r="L349" s="170" t="n">
        <v>0</v>
      </c>
      <c r="M349" s="170" t="n">
        <v>0</v>
      </c>
      <c r="N349" s="168" t="n">
        <v>339.4679</v>
      </c>
      <c r="O349" s="167" t="n">
        <v>10444526</v>
      </c>
      <c r="P349" s="202" t="n">
        <v>2571</v>
      </c>
      <c r="Q349" s="202" t="n">
        <v>8453</v>
      </c>
      <c r="R349" s="202" t="n">
        <v>5882</v>
      </c>
    </row>
    <row r="350" ht="12.75" customHeight="1" s="186">
      <c r="B350" s="157" t="inlineStr">
        <is>
          <t>PR</t>
        </is>
      </c>
      <c r="C350" s="158" t="n">
        <v>2011</v>
      </c>
      <c r="D350" s="159" t="n">
        <v>22.64</v>
      </c>
      <c r="E350" s="159" t="n">
        <v>2.23</v>
      </c>
      <c r="F350" s="160" t="n">
        <v>1030</v>
      </c>
      <c r="G350" s="161" t="n">
        <v>7.7749</v>
      </c>
      <c r="H350" s="161" t="n">
        <v>5.4553</v>
      </c>
      <c r="I350" s="160" t="n">
        <v>24459</v>
      </c>
      <c r="J350" s="161" t="n">
        <v>10.1048</v>
      </c>
      <c r="K350" s="162" t="n">
        <v>4.99</v>
      </c>
      <c r="L350" s="163" t="n">
        <v>0</v>
      </c>
      <c r="M350" s="163" t="n">
        <v>0</v>
      </c>
      <c r="N350" s="161" t="n">
        <v>339.4679</v>
      </c>
      <c r="O350" s="160" t="n">
        <v>10512349</v>
      </c>
      <c r="P350" s="202" t="n">
        <v>2302</v>
      </c>
      <c r="Q350" s="202" t="n">
        <v>8279</v>
      </c>
      <c r="R350" s="202" t="n">
        <v>5977</v>
      </c>
    </row>
    <row r="351" ht="12.75" customHeight="1" s="186">
      <c r="B351" s="164" t="inlineStr">
        <is>
          <t>PR</t>
        </is>
      </c>
      <c r="C351" s="165" t="n">
        <v>2012</v>
      </c>
      <c r="D351" s="166" t="n">
        <v>23.08</v>
      </c>
      <c r="E351" s="166" t="n">
        <v>1.48</v>
      </c>
      <c r="F351" s="167" t="n">
        <v>1187</v>
      </c>
      <c r="G351" s="168" t="n">
        <v>7.8002</v>
      </c>
      <c r="H351" s="168" t="n">
        <v>5.0562</v>
      </c>
      <c r="I351" s="167" t="n">
        <v>27002</v>
      </c>
      <c r="J351" s="168" t="n">
        <v>10.2037</v>
      </c>
      <c r="K351" s="169" t="n">
        <v>4.88</v>
      </c>
      <c r="L351" s="170" t="n">
        <v>0</v>
      </c>
      <c r="M351" s="170" t="n">
        <v>0</v>
      </c>
      <c r="N351" s="168" t="n">
        <v>339.4679</v>
      </c>
      <c r="O351" s="167" t="n">
        <v>10577755</v>
      </c>
      <c r="P351" s="202" t="n">
        <v>2377</v>
      </c>
      <c r="Q351" s="202" t="n">
        <v>8797</v>
      </c>
      <c r="R351" s="202" t="n">
        <v>6420</v>
      </c>
    </row>
    <row r="352" ht="12.75" customHeight="1" s="186">
      <c r="B352" s="157" t="inlineStr">
        <is>
          <t>PR</t>
        </is>
      </c>
      <c r="C352" s="158" t="n">
        <v>2013</v>
      </c>
      <c r="D352" s="159" t="n">
        <v>18.57</v>
      </c>
      <c r="E352" s="159" t="n">
        <v>0.73</v>
      </c>
      <c r="F352" s="160" t="n">
        <v>1267</v>
      </c>
      <c r="G352" s="161" t="n">
        <v>7.6217</v>
      </c>
      <c r="H352" s="161" t="n">
        <v>4.382</v>
      </c>
      <c r="I352" s="160" t="n">
        <v>30323</v>
      </c>
      <c r="J352" s="161" t="n">
        <v>10.3197</v>
      </c>
      <c r="K352" s="162" t="n">
        <v>4.51</v>
      </c>
      <c r="L352" s="163" t="n">
        <v>0</v>
      </c>
      <c r="M352" s="163" t="n">
        <v>0</v>
      </c>
      <c r="N352" s="161" t="n">
        <v>339.4679</v>
      </c>
      <c r="O352" s="160" t="n">
        <v>10997465</v>
      </c>
      <c r="P352" s="202" t="n">
        <v>1981</v>
      </c>
      <c r="Q352" s="202" t="n">
        <v>7847</v>
      </c>
      <c r="R352" s="202" t="n">
        <v>5866</v>
      </c>
    </row>
    <row r="353" ht="12.75" customHeight="1" s="186">
      <c r="B353" s="164" t="inlineStr">
        <is>
          <t>PR</t>
        </is>
      </c>
      <c r="C353" s="165" t="n">
        <v>2014</v>
      </c>
      <c r="D353" s="166" t="n">
        <v>18.8</v>
      </c>
      <c r="E353" s="166" t="n">
        <v>0.55</v>
      </c>
      <c r="F353" s="167" t="n">
        <v>1328</v>
      </c>
      <c r="G353" s="168" t="n">
        <v>7.6416</v>
      </c>
      <c r="H353" s="168" t="n">
        <v>4.1109</v>
      </c>
      <c r="I353" s="167" t="n">
        <v>31411</v>
      </c>
      <c r="J353" s="168" t="n">
        <v>10.3549</v>
      </c>
      <c r="K353" s="169" t="n">
        <v>4.62</v>
      </c>
      <c r="L353" s="170" t="n">
        <v>0</v>
      </c>
      <c r="M353" s="170" t="n">
        <v>0</v>
      </c>
      <c r="N353" s="168" t="n">
        <v>339.4679</v>
      </c>
      <c r="O353" s="167" t="n">
        <v>11081692</v>
      </c>
      <c r="P353" s="202" t="n">
        <v>2043</v>
      </c>
      <c r="Q353" s="202" t="n">
        <v>7765</v>
      </c>
      <c r="R353" s="202" t="n">
        <v>5722</v>
      </c>
    </row>
    <row r="354" ht="12.75" customHeight="1" s="186">
      <c r="B354" s="157" t="inlineStr">
        <is>
          <t>PR</t>
        </is>
      </c>
      <c r="C354" s="158" t="n">
        <v>2015</v>
      </c>
      <c r="D354" s="159" t="n">
        <v>17.75</v>
      </c>
      <c r="E354" s="159" t="n">
        <v>1.11</v>
      </c>
      <c r="F354" s="160" t="n">
        <v>1452</v>
      </c>
      <c r="G354" s="161" t="n">
        <v>7.5914</v>
      </c>
      <c r="H354" s="161" t="n">
        <v>4.8203</v>
      </c>
      <c r="I354" s="160" t="n">
        <v>33769</v>
      </c>
      <c r="J354" s="161" t="n">
        <v>10.4273</v>
      </c>
      <c r="K354" s="162" t="n">
        <v>5.9</v>
      </c>
      <c r="L354" s="163" t="n">
        <v>0</v>
      </c>
      <c r="M354" s="163" t="n">
        <v>0</v>
      </c>
      <c r="N354" s="161" t="n">
        <v>339.4679</v>
      </c>
      <c r="O354" s="160" t="n">
        <v>11163018</v>
      </c>
      <c r="P354" s="202" t="n">
        <v>1937</v>
      </c>
      <c r="Q354" s="202" t="n">
        <v>7511</v>
      </c>
      <c r="R354" s="202" t="n">
        <v>5574</v>
      </c>
    </row>
    <row r="355" ht="12.75" customHeight="1" s="186">
      <c r="B355" s="171" t="inlineStr">
        <is>
          <t>PR</t>
        </is>
      </c>
      <c r="C355" s="172" t="n">
        <v>2016</v>
      </c>
      <c r="D355" s="173" t="n">
        <v>18.95</v>
      </c>
      <c r="E355" s="173" t="n">
        <v>3.43</v>
      </c>
      <c r="F355" s="174" t="n">
        <v>1838</v>
      </c>
      <c r="G355" s="175" t="n">
        <v>7.6643</v>
      </c>
      <c r="H355" s="175" t="n">
        <v>5.9558</v>
      </c>
      <c r="I355" s="174" t="n">
        <v>35740</v>
      </c>
      <c r="J355" s="175" t="n">
        <v>10.484</v>
      </c>
      <c r="K355" s="176" t="n">
        <v>8.300000000000001</v>
      </c>
      <c r="L355" s="177" t="n">
        <v>0</v>
      </c>
      <c r="M355" s="177" t="n">
        <v>0</v>
      </c>
      <c r="N355" s="175" t="n">
        <v>339.4679</v>
      </c>
      <c r="O355" s="174" t="n">
        <v>11242720</v>
      </c>
      <c r="P355" s="202" t="n">
        <v>2102</v>
      </c>
      <c r="Q355" s="202" t="n">
        <v>7735</v>
      </c>
      <c r="R355" s="202" t="n">
        <v>5633</v>
      </c>
    </row>
    <row r="356" ht="12.75" customHeight="1" s="186">
      <c r="B356" s="178" t="inlineStr">
        <is>
          <t>PR</t>
        </is>
      </c>
      <c r="C356" s="179" t="n">
        <v>2017</v>
      </c>
      <c r="D356" s="180" t="n">
        <v>16.23</v>
      </c>
      <c r="E356" s="180" t="n">
        <v>4.58</v>
      </c>
      <c r="F356" s="181" t="n">
        <v>2356</v>
      </c>
      <c r="G356" s="182" t="n">
        <v>7.5159</v>
      </c>
      <c r="H356" s="182" t="n">
        <v>6.25</v>
      </c>
      <c r="I356" s="181" t="n">
        <v>37232</v>
      </c>
      <c r="J356" s="182" t="n">
        <v>10.5249</v>
      </c>
      <c r="K356" s="183" t="n">
        <v>9</v>
      </c>
      <c r="L356" s="184" t="n">
        <v>0</v>
      </c>
      <c r="M356" s="184" t="n">
        <v>0</v>
      </c>
      <c r="N356" s="182" t="n">
        <v>339.4679</v>
      </c>
      <c r="O356" s="181" t="n">
        <v>11320892</v>
      </c>
      <c r="P356" s="202" t="n">
        <v>1809</v>
      </c>
      <c r="Q356" s="202" t="n">
        <v>7266</v>
      </c>
      <c r="R356" s="202" t="n">
        <v>5457</v>
      </c>
    </row>
    <row r="357" ht="12.75" customHeight="1" s="186">
      <c r="B357" s="171" t="inlineStr">
        <is>
          <t>PR</t>
        </is>
      </c>
      <c r="C357" s="172" t="n">
        <v>2018</v>
      </c>
      <c r="D357" s="173" t="n">
        <v>13.45</v>
      </c>
      <c r="E357" s="173" t="n">
        <v>10.91</v>
      </c>
      <c r="F357" s="174" t="n">
        <v>3594</v>
      </c>
      <c r="G357" s="175" t="n">
        <v>7.3304</v>
      </c>
      <c r="H357" s="175" t="n">
        <v>7.1213</v>
      </c>
      <c r="I357" s="174" t="n">
        <v>38773</v>
      </c>
      <c r="J357" s="175" t="n">
        <v>10.5655</v>
      </c>
      <c r="K357" s="176" t="n">
        <v>8.800000000000001</v>
      </c>
      <c r="L357" s="177" t="n">
        <v>0</v>
      </c>
      <c r="M357" s="177" t="n">
        <v>0</v>
      </c>
      <c r="N357" s="175" t="n">
        <v>339.4679</v>
      </c>
      <c r="O357" s="174" t="n">
        <v>11348937</v>
      </c>
      <c r="P357" s="202" t="n">
        <v>1495</v>
      </c>
      <c r="Q357" s="202" t="n">
        <v>7052</v>
      </c>
      <c r="R357" s="202" t="n">
        <v>5557</v>
      </c>
    </row>
    <row r="358" ht="12.75" customHeight="1" s="186">
      <c r="B358" s="178" t="inlineStr">
        <is>
          <t>PR</t>
        </is>
      </c>
      <c r="C358" s="179" t="n">
        <v>2019</v>
      </c>
      <c r="D358" s="180" t="n">
        <v>10.34</v>
      </c>
      <c r="E358" s="180" t="n">
        <v>64.2</v>
      </c>
      <c r="F358" s="181" t="n">
        <v>10935</v>
      </c>
      <c r="G358" s="182" t="n">
        <v>7.075</v>
      </c>
      <c r="H358" s="182" t="n">
        <v>8.901199999999999</v>
      </c>
      <c r="I358" s="181" t="n">
        <v>40789</v>
      </c>
      <c r="J358" s="182" t="n">
        <v>10.6162</v>
      </c>
      <c r="K358" s="183" t="n">
        <v>8.699999999999999</v>
      </c>
      <c r="L358" s="184" t="n">
        <v>0</v>
      </c>
      <c r="M358" s="184" t="n">
        <v>0</v>
      </c>
      <c r="N358" s="182" t="n">
        <v>339.4679</v>
      </c>
      <c r="O358" s="181" t="n">
        <v>11433957</v>
      </c>
      <c r="P358" s="202" t="n">
        <v>1168</v>
      </c>
      <c r="Q358" s="202" t="n">
        <v>6859</v>
      </c>
      <c r="R358" s="202" t="n">
        <v>5691</v>
      </c>
    </row>
    <row r="359" ht="12.75" customHeight="1" s="186">
      <c r="B359" s="171" t="inlineStr">
        <is>
          <t>PR</t>
        </is>
      </c>
      <c r="C359" s="172" t="n">
        <v>2020</v>
      </c>
      <c r="D359" s="173" t="n">
        <v>12.22</v>
      </c>
      <c r="E359" s="173" t="n">
        <v>150.15</v>
      </c>
      <c r="F359" s="174" t="n">
        <v>28227</v>
      </c>
      <c r="G359" s="175" t="n">
        <v>7.2492</v>
      </c>
      <c r="H359" s="175" t="n">
        <v>9.757999999999999</v>
      </c>
      <c r="I359" s="174" t="n">
        <v>42367</v>
      </c>
      <c r="J359" s="175" t="n">
        <v>10.6541</v>
      </c>
      <c r="K359" s="176" t="n">
        <v>9.6</v>
      </c>
      <c r="L359" s="177" t="n">
        <v>0</v>
      </c>
      <c r="M359" s="177" t="n">
        <v>1</v>
      </c>
      <c r="N359" s="175" t="n">
        <v>339.4679</v>
      </c>
      <c r="O359" s="174" t="n">
        <v>11516840</v>
      </c>
      <c r="P359" s="202" t="n">
        <v>1403</v>
      </c>
      <c r="Q359" s="202" t="n">
        <v>7233</v>
      </c>
      <c r="R359" s="202" t="n">
        <v>5830</v>
      </c>
    </row>
    <row r="360" ht="12.75" customHeight="1" s="186">
      <c r="B360" s="178" t="inlineStr">
        <is>
          <t>PR</t>
        </is>
      </c>
      <c r="C360" s="179" t="n">
        <v>2021</v>
      </c>
      <c r="D360" s="180" t="n">
        <v>11.87</v>
      </c>
      <c r="E360" s="180" t="n">
        <v>131.36</v>
      </c>
      <c r="F360" s="181" t="n">
        <v>43462</v>
      </c>
      <c r="G360" s="182" t="n">
        <v>7.2277</v>
      </c>
      <c r="H360" s="182" t="n">
        <v>9.631399999999999</v>
      </c>
      <c r="I360" s="181" t="n">
        <v>47422</v>
      </c>
      <c r="J360" s="182" t="n">
        <v>10.7668</v>
      </c>
      <c r="K360" s="183" t="n">
        <v>8.4</v>
      </c>
      <c r="L360" s="184" t="n">
        <v>0</v>
      </c>
      <c r="M360" s="184" t="n">
        <v>1</v>
      </c>
      <c r="N360" s="182" t="n">
        <v>339.4679</v>
      </c>
      <c r="O360" s="181" t="n">
        <v>11597484</v>
      </c>
      <c r="P360" s="202" t="n">
        <v>1363</v>
      </c>
      <c r="Q360" s="202" t="n">
        <v>7612</v>
      </c>
      <c r="R360" s="202" t="n">
        <v>6249</v>
      </c>
    </row>
    <row r="361" ht="12.75" customHeight="1" s="186">
      <c r="B361" s="171" t="inlineStr">
        <is>
          <t>PR</t>
        </is>
      </c>
      <c r="C361" s="172" t="n">
        <v>2022</v>
      </c>
      <c r="D361" s="173" t="n">
        <v>13.12</v>
      </c>
      <c r="E361" s="173" t="n">
        <v>339.47</v>
      </c>
      <c r="F361" s="174" t="n">
        <v>82312</v>
      </c>
      <c r="G361" s="175" t="n">
        <v>7.3139</v>
      </c>
      <c r="H361" s="175" t="n">
        <v>10.5675</v>
      </c>
      <c r="I361" s="174" t="n">
        <v>53704</v>
      </c>
      <c r="J361" s="175" t="n">
        <v>10.8912</v>
      </c>
      <c r="K361" s="176" t="n">
        <v>5.8</v>
      </c>
      <c r="L361" s="177" t="n">
        <v>0</v>
      </c>
      <c r="M361" s="177" t="n">
        <v>0</v>
      </c>
      <c r="N361" s="175" t="n">
        <v>339.4679</v>
      </c>
      <c r="O361" s="174" t="n">
        <v>11444380</v>
      </c>
      <c r="P361" s="202" t="n">
        <v>1480</v>
      </c>
      <c r="Q361" s="202" t="n">
        <v>8045</v>
      </c>
      <c r="R361" s="202" t="n">
        <v>6565</v>
      </c>
    </row>
    <row r="362" ht="12.75" customHeight="1" s="186">
      <c r="B362" s="178" t="inlineStr">
        <is>
          <t>PR</t>
        </is>
      </c>
      <c r="C362" s="179" t="n">
        <v>2023</v>
      </c>
      <c r="D362" s="180" t="n">
        <v>10.94</v>
      </c>
      <c r="E362" s="180" t="n">
        <v>0.76</v>
      </c>
      <c r="F362" s="181" t="n">
        <v>82399</v>
      </c>
      <c r="G362" s="182" t="n">
        <v>7.1325</v>
      </c>
      <c r="H362" s="182" t="n">
        <v>4.4659</v>
      </c>
      <c r="I362" s="181" t="n">
        <v>58624</v>
      </c>
      <c r="J362" s="182" t="n">
        <v>10.9789</v>
      </c>
      <c r="K362" s="183" t="n">
        <v>4.9</v>
      </c>
      <c r="L362" s="184" t="n">
        <v>1</v>
      </c>
      <c r="M362" s="184" t="n">
        <v>0</v>
      </c>
      <c r="N362" s="182" t="n">
        <v>339.4679</v>
      </c>
      <c r="O362" s="181" t="n">
        <v>11444380</v>
      </c>
      <c r="P362" s="202" t="n">
        <v>1254</v>
      </c>
      <c r="Q362" s="202" t="n">
        <v>7609</v>
      </c>
      <c r="R362" s="202" t="n">
        <v>6355</v>
      </c>
    </row>
    <row r="363" ht="12.75" customHeight="1" s="186">
      <c r="B363" s="171" t="inlineStr">
        <is>
          <t>PR</t>
        </is>
      </c>
      <c r="C363" s="172" t="n">
        <v>2024</v>
      </c>
      <c r="D363" s="173" t="n">
        <v>9.26</v>
      </c>
      <c r="E363" s="173" t="n">
        <v>45.04</v>
      </c>
      <c r="F363" s="174" t="n">
        <v>87725</v>
      </c>
      <c r="G363" s="175" t="n">
        <v>6.9985</v>
      </c>
      <c r="H363" s="175" t="n">
        <v>8.580399999999999</v>
      </c>
      <c r="I363" s="174" t="n">
        <v>61827</v>
      </c>
      <c r="J363" s="175" t="n">
        <v>11.0321</v>
      </c>
      <c r="K363" s="176" t="n">
        <v>4</v>
      </c>
      <c r="L363" s="177" t="n">
        <v>1</v>
      </c>
      <c r="M363" s="177" t="n">
        <v>0</v>
      </c>
      <c r="N363" s="175" t="n">
        <v>339.4679</v>
      </c>
      <c r="O363" s="174" t="n">
        <v>11824665</v>
      </c>
      <c r="P363" s="202" t="n">
        <v>1079</v>
      </c>
      <c r="Q363" s="202" t="n">
        <v>7884</v>
      </c>
      <c r="R363" s="202" t="n">
        <v>6805</v>
      </c>
    </row>
    <row r="364" ht="12.75" customHeight="1" s="186">
      <c r="B364" s="157" t="inlineStr">
        <is>
          <t>RJ</t>
        </is>
      </c>
      <c r="C364" s="158" t="n">
        <v>2005</v>
      </c>
      <c r="D364" s="159" t="n">
        <v>38.92</v>
      </c>
      <c r="E364" s="159" t="n">
        <v>0.88</v>
      </c>
      <c r="F364" s="160" t="n">
        <v>135</v>
      </c>
      <c r="G364" s="161" t="n">
        <v>8.6973</v>
      </c>
      <c r="H364" s="161" t="n">
        <v>4.9053</v>
      </c>
      <c r="I364" s="160" t="n">
        <v>16057</v>
      </c>
      <c r="J364" s="161" t="n">
        <v>9.6839</v>
      </c>
      <c r="K364" s="162" t="n">
        <v>12.86</v>
      </c>
      <c r="L364" s="163" t="n">
        <v>0</v>
      </c>
      <c r="M364" s="163" t="n">
        <v>0</v>
      </c>
      <c r="N364" s="161" t="n">
        <v>91.5966</v>
      </c>
      <c r="O364" s="160" t="n">
        <v>15383407</v>
      </c>
      <c r="P364" s="202" t="n">
        <v>5658</v>
      </c>
      <c r="Q364" s="202" t="n">
        <v>12859</v>
      </c>
      <c r="R364" s="202" t="n">
        <v>7201</v>
      </c>
    </row>
    <row r="365" ht="12.75" customHeight="1" s="186">
      <c r="B365" s="164" t="inlineStr">
        <is>
          <t>RJ</t>
        </is>
      </c>
      <c r="C365" s="165" t="n">
        <v>2006</v>
      </c>
      <c r="D365" s="166" t="n">
        <v>37.32</v>
      </c>
      <c r="E365" s="166" t="n">
        <v>1.11</v>
      </c>
      <c r="F365" s="167" t="n">
        <v>308</v>
      </c>
      <c r="G365" s="168" t="n">
        <v>8.6668</v>
      </c>
      <c r="H365" s="168" t="n">
        <v>5.1533</v>
      </c>
      <c r="I365" s="167" t="n">
        <v>17693</v>
      </c>
      <c r="J365" s="168" t="n">
        <v>9.780900000000001</v>
      </c>
      <c r="K365" s="169" t="n">
        <v>11.93</v>
      </c>
      <c r="L365" s="170" t="n">
        <v>0</v>
      </c>
      <c r="M365" s="170" t="n">
        <v>0</v>
      </c>
      <c r="N365" s="168" t="n">
        <v>91.5966</v>
      </c>
      <c r="O365" s="167" t="n">
        <v>15561720</v>
      </c>
      <c r="P365" s="202" t="n">
        <v>5452</v>
      </c>
      <c r="Q365" s="202" t="n">
        <v>12498</v>
      </c>
      <c r="R365" s="202" t="n">
        <v>7046</v>
      </c>
    </row>
    <row r="366" ht="12.75" customHeight="1" s="186">
      <c r="B366" s="157" t="inlineStr">
        <is>
          <t>RJ</t>
        </is>
      </c>
      <c r="C366" s="158" t="n">
        <v>2007</v>
      </c>
      <c r="D366" s="159" t="n">
        <v>33.12</v>
      </c>
      <c r="E366" s="159" t="n">
        <v>1.31</v>
      </c>
      <c r="F366" s="160" t="n">
        <v>510</v>
      </c>
      <c r="G366" s="161" t="n">
        <v>8.538399999999999</v>
      </c>
      <c r="H366" s="161" t="n">
        <v>5.3083</v>
      </c>
      <c r="I366" s="160" t="n">
        <v>19245</v>
      </c>
      <c r="J366" s="161" t="n">
        <v>9.865</v>
      </c>
      <c r="K366" s="162" t="n">
        <v>10.3</v>
      </c>
      <c r="L366" s="163" t="n">
        <v>0</v>
      </c>
      <c r="M366" s="163" t="n">
        <v>0</v>
      </c>
      <c r="N366" s="161" t="n">
        <v>91.5966</v>
      </c>
      <c r="O366" s="160" t="n">
        <v>15420450</v>
      </c>
      <c r="P366" s="202" t="n">
        <v>4783</v>
      </c>
      <c r="Q366" s="202" t="n">
        <v>12702</v>
      </c>
      <c r="R366" s="202" t="n">
        <v>7919</v>
      </c>
    </row>
    <row r="367" ht="12.75" customHeight="1" s="186">
      <c r="B367" s="164" t="inlineStr">
        <is>
          <t>RJ</t>
        </is>
      </c>
      <c r="C367" s="165" t="n">
        <v>2008</v>
      </c>
      <c r="D367" s="166" t="n">
        <v>27.38</v>
      </c>
      <c r="E367" s="166" t="n">
        <v>1.52</v>
      </c>
      <c r="F367" s="167" t="n">
        <v>752</v>
      </c>
      <c r="G367" s="168" t="n">
        <v>8.377000000000001</v>
      </c>
      <c r="H367" s="168" t="n">
        <v>5.4889</v>
      </c>
      <c r="I367" s="167" t="n">
        <v>21621</v>
      </c>
      <c r="J367" s="168" t="n">
        <v>9.981400000000001</v>
      </c>
      <c r="K367" s="169" t="n">
        <v>9.66</v>
      </c>
      <c r="L367" s="170" t="n">
        <v>0</v>
      </c>
      <c r="M367" s="170" t="n">
        <v>0</v>
      </c>
      <c r="N367" s="168" t="n">
        <v>91.5966</v>
      </c>
      <c r="O367" s="167" t="n">
        <v>15872362</v>
      </c>
      <c r="P367" s="202" t="n">
        <v>4045</v>
      </c>
      <c r="Q367" s="202" t="n">
        <v>11697</v>
      </c>
      <c r="R367" s="202" t="n">
        <v>7652</v>
      </c>
    </row>
    <row r="368" ht="12.75" customHeight="1" s="186">
      <c r="B368" s="157" t="inlineStr">
        <is>
          <t>RJ</t>
        </is>
      </c>
      <c r="C368" s="158" t="n">
        <v>2009</v>
      </c>
      <c r="D368" s="159" t="n">
        <v>25.06</v>
      </c>
      <c r="E368" s="159" t="n">
        <v>1.09</v>
      </c>
      <c r="F368" s="160" t="n">
        <v>926</v>
      </c>
      <c r="G368" s="161" t="n">
        <v>8.2973</v>
      </c>
      <c r="H368" s="161" t="n">
        <v>5.1591</v>
      </c>
      <c r="I368" s="160" t="n">
        <v>22103</v>
      </c>
      <c r="J368" s="161" t="n">
        <v>10.0035</v>
      </c>
      <c r="K368" s="162" t="n">
        <v>9.25</v>
      </c>
      <c r="L368" s="163" t="n">
        <v>0</v>
      </c>
      <c r="M368" s="163" t="n">
        <v>0</v>
      </c>
      <c r="N368" s="161" t="n">
        <v>91.5966</v>
      </c>
      <c r="O368" s="160" t="n">
        <v>16010429</v>
      </c>
      <c r="P368" s="202" t="n">
        <v>3778</v>
      </c>
      <c r="Q368" s="202" t="n">
        <v>11587</v>
      </c>
      <c r="R368" s="202" t="n">
        <v>7809</v>
      </c>
    </row>
    <row r="369" ht="12.75" customHeight="1" s="186">
      <c r="B369" s="164" t="inlineStr">
        <is>
          <t>RJ</t>
        </is>
      </c>
      <c r="C369" s="165" t="n">
        <v>2010</v>
      </c>
      <c r="D369" s="166" t="n">
        <v>25.75</v>
      </c>
      <c r="E369" s="166" t="n">
        <v>2.16</v>
      </c>
      <c r="F369" s="167" t="n">
        <v>1271</v>
      </c>
      <c r="G369" s="168" t="n">
        <v>8.3231</v>
      </c>
      <c r="H369" s="168" t="n">
        <v>5.8435</v>
      </c>
      <c r="I369" s="167" t="n">
        <v>28134</v>
      </c>
      <c r="J369" s="168" t="n">
        <v>10.2447</v>
      </c>
      <c r="K369" s="169" t="n">
        <v>8.75</v>
      </c>
      <c r="L369" s="170" t="n">
        <v>0</v>
      </c>
      <c r="M369" s="170" t="n">
        <v>0</v>
      </c>
      <c r="N369" s="168" t="n">
        <v>91.5966</v>
      </c>
      <c r="O369" s="167" t="n">
        <v>15989929</v>
      </c>
      <c r="P369" s="202" t="n">
        <v>3848</v>
      </c>
      <c r="Q369" s="202" t="n">
        <v>10949</v>
      </c>
      <c r="R369" s="202" t="n">
        <v>7101</v>
      </c>
    </row>
    <row r="370" ht="12.75" customHeight="1" s="186">
      <c r="B370" s="157" t="inlineStr">
        <is>
          <t>RJ</t>
        </is>
      </c>
      <c r="C370" s="158" t="n">
        <v>2011</v>
      </c>
      <c r="D370" s="159" t="n">
        <v>21.19</v>
      </c>
      <c r="E370" s="159" t="n">
        <v>3</v>
      </c>
      <c r="F370" s="160" t="n">
        <v>1754</v>
      </c>
      <c r="G370" s="161" t="n">
        <v>8.1356</v>
      </c>
      <c r="H370" s="161" t="n">
        <v>6.18</v>
      </c>
      <c r="I370" s="160" t="n">
        <v>31824</v>
      </c>
      <c r="J370" s="161" t="n">
        <v>10.368</v>
      </c>
      <c r="K370" s="162" t="n">
        <v>8.26</v>
      </c>
      <c r="L370" s="163" t="n">
        <v>0</v>
      </c>
      <c r="M370" s="163" t="n">
        <v>0</v>
      </c>
      <c r="N370" s="161" t="n">
        <v>91.5966</v>
      </c>
      <c r="O370" s="160" t="n">
        <v>16112678</v>
      </c>
      <c r="P370" s="202" t="n">
        <v>3231</v>
      </c>
      <c r="Q370" s="202" t="n">
        <v>10976</v>
      </c>
      <c r="R370" s="202" t="n">
        <v>7745</v>
      </c>
    </row>
    <row r="371" ht="12.75" customHeight="1" s="186">
      <c r="B371" s="164" t="inlineStr">
        <is>
          <t>RJ</t>
        </is>
      </c>
      <c r="C371" s="165" t="n">
        <v>2012</v>
      </c>
      <c r="D371" s="166" t="n">
        <v>21.4</v>
      </c>
      <c r="E371" s="166" t="n">
        <v>1.74</v>
      </c>
      <c r="F371" s="167" t="n">
        <v>2037</v>
      </c>
      <c r="G371" s="168" t="n">
        <v>8.152799999999999</v>
      </c>
      <c r="H371" s="168" t="n">
        <v>5.6454</v>
      </c>
      <c r="I371" s="167" t="n">
        <v>35418</v>
      </c>
      <c r="J371" s="168" t="n">
        <v>10.475</v>
      </c>
      <c r="K371" s="169" t="n">
        <v>6.83</v>
      </c>
      <c r="L371" s="170" t="n">
        <v>0</v>
      </c>
      <c r="M371" s="170" t="n">
        <v>0</v>
      </c>
      <c r="N371" s="168" t="n">
        <v>91.5966</v>
      </c>
      <c r="O371" s="167" t="n">
        <v>16231365</v>
      </c>
      <c r="P371" s="202" t="n">
        <v>3297</v>
      </c>
      <c r="Q371" s="202" t="n">
        <v>10335</v>
      </c>
      <c r="R371" s="202" t="n">
        <v>7038</v>
      </c>
    </row>
    <row r="372" ht="12.75" customHeight="1" s="186">
      <c r="B372" s="157" t="inlineStr">
        <is>
          <t>RJ</t>
        </is>
      </c>
      <c r="C372" s="158" t="n">
        <v>2013</v>
      </c>
      <c r="D372" s="159" t="n">
        <v>21.76</v>
      </c>
      <c r="E372" s="159" t="n">
        <v>0.85</v>
      </c>
      <c r="F372" s="160" t="n">
        <v>2176</v>
      </c>
      <c r="G372" s="161" t="n">
        <v>8.178100000000001</v>
      </c>
      <c r="H372" s="161" t="n">
        <v>4.9345</v>
      </c>
      <c r="I372" s="160" t="n">
        <v>38379</v>
      </c>
      <c r="J372" s="161" t="n">
        <v>10.5553</v>
      </c>
      <c r="K372" s="162" t="n">
        <v>7.63</v>
      </c>
      <c r="L372" s="163" t="n">
        <v>0</v>
      </c>
      <c r="M372" s="163" t="n">
        <v>0</v>
      </c>
      <c r="N372" s="161" t="n">
        <v>91.5966</v>
      </c>
      <c r="O372" s="160" t="n">
        <v>16369179</v>
      </c>
      <c r="P372" s="202" t="n">
        <v>3383</v>
      </c>
      <c r="Q372" s="202" t="n">
        <v>10693</v>
      </c>
      <c r="R372" s="202" t="n">
        <v>7310</v>
      </c>
    </row>
    <row r="373" ht="12.75" customHeight="1" s="186">
      <c r="B373" s="164" t="inlineStr">
        <is>
          <t>RJ</t>
        </is>
      </c>
      <c r="C373" s="165" t="n">
        <v>2014</v>
      </c>
      <c r="D373" s="166" t="n">
        <v>22.21</v>
      </c>
      <c r="E373" s="166" t="n">
        <v>0.37</v>
      </c>
      <c r="F373" s="167" t="n">
        <v>2237</v>
      </c>
      <c r="G373" s="168" t="n">
        <v>8.2041</v>
      </c>
      <c r="H373" s="168" t="n">
        <v>4.1109</v>
      </c>
      <c r="I373" s="167" t="n">
        <v>40767</v>
      </c>
      <c r="J373" s="168" t="n">
        <v>10.6156</v>
      </c>
      <c r="K373" s="169" t="n">
        <v>8.09</v>
      </c>
      <c r="L373" s="170" t="n">
        <v>0</v>
      </c>
      <c r="M373" s="170" t="n">
        <v>0</v>
      </c>
      <c r="N373" s="168" t="n">
        <v>91.5966</v>
      </c>
      <c r="O373" s="167" t="n">
        <v>16461173</v>
      </c>
      <c r="P373" s="202" t="n">
        <v>3470</v>
      </c>
      <c r="Q373" s="202" t="n">
        <v>11128</v>
      </c>
      <c r="R373" s="202" t="n">
        <v>7658</v>
      </c>
    </row>
    <row r="374" ht="12.75" customHeight="1" s="186">
      <c r="B374" s="157" t="inlineStr">
        <is>
          <t>RJ</t>
        </is>
      </c>
      <c r="C374" s="158" t="n">
        <v>2015</v>
      </c>
      <c r="D374" s="159" t="n">
        <v>19.2</v>
      </c>
      <c r="E374" s="159" t="n">
        <v>1.06</v>
      </c>
      <c r="F374" s="160" t="n">
        <v>2412</v>
      </c>
      <c r="G374" s="161" t="n">
        <v>8.064</v>
      </c>
      <c r="H374" s="161" t="n">
        <v>5.1648</v>
      </c>
      <c r="I374" s="160" t="n">
        <v>39827</v>
      </c>
      <c r="J374" s="161" t="n">
        <v>10.5923</v>
      </c>
      <c r="K374" s="162" t="n">
        <v>7.7</v>
      </c>
      <c r="L374" s="163" t="n">
        <v>0</v>
      </c>
      <c r="M374" s="163" t="n">
        <v>0</v>
      </c>
      <c r="N374" s="161" t="n">
        <v>91.5966</v>
      </c>
      <c r="O374" s="160" t="n">
        <v>16550024</v>
      </c>
      <c r="P374" s="202" t="n">
        <v>3057</v>
      </c>
      <c r="Q374" s="202" t="n">
        <v>10255</v>
      </c>
      <c r="R374" s="202" t="n">
        <v>7198</v>
      </c>
    </row>
    <row r="375" ht="12.75" customHeight="1" s="186">
      <c r="B375" s="171" t="inlineStr">
        <is>
          <t>RJ</t>
        </is>
      </c>
      <c r="C375" s="172" t="n">
        <v>2016</v>
      </c>
      <c r="D375" s="173" t="n">
        <v>24.26</v>
      </c>
      <c r="E375" s="173" t="n">
        <v>2.4</v>
      </c>
      <c r="F375" s="174" t="n">
        <v>2811</v>
      </c>
      <c r="G375" s="175" t="n">
        <v>8.303000000000001</v>
      </c>
      <c r="H375" s="175" t="n">
        <v>5.989</v>
      </c>
      <c r="I375" s="174" t="n">
        <v>38495</v>
      </c>
      <c r="J375" s="175" t="n">
        <v>10.5583</v>
      </c>
      <c r="K375" s="176" t="n">
        <v>11.9</v>
      </c>
      <c r="L375" s="177" t="n">
        <v>0</v>
      </c>
      <c r="M375" s="177" t="n">
        <v>0</v>
      </c>
      <c r="N375" s="175" t="n">
        <v>91.5966</v>
      </c>
      <c r="O375" s="174" t="n">
        <v>16635996</v>
      </c>
      <c r="P375" s="202" t="n">
        <v>3837</v>
      </c>
      <c r="Q375" s="202" t="n">
        <v>11365</v>
      </c>
      <c r="R375" s="202" t="n">
        <v>7528</v>
      </c>
    </row>
    <row r="376" ht="12.75" customHeight="1" s="186">
      <c r="B376" s="178" t="inlineStr">
        <is>
          <t>RJ</t>
        </is>
      </c>
      <c r="C376" s="179" t="n">
        <v>2017</v>
      </c>
      <c r="D376" s="180" t="n">
        <v>26.43</v>
      </c>
      <c r="E376" s="180" t="n">
        <v>4.02</v>
      </c>
      <c r="F376" s="181" t="n">
        <v>3483</v>
      </c>
      <c r="G376" s="182" t="n">
        <v>8.393700000000001</v>
      </c>
      <c r="H376" s="182" t="n">
        <v>6.5103</v>
      </c>
      <c r="I376" s="181" t="n">
        <v>40170</v>
      </c>
      <c r="J376" s="182" t="n">
        <v>10.6009</v>
      </c>
      <c r="K376" s="183" t="n">
        <v>15.1</v>
      </c>
      <c r="L376" s="184" t="n">
        <v>0</v>
      </c>
      <c r="M376" s="184" t="n">
        <v>0</v>
      </c>
      <c r="N376" s="182" t="n">
        <v>91.5966</v>
      </c>
      <c r="O376" s="181" t="n">
        <v>16718956</v>
      </c>
      <c r="P376" s="202" t="n">
        <v>4188</v>
      </c>
      <c r="Q376" s="202" t="n">
        <v>11613</v>
      </c>
      <c r="R376" s="202" t="n">
        <v>7425</v>
      </c>
    </row>
    <row r="377" ht="12.75" customHeight="1" s="186">
      <c r="B377" s="171" t="inlineStr">
        <is>
          <t>RJ</t>
        </is>
      </c>
      <c r="C377" s="172" t="n">
        <v>2018</v>
      </c>
      <c r="D377" s="173" t="n">
        <v>24.87</v>
      </c>
      <c r="E377" s="173" t="n">
        <v>8.630000000000001</v>
      </c>
      <c r="F377" s="174" t="n">
        <v>4964</v>
      </c>
      <c r="G377" s="175" t="n">
        <v>8.358700000000001</v>
      </c>
      <c r="H377" s="175" t="n">
        <v>7.3005</v>
      </c>
      <c r="I377" s="174" t="n">
        <v>44223</v>
      </c>
      <c r="J377" s="175" t="n">
        <v>10.697</v>
      </c>
      <c r="K377" s="176" t="n">
        <v>15.1</v>
      </c>
      <c r="L377" s="177" t="n">
        <v>0</v>
      </c>
      <c r="M377" s="177" t="n">
        <v>0</v>
      </c>
      <c r="N377" s="175" t="n">
        <v>91.5966</v>
      </c>
      <c r="O377" s="174" t="n">
        <v>17159960</v>
      </c>
      <c r="P377" s="202" t="n">
        <v>4101</v>
      </c>
      <c r="Q377" s="202" t="n">
        <v>11556</v>
      </c>
      <c r="R377" s="202" t="n">
        <v>7455</v>
      </c>
    </row>
    <row r="378" ht="12.75" customHeight="1" s="186">
      <c r="B378" s="178" t="inlineStr">
        <is>
          <t>RJ</t>
        </is>
      </c>
      <c r="C378" s="179" t="n">
        <v>2019</v>
      </c>
      <c r="D378" s="180" t="n">
        <v>13.39</v>
      </c>
      <c r="E378" s="180" t="n">
        <v>8.699999999999999</v>
      </c>
      <c r="F378" s="181" t="n">
        <v>6466</v>
      </c>
      <c r="G378" s="182" t="n">
        <v>7.7454</v>
      </c>
      <c r="H378" s="182" t="n">
        <v>7.3146</v>
      </c>
      <c r="I378" s="181" t="n">
        <v>45174</v>
      </c>
      <c r="J378" s="182" t="n">
        <v>10.7183</v>
      </c>
      <c r="K378" s="183" t="n">
        <v>14.8</v>
      </c>
      <c r="L378" s="184" t="n">
        <v>0</v>
      </c>
      <c r="M378" s="184" t="n">
        <v>0</v>
      </c>
      <c r="N378" s="182" t="n">
        <v>91.5966</v>
      </c>
      <c r="O378" s="181" t="n">
        <v>17264943</v>
      </c>
      <c r="P378" s="202" t="n">
        <v>2269</v>
      </c>
      <c r="Q378" s="202" t="n">
        <v>11006</v>
      </c>
      <c r="R378" s="202" t="n">
        <v>8737</v>
      </c>
    </row>
    <row r="379" ht="12.75" customHeight="1" s="186">
      <c r="B379" s="171" t="inlineStr">
        <is>
          <t>RJ</t>
        </is>
      </c>
      <c r="C379" s="172" t="n">
        <v>2020</v>
      </c>
      <c r="D379" s="173" t="n">
        <v>15.8</v>
      </c>
      <c r="E379" s="173" t="n">
        <v>18.55</v>
      </c>
      <c r="F379" s="174" t="n">
        <v>9687</v>
      </c>
      <c r="G379" s="175" t="n">
        <v>7.9172</v>
      </c>
      <c r="H379" s="175" t="n">
        <v>8.077400000000001</v>
      </c>
      <c r="I379" s="174" t="n">
        <v>43408</v>
      </c>
      <c r="J379" s="175" t="n">
        <v>10.6784</v>
      </c>
      <c r="K379" s="176" t="n">
        <v>17.6</v>
      </c>
      <c r="L379" s="177" t="n">
        <v>0</v>
      </c>
      <c r="M379" s="177" t="n">
        <v>1</v>
      </c>
      <c r="N379" s="175" t="n">
        <v>91.5966</v>
      </c>
      <c r="O379" s="174" t="n">
        <v>17366189</v>
      </c>
      <c r="P379" s="202" t="n">
        <v>2659</v>
      </c>
      <c r="Q379" s="202" t="n">
        <v>10236</v>
      </c>
      <c r="R379" s="202" t="n">
        <v>7577</v>
      </c>
    </row>
    <row r="380" ht="12.75" customHeight="1" s="186">
      <c r="B380" s="178" t="inlineStr">
        <is>
          <t>RJ</t>
        </is>
      </c>
      <c r="C380" s="179" t="n">
        <v>2021</v>
      </c>
      <c r="D380" s="180" t="n">
        <v>17.18</v>
      </c>
      <c r="E380" s="180" t="n">
        <v>45.56</v>
      </c>
      <c r="F380" s="181" t="n">
        <v>17644</v>
      </c>
      <c r="G380" s="182" t="n">
        <v>8.006399999999999</v>
      </c>
      <c r="H380" s="182" t="n">
        <v>8.9818</v>
      </c>
      <c r="I380" s="181" t="n">
        <v>54360</v>
      </c>
      <c r="J380" s="182" t="n">
        <v>10.9034</v>
      </c>
      <c r="K380" s="183" t="n">
        <v>16.9</v>
      </c>
      <c r="L380" s="184" t="n">
        <v>0</v>
      </c>
      <c r="M380" s="184" t="n">
        <v>1</v>
      </c>
      <c r="N380" s="182" t="n">
        <v>91.5966</v>
      </c>
      <c r="O380" s="181" t="n">
        <v>17463349</v>
      </c>
      <c r="P380" s="202" t="n">
        <v>2946</v>
      </c>
      <c r="Q380" s="202" t="n">
        <v>10153</v>
      </c>
      <c r="R380" s="202" t="n">
        <v>7207</v>
      </c>
    </row>
    <row r="381" ht="12.75" customHeight="1" s="186">
      <c r="B381" s="171" t="inlineStr">
        <is>
          <t>RJ</t>
        </is>
      </c>
      <c r="C381" s="172" t="n">
        <v>2022</v>
      </c>
      <c r="D381" s="173" t="n">
        <v>15.19</v>
      </c>
      <c r="E381" s="173" t="n">
        <v>91.59999999999999</v>
      </c>
      <c r="F381" s="174" t="n">
        <v>32350</v>
      </c>
      <c r="G381" s="175" t="n">
        <v>7.7989</v>
      </c>
      <c r="H381" s="175" t="n">
        <v>9.596</v>
      </c>
      <c r="I381" s="174" t="n">
        <v>71847</v>
      </c>
      <c r="J381" s="175" t="n">
        <v>11.1823</v>
      </c>
      <c r="K381" s="176" t="n">
        <v>12.8</v>
      </c>
      <c r="L381" s="177" t="n">
        <v>0</v>
      </c>
      <c r="M381" s="177" t="n">
        <v>0</v>
      </c>
      <c r="N381" s="175" t="n">
        <v>91.5966</v>
      </c>
      <c r="O381" s="174" t="n">
        <v>16055174</v>
      </c>
      <c r="P381" s="202" t="n">
        <v>2391</v>
      </c>
      <c r="Q381" s="202" t="n">
        <v>9847</v>
      </c>
      <c r="R381" s="202" t="n">
        <v>7456</v>
      </c>
    </row>
    <row r="382" ht="12.75" customHeight="1" s="186">
      <c r="B382" s="178" t="inlineStr">
        <is>
          <t>RJ</t>
        </is>
      </c>
      <c r="C382" s="179" t="n">
        <v>2023</v>
      </c>
      <c r="D382" s="180" t="n">
        <v>16.09</v>
      </c>
      <c r="E382" s="180" t="n">
        <v>0.31</v>
      </c>
      <c r="F382" s="181" t="n">
        <v>32399</v>
      </c>
      <c r="G382" s="182" t="n">
        <v>7.8571</v>
      </c>
      <c r="H382" s="182" t="n">
        <v>3.8918</v>
      </c>
      <c r="I382" s="181" t="n">
        <v>73053</v>
      </c>
      <c r="J382" s="182" t="n">
        <v>11.1989</v>
      </c>
      <c r="K382" s="183" t="n">
        <v>11</v>
      </c>
      <c r="L382" s="184" t="n">
        <v>1</v>
      </c>
      <c r="M382" s="184" t="n">
        <v>0</v>
      </c>
      <c r="N382" s="182" t="n">
        <v>91.5966</v>
      </c>
      <c r="O382" s="181" t="n">
        <v>16055174</v>
      </c>
      <c r="P382" s="202" t="n">
        <v>2521</v>
      </c>
      <c r="Q382" s="202" t="n">
        <v>9882</v>
      </c>
      <c r="R382" s="202" t="n">
        <v>7361</v>
      </c>
    </row>
    <row r="383" ht="12.75" customHeight="1" s="186">
      <c r="B383" s="171" t="inlineStr">
        <is>
          <t>RJ</t>
        </is>
      </c>
      <c r="C383" s="172" t="n">
        <v>2024</v>
      </c>
      <c r="D383" s="173" t="n">
        <v>11.81</v>
      </c>
      <c r="E383" s="173" t="n">
        <v>15.89</v>
      </c>
      <c r="F383" s="174" t="n">
        <v>35135</v>
      </c>
      <c r="G383" s="175" t="n">
        <v>7.6173</v>
      </c>
      <c r="H383" s="175" t="n">
        <v>7.9143</v>
      </c>
      <c r="I383" s="174" t="n">
        <v>74008</v>
      </c>
      <c r="J383" s="175" t="n">
        <v>11.2119</v>
      </c>
      <c r="K383" s="176" t="n">
        <v>9</v>
      </c>
      <c r="L383" s="177" t="n">
        <v>1</v>
      </c>
      <c r="M383" s="177" t="n">
        <v>0</v>
      </c>
      <c r="N383" s="175" t="n">
        <v>91.5966</v>
      </c>
      <c r="O383" s="174" t="n">
        <v>17219679</v>
      </c>
      <c r="P383" s="202" t="n">
        <v>1998</v>
      </c>
      <c r="Q383" s="202" t="n">
        <v>9612</v>
      </c>
      <c r="R383" s="202" t="n">
        <v>7614</v>
      </c>
    </row>
    <row r="384" ht="12.75" customHeight="1" s="186">
      <c r="B384" s="157" t="inlineStr">
        <is>
          <t>RN</t>
        </is>
      </c>
      <c r="C384" s="158" t="n">
        <v>2005</v>
      </c>
      <c r="D384" s="159" t="n">
        <v>8.99</v>
      </c>
      <c r="E384" s="159" t="n">
        <v>0.5</v>
      </c>
      <c r="F384" s="160" t="n">
        <v>15</v>
      </c>
      <c r="G384" s="161" t="n">
        <v>5.5984</v>
      </c>
      <c r="H384" s="161" t="n">
        <v>2.7081</v>
      </c>
      <c r="I384" s="160" t="n">
        <v>5951</v>
      </c>
      <c r="J384" s="161" t="n">
        <v>8.6913</v>
      </c>
      <c r="K384" s="162" t="n">
        <v>11.98</v>
      </c>
      <c r="L384" s="163" t="n">
        <v>0</v>
      </c>
      <c r="M384" s="163" t="n">
        <v>0</v>
      </c>
      <c r="N384" s="161" t="n">
        <v>74.9986</v>
      </c>
      <c r="O384" s="160" t="n">
        <v>3003087</v>
      </c>
      <c r="P384" s="202" t="n">
        <v>265</v>
      </c>
      <c r="Q384" s="202" t="n">
        <v>1534</v>
      </c>
      <c r="R384" s="202" t="n">
        <v>1269</v>
      </c>
    </row>
    <row r="385" ht="12.75" customHeight="1" s="186">
      <c r="B385" s="164" t="inlineStr">
        <is>
          <t>RN</t>
        </is>
      </c>
      <c r="C385" s="165" t="n">
        <v>2006</v>
      </c>
      <c r="D385" s="166" t="n">
        <v>9.949999999999999</v>
      </c>
      <c r="E385" s="166" t="n">
        <v>0.26</v>
      </c>
      <c r="F385" s="167" t="n">
        <v>23</v>
      </c>
      <c r="G385" s="168" t="n">
        <v>5.7137</v>
      </c>
      <c r="H385" s="168" t="n">
        <v>2.0794</v>
      </c>
      <c r="I385" s="167" t="n">
        <v>6753</v>
      </c>
      <c r="J385" s="168" t="n">
        <v>8.8177</v>
      </c>
      <c r="K385" s="169" t="n">
        <v>9.73</v>
      </c>
      <c r="L385" s="170" t="n">
        <v>0</v>
      </c>
      <c r="M385" s="170" t="n">
        <v>0</v>
      </c>
      <c r="N385" s="168" t="n">
        <v>74.9986</v>
      </c>
      <c r="O385" s="167" t="n">
        <v>3043760</v>
      </c>
      <c r="P385" s="202" t="n">
        <v>303</v>
      </c>
      <c r="Q385" s="202" t="n">
        <v>1616</v>
      </c>
      <c r="R385" s="202" t="n">
        <v>1313</v>
      </c>
    </row>
    <row r="386" ht="12.75" customHeight="1" s="186">
      <c r="B386" s="157" t="inlineStr">
        <is>
          <t>RN</t>
        </is>
      </c>
      <c r="C386" s="158" t="n">
        <v>2007</v>
      </c>
      <c r="D386" s="159" t="n">
        <v>14.63</v>
      </c>
      <c r="E386" s="159" t="n">
        <v>0.3</v>
      </c>
      <c r="F386" s="160" t="n">
        <v>32</v>
      </c>
      <c r="G386" s="161" t="n">
        <v>6.089</v>
      </c>
      <c r="H386" s="161" t="n">
        <v>2.1972</v>
      </c>
      <c r="I386" s="160" t="n">
        <v>7607</v>
      </c>
      <c r="J386" s="161" t="n">
        <v>8.9368</v>
      </c>
      <c r="K386" s="162" t="n">
        <v>10.05</v>
      </c>
      <c r="L386" s="163" t="n">
        <v>0</v>
      </c>
      <c r="M386" s="163" t="n">
        <v>0</v>
      </c>
      <c r="N386" s="161" t="n">
        <v>74.9986</v>
      </c>
      <c r="O386" s="160" t="n">
        <v>3013740</v>
      </c>
      <c r="P386" s="202" t="n">
        <v>434</v>
      </c>
      <c r="Q386" s="202" t="n">
        <v>1767</v>
      </c>
      <c r="R386" s="202" t="n">
        <v>1333</v>
      </c>
    </row>
    <row r="387" ht="12.75" customHeight="1" s="186">
      <c r="B387" s="164" t="inlineStr">
        <is>
          <t>RN</t>
        </is>
      </c>
      <c r="C387" s="165" t="n">
        <v>2008</v>
      </c>
      <c r="D387" s="166" t="n">
        <v>17.42</v>
      </c>
      <c r="E387" s="166" t="n">
        <v>0.23</v>
      </c>
      <c r="F387" s="167" t="n">
        <v>39</v>
      </c>
      <c r="G387" s="168" t="n">
        <v>6.2934</v>
      </c>
      <c r="H387" s="168" t="n">
        <v>1.9459</v>
      </c>
      <c r="I387" s="167" t="n">
        <v>8203</v>
      </c>
      <c r="J387" s="168" t="n">
        <v>9.0123</v>
      </c>
      <c r="K387" s="169" t="n">
        <v>8.630000000000001</v>
      </c>
      <c r="L387" s="170" t="n">
        <v>0</v>
      </c>
      <c r="M387" s="170" t="n">
        <v>0</v>
      </c>
      <c r="N387" s="168" t="n">
        <v>74.9986</v>
      </c>
      <c r="O387" s="167" t="n">
        <v>3106436</v>
      </c>
      <c r="P387" s="202" t="n">
        <v>534</v>
      </c>
      <c r="Q387" s="202" t="n">
        <v>1905</v>
      </c>
      <c r="R387" s="202" t="n">
        <v>1371</v>
      </c>
    </row>
    <row r="388" ht="12.75" customHeight="1" s="186">
      <c r="B388" s="157" t="inlineStr">
        <is>
          <t>RN</t>
        </is>
      </c>
      <c r="C388" s="158" t="n">
        <v>2009</v>
      </c>
      <c r="D388" s="159" t="n">
        <v>19.57</v>
      </c>
      <c r="E388" s="159" t="n">
        <v>0.32</v>
      </c>
      <c r="F388" s="160" t="n">
        <v>49</v>
      </c>
      <c r="G388" s="161" t="n">
        <v>6.42</v>
      </c>
      <c r="H388" s="161" t="n">
        <v>2.3026</v>
      </c>
      <c r="I388" s="160" t="n">
        <v>8894</v>
      </c>
      <c r="J388" s="161" t="n">
        <v>9.0931</v>
      </c>
      <c r="K388" s="162" t="n">
        <v>11.69</v>
      </c>
      <c r="L388" s="163" t="n">
        <v>0</v>
      </c>
      <c r="M388" s="163" t="n">
        <v>0</v>
      </c>
      <c r="N388" s="161" t="n">
        <v>74.9986</v>
      </c>
      <c r="O388" s="160" t="n">
        <v>3137541</v>
      </c>
      <c r="P388" s="202" t="n">
        <v>616</v>
      </c>
      <c r="Q388" s="202" t="n">
        <v>2094</v>
      </c>
      <c r="R388" s="202" t="n">
        <v>1478</v>
      </c>
    </row>
    <row r="389" ht="12.75" customHeight="1" s="186">
      <c r="B389" s="164" t="inlineStr">
        <is>
          <t>RN</t>
        </is>
      </c>
      <c r="C389" s="165" t="n">
        <v>2010</v>
      </c>
      <c r="D389" s="166" t="n">
        <v>19.41</v>
      </c>
      <c r="E389" s="166" t="n">
        <v>0.63</v>
      </c>
      <c r="F389" s="167" t="n">
        <v>69</v>
      </c>
      <c r="G389" s="168" t="n">
        <v>6.4216</v>
      </c>
      <c r="H389" s="168" t="n">
        <v>2.9957</v>
      </c>
      <c r="I389" s="167" t="n">
        <v>11422</v>
      </c>
      <c r="J389" s="168" t="n">
        <v>9.343299999999999</v>
      </c>
      <c r="K389" s="169" t="n">
        <v>11.11</v>
      </c>
      <c r="L389" s="170" t="n">
        <v>0</v>
      </c>
      <c r="M389" s="170" t="n">
        <v>0</v>
      </c>
      <c r="N389" s="168" t="n">
        <v>74.9986</v>
      </c>
      <c r="O389" s="167" t="n">
        <v>3168027</v>
      </c>
      <c r="P389" s="202" t="n">
        <v>607</v>
      </c>
      <c r="Q389" s="202" t="n">
        <v>1939</v>
      </c>
      <c r="R389" s="202" t="n">
        <v>1332</v>
      </c>
    </row>
    <row r="390" ht="12.75" customHeight="1" s="186">
      <c r="B390" s="157" t="inlineStr">
        <is>
          <t>RN</t>
        </is>
      </c>
      <c r="C390" s="158" t="n">
        <v>2011</v>
      </c>
      <c r="D390" s="159" t="n">
        <v>24.35</v>
      </c>
      <c r="E390" s="159" t="n">
        <v>0.72</v>
      </c>
      <c r="F390" s="160" t="n">
        <v>92</v>
      </c>
      <c r="G390" s="161" t="n">
        <v>6.658</v>
      </c>
      <c r="H390" s="161" t="n">
        <v>3.1355</v>
      </c>
      <c r="I390" s="160" t="n">
        <v>12816</v>
      </c>
      <c r="J390" s="161" t="n">
        <v>9.458399999999999</v>
      </c>
      <c r="K390" s="162" t="n">
        <v>10.53</v>
      </c>
      <c r="L390" s="163" t="n">
        <v>0</v>
      </c>
      <c r="M390" s="163" t="n">
        <v>0</v>
      </c>
      <c r="N390" s="161" t="n">
        <v>74.9986</v>
      </c>
      <c r="O390" s="160" t="n">
        <v>3198657</v>
      </c>
      <c r="P390" s="202" t="n">
        <v>786</v>
      </c>
      <c r="Q390" s="202" t="n">
        <v>2223</v>
      </c>
      <c r="R390" s="202" t="n">
        <v>1437</v>
      </c>
    </row>
    <row r="391" ht="12.75" customHeight="1" s="186">
      <c r="B391" s="164" t="inlineStr">
        <is>
          <t>RN</t>
        </is>
      </c>
      <c r="C391" s="165" t="n">
        <v>2012</v>
      </c>
      <c r="D391" s="166" t="n">
        <v>26.33</v>
      </c>
      <c r="E391" s="166" t="n">
        <v>1.46</v>
      </c>
      <c r="F391" s="167" t="n">
        <v>139</v>
      </c>
      <c r="G391" s="168" t="n">
        <v>6.7452</v>
      </c>
      <c r="H391" s="168" t="n">
        <v>3.8501</v>
      </c>
      <c r="I391" s="167" t="n">
        <v>14377</v>
      </c>
      <c r="J391" s="168" t="n">
        <v>9.573399999999999</v>
      </c>
      <c r="K391" s="169" t="n">
        <v>8.119999999999999</v>
      </c>
      <c r="L391" s="170" t="n">
        <v>0</v>
      </c>
      <c r="M391" s="170" t="n">
        <v>0</v>
      </c>
      <c r="N391" s="168" t="n">
        <v>74.9986</v>
      </c>
      <c r="O391" s="167" t="n">
        <v>3228198</v>
      </c>
      <c r="P391" s="202" t="n">
        <v>850</v>
      </c>
      <c r="Q391" s="202" t="n">
        <v>2366</v>
      </c>
      <c r="R391" s="202" t="n">
        <v>1516</v>
      </c>
    </row>
    <row r="392" ht="12.75" customHeight="1" s="186">
      <c r="B392" s="157" t="inlineStr">
        <is>
          <t>RN</t>
        </is>
      </c>
      <c r="C392" s="158" t="n">
        <v>2013</v>
      </c>
      <c r="D392" s="159" t="n">
        <v>34.17</v>
      </c>
      <c r="E392" s="159" t="n">
        <v>1.13</v>
      </c>
      <c r="F392" s="160" t="n">
        <v>177</v>
      </c>
      <c r="G392" s="161" t="n">
        <v>7.0501</v>
      </c>
      <c r="H392" s="161" t="n">
        <v>3.6376</v>
      </c>
      <c r="I392" s="160" t="n">
        <v>15269</v>
      </c>
      <c r="J392" s="161" t="n">
        <v>9.633599999999999</v>
      </c>
      <c r="K392" s="162" t="n">
        <v>11.82</v>
      </c>
      <c r="L392" s="163" t="n">
        <v>0</v>
      </c>
      <c r="M392" s="163" t="n">
        <v>0</v>
      </c>
      <c r="N392" s="161" t="n">
        <v>74.9986</v>
      </c>
      <c r="O392" s="160" t="n">
        <v>3373959</v>
      </c>
      <c r="P392" s="202" t="n">
        <v>1142</v>
      </c>
      <c r="Q392" s="202" t="n">
        <v>2584</v>
      </c>
      <c r="R392" s="202" t="n">
        <v>1442</v>
      </c>
    </row>
    <row r="393" ht="12.75" customHeight="1" s="186">
      <c r="B393" s="164" t="inlineStr">
        <is>
          <t>RN</t>
        </is>
      </c>
      <c r="C393" s="165" t="n">
        <v>2014</v>
      </c>
      <c r="D393" s="166" t="n">
        <v>38.61</v>
      </c>
      <c r="E393" s="166" t="n">
        <v>0.97</v>
      </c>
      <c r="F393" s="167" t="n">
        <v>210</v>
      </c>
      <c r="G393" s="168" t="n">
        <v>7.1824</v>
      </c>
      <c r="H393" s="168" t="n">
        <v>3.4965</v>
      </c>
      <c r="I393" s="167" t="n">
        <v>15849</v>
      </c>
      <c r="J393" s="168" t="n">
        <v>9.6709</v>
      </c>
      <c r="K393" s="169" t="n">
        <v>12.14</v>
      </c>
      <c r="L393" s="170" t="n">
        <v>0</v>
      </c>
      <c r="M393" s="170" t="n">
        <v>0</v>
      </c>
      <c r="N393" s="168" t="n">
        <v>74.9986</v>
      </c>
      <c r="O393" s="167" t="n">
        <v>3408510</v>
      </c>
      <c r="P393" s="202" t="n">
        <v>1309</v>
      </c>
      <c r="Q393" s="202" t="n">
        <v>2761</v>
      </c>
      <c r="R393" s="202" t="n">
        <v>1452</v>
      </c>
    </row>
    <row r="394" ht="12.75" customHeight="1" s="186">
      <c r="B394" s="157" t="inlineStr">
        <is>
          <t>RN</t>
        </is>
      </c>
      <c r="C394" s="158" t="n">
        <v>2015</v>
      </c>
      <c r="D394" s="159" t="n">
        <v>35.97</v>
      </c>
      <c r="E394" s="159" t="n">
        <v>0.32</v>
      </c>
      <c r="F394" s="160" t="n">
        <v>221</v>
      </c>
      <c r="G394" s="161" t="n">
        <v>7.1213</v>
      </c>
      <c r="H394" s="161" t="n">
        <v>2.3979</v>
      </c>
      <c r="I394" s="160" t="n">
        <v>16632</v>
      </c>
      <c r="J394" s="161" t="n">
        <v>9.719099999999999</v>
      </c>
      <c r="K394" s="162" t="n">
        <v>12.1</v>
      </c>
      <c r="L394" s="163" t="n">
        <v>0</v>
      </c>
      <c r="M394" s="163" t="n">
        <v>0</v>
      </c>
      <c r="N394" s="161" t="n">
        <v>74.9986</v>
      </c>
      <c r="O394" s="160" t="n">
        <v>3442175</v>
      </c>
      <c r="P394" s="202" t="n">
        <v>1226</v>
      </c>
      <c r="Q394" s="202" t="n">
        <v>2661</v>
      </c>
      <c r="R394" s="202" t="n">
        <v>1435</v>
      </c>
    </row>
    <row r="395" ht="12.75" customHeight="1" s="186">
      <c r="B395" s="171" t="inlineStr">
        <is>
          <t>RN</t>
        </is>
      </c>
      <c r="C395" s="172" t="n">
        <v>2016</v>
      </c>
      <c r="D395" s="173" t="n">
        <v>45.12</v>
      </c>
      <c r="E395" s="173" t="n">
        <v>2.19</v>
      </c>
      <c r="F395" s="174" t="n">
        <v>297</v>
      </c>
      <c r="G395" s="175" t="n">
        <v>7.3576</v>
      </c>
      <c r="H395" s="175" t="n">
        <v>4.3307</v>
      </c>
      <c r="I395" s="174" t="n">
        <v>17173</v>
      </c>
      <c r="J395" s="175" t="n">
        <v>9.751099999999999</v>
      </c>
      <c r="K395" s="176" t="n">
        <v>14.3</v>
      </c>
      <c r="L395" s="177" t="n">
        <v>0</v>
      </c>
      <c r="M395" s="177" t="n">
        <v>0</v>
      </c>
      <c r="N395" s="175" t="n">
        <v>74.9986</v>
      </c>
      <c r="O395" s="174" t="n">
        <v>3474998</v>
      </c>
      <c r="P395" s="202" t="n">
        <v>1560</v>
      </c>
      <c r="Q395" s="202" t="n">
        <v>2955</v>
      </c>
      <c r="R395" s="202" t="n">
        <v>1395</v>
      </c>
    </row>
    <row r="396" ht="12.75" customHeight="1" s="186">
      <c r="B396" s="178" t="inlineStr">
        <is>
          <t>RN</t>
        </is>
      </c>
      <c r="C396" s="179" t="n">
        <v>2017</v>
      </c>
      <c r="D396" s="180" t="n">
        <v>54.86</v>
      </c>
      <c r="E396" s="180" t="n">
        <v>2.22</v>
      </c>
      <c r="F396" s="181" t="n">
        <v>375</v>
      </c>
      <c r="G396" s="182" t="n">
        <v>7.5622</v>
      </c>
      <c r="H396" s="182" t="n">
        <v>4.3567</v>
      </c>
      <c r="I396" s="181" t="n">
        <v>18336</v>
      </c>
      <c r="J396" s="182" t="n">
        <v>9.816599999999999</v>
      </c>
      <c r="K396" s="183" t="n">
        <v>14.7</v>
      </c>
      <c r="L396" s="184" t="n">
        <v>0</v>
      </c>
      <c r="M396" s="184" t="n">
        <v>0</v>
      </c>
      <c r="N396" s="182" t="n">
        <v>74.9986</v>
      </c>
      <c r="O396" s="181" t="n">
        <v>3507003</v>
      </c>
      <c r="P396" s="202" t="n">
        <v>1920</v>
      </c>
      <c r="Q396" s="202" t="n">
        <v>3322</v>
      </c>
      <c r="R396" s="202" t="n">
        <v>1402</v>
      </c>
    </row>
    <row r="397" ht="12.75" customHeight="1" s="186">
      <c r="B397" s="171" t="inlineStr">
        <is>
          <t>RN</t>
        </is>
      </c>
      <c r="C397" s="172" t="n">
        <v>2018</v>
      </c>
      <c r="D397" s="173" t="n">
        <v>47.17</v>
      </c>
      <c r="E397" s="173" t="n">
        <v>3.08</v>
      </c>
      <c r="F397" s="174" t="n">
        <v>482</v>
      </c>
      <c r="G397" s="175" t="n">
        <v>7.4031</v>
      </c>
      <c r="H397" s="175" t="n">
        <v>4.6728</v>
      </c>
      <c r="I397" s="174" t="n">
        <v>19250</v>
      </c>
      <c r="J397" s="175" t="n">
        <v>9.8653</v>
      </c>
      <c r="K397" s="176" t="n">
        <v>13.7</v>
      </c>
      <c r="L397" s="177" t="n">
        <v>0</v>
      </c>
      <c r="M397" s="177" t="n">
        <v>0</v>
      </c>
      <c r="N397" s="175" t="n">
        <v>74.9986</v>
      </c>
      <c r="O397" s="174" t="n">
        <v>3479010</v>
      </c>
      <c r="P397" s="202" t="n">
        <v>1629</v>
      </c>
      <c r="Q397" s="202" t="n">
        <v>2903</v>
      </c>
      <c r="R397" s="202" t="n">
        <v>1274</v>
      </c>
    </row>
    <row r="398" ht="12.75" customHeight="1" s="186">
      <c r="B398" s="178" t="inlineStr">
        <is>
          <t>RN</t>
        </is>
      </c>
      <c r="C398" s="179" t="n">
        <v>2019</v>
      </c>
      <c r="D398" s="180" t="n">
        <v>33.56</v>
      </c>
      <c r="E398" s="180" t="n">
        <v>26.78</v>
      </c>
      <c r="F398" s="181" t="n">
        <v>1421</v>
      </c>
      <c r="G398" s="182" t="n">
        <v>7.0707</v>
      </c>
      <c r="H398" s="182" t="n">
        <v>6.8448</v>
      </c>
      <c r="I398" s="181" t="n">
        <v>20342</v>
      </c>
      <c r="J398" s="182" t="n">
        <v>9.920400000000001</v>
      </c>
      <c r="K398" s="183" t="n">
        <v>13.3</v>
      </c>
      <c r="L398" s="184" t="n">
        <v>0</v>
      </c>
      <c r="M398" s="184" t="n">
        <v>0</v>
      </c>
      <c r="N398" s="182" t="n">
        <v>74.9986</v>
      </c>
      <c r="O398" s="181" t="n">
        <v>3506853</v>
      </c>
      <c r="P398" s="202" t="n">
        <v>1174</v>
      </c>
      <c r="Q398" s="202" t="n">
        <v>2354</v>
      </c>
      <c r="R398" s="202" t="n">
        <v>1180</v>
      </c>
    </row>
    <row r="399" ht="12.75" customHeight="1" s="186">
      <c r="B399" s="171" t="inlineStr">
        <is>
          <t>RN</t>
        </is>
      </c>
      <c r="C399" s="172" t="n">
        <v>2020</v>
      </c>
      <c r="D399" s="173" t="n">
        <v>34.8</v>
      </c>
      <c r="E399" s="173" t="n">
        <v>33.42</v>
      </c>
      <c r="F399" s="174" t="n">
        <v>2602</v>
      </c>
      <c r="G399" s="175" t="n">
        <v>7.1148</v>
      </c>
      <c r="H399" s="175" t="n">
        <v>7.0741</v>
      </c>
      <c r="I399" s="174" t="n">
        <v>20253</v>
      </c>
      <c r="J399" s="175" t="n">
        <v>9.9161</v>
      </c>
      <c r="K399" s="176" t="n">
        <v>16.1</v>
      </c>
      <c r="L399" s="177" t="n">
        <v>0</v>
      </c>
      <c r="M399" s="177" t="n">
        <v>1</v>
      </c>
      <c r="N399" s="175" t="n">
        <v>74.9986</v>
      </c>
      <c r="O399" s="174" t="n">
        <v>3534165</v>
      </c>
      <c r="P399" s="202" t="n">
        <v>1217</v>
      </c>
      <c r="Q399" s="202" t="n">
        <v>2478</v>
      </c>
      <c r="R399" s="202" t="n">
        <v>1261</v>
      </c>
    </row>
    <row r="400" ht="12.75" customHeight="1" s="186">
      <c r="B400" s="178" t="inlineStr">
        <is>
          <t>RN</t>
        </is>
      </c>
      <c r="C400" s="179" t="n">
        <v>2021</v>
      </c>
      <c r="D400" s="180" t="n">
        <v>28.48</v>
      </c>
      <c r="E400" s="180" t="n">
        <v>54.26</v>
      </c>
      <c r="F400" s="181" t="n">
        <v>4534</v>
      </c>
      <c r="G400" s="182" t="n">
        <v>6.9217</v>
      </c>
      <c r="H400" s="182" t="n">
        <v>7.5663</v>
      </c>
      <c r="I400" s="181" t="n">
        <v>22517</v>
      </c>
      <c r="J400" s="182" t="n">
        <v>10.022</v>
      </c>
      <c r="K400" s="183" t="n">
        <v>14.9</v>
      </c>
      <c r="L400" s="184" t="n">
        <v>0</v>
      </c>
      <c r="M400" s="184" t="n">
        <v>1</v>
      </c>
      <c r="N400" s="182" t="n">
        <v>74.9986</v>
      </c>
      <c r="O400" s="181" t="n">
        <v>3560903</v>
      </c>
      <c r="P400" s="202" t="n">
        <v>1018</v>
      </c>
      <c r="Q400" s="202" t="n">
        <v>2308</v>
      </c>
      <c r="R400" s="202" t="n">
        <v>1290</v>
      </c>
    </row>
    <row r="401" ht="12.75" customHeight="1" s="186">
      <c r="B401" s="171" t="inlineStr">
        <is>
          <t>RN</t>
        </is>
      </c>
      <c r="C401" s="172" t="n">
        <v>2022</v>
      </c>
      <c r="D401" s="173" t="n">
        <v>29.22</v>
      </c>
      <c r="E401" s="173" t="n">
        <v>75</v>
      </c>
      <c r="F401" s="174" t="n">
        <v>7011</v>
      </c>
      <c r="G401" s="175" t="n">
        <v>6.8721</v>
      </c>
      <c r="H401" s="175" t="n">
        <v>7.8148</v>
      </c>
      <c r="I401" s="174" t="n">
        <v>28407</v>
      </c>
      <c r="J401" s="175" t="n">
        <v>10.2544</v>
      </c>
      <c r="K401" s="176" t="n">
        <v>11.7</v>
      </c>
      <c r="L401" s="177" t="n">
        <v>0</v>
      </c>
      <c r="M401" s="177" t="n">
        <v>0</v>
      </c>
      <c r="N401" s="175" t="n">
        <v>74.9986</v>
      </c>
      <c r="O401" s="174" t="n">
        <v>3302729</v>
      </c>
      <c r="P401" s="202" t="n">
        <v>957</v>
      </c>
      <c r="Q401" s="202" t="n">
        <v>2228</v>
      </c>
      <c r="R401" s="202" t="n">
        <v>1271</v>
      </c>
    </row>
    <row r="402" ht="12.75" customHeight="1" s="186">
      <c r="B402" s="178" t="inlineStr">
        <is>
          <t>RN</t>
        </is>
      </c>
      <c r="C402" s="179" t="n">
        <v>2023</v>
      </c>
      <c r="D402" s="180" t="n">
        <v>21.38</v>
      </c>
      <c r="E402" s="180" t="n">
        <v>0.09</v>
      </c>
      <c r="F402" s="181" t="n">
        <v>7014</v>
      </c>
      <c r="G402" s="182" t="n">
        <v>6.5596</v>
      </c>
      <c r="H402" s="182" t="n">
        <v>1.0986</v>
      </c>
      <c r="I402" s="181" t="n">
        <v>30805</v>
      </c>
      <c r="J402" s="182" t="n">
        <v>10.3354</v>
      </c>
      <c r="K402" s="183" t="n">
        <v>10.3</v>
      </c>
      <c r="L402" s="184" t="n">
        <v>1</v>
      </c>
      <c r="M402" s="184" t="n">
        <v>0</v>
      </c>
      <c r="N402" s="182" t="n">
        <v>74.9986</v>
      </c>
      <c r="O402" s="181" t="n">
        <v>3302729</v>
      </c>
      <c r="P402" s="202" t="n">
        <v>704</v>
      </c>
      <c r="Q402" s="202" t="n">
        <v>2006</v>
      </c>
      <c r="R402" s="202" t="n">
        <v>1302</v>
      </c>
    </row>
    <row r="403" ht="12.75" customHeight="1" s="186">
      <c r="B403" s="171" t="inlineStr">
        <is>
          <t>RN</t>
        </is>
      </c>
      <c r="C403" s="172" t="n">
        <v>2024</v>
      </c>
      <c r="D403" s="173" t="n">
        <v>17.59</v>
      </c>
      <c r="E403" s="173" t="n">
        <v>18.92</v>
      </c>
      <c r="F403" s="174" t="n">
        <v>7666</v>
      </c>
      <c r="G403" s="175" t="n">
        <v>6.4069</v>
      </c>
      <c r="H403" s="175" t="n">
        <v>6.48</v>
      </c>
      <c r="I403" s="174" t="n">
        <v>32670</v>
      </c>
      <c r="J403" s="175" t="n">
        <v>10.3942</v>
      </c>
      <c r="K403" s="176" t="n">
        <v>9.1</v>
      </c>
      <c r="L403" s="177" t="n">
        <v>1</v>
      </c>
      <c r="M403" s="177" t="n">
        <v>0</v>
      </c>
      <c r="N403" s="175" t="n">
        <v>74.9986</v>
      </c>
      <c r="O403" s="174" t="n">
        <v>3446071</v>
      </c>
      <c r="P403" s="202" t="n">
        <v>617</v>
      </c>
      <c r="Q403" s="202" t="n">
        <v>2001</v>
      </c>
      <c r="R403" s="202" t="n">
        <v>1384</v>
      </c>
    </row>
    <row r="404" ht="12.75" customHeight="1" s="186">
      <c r="B404" s="157" t="inlineStr">
        <is>
          <t>RO</t>
        </is>
      </c>
      <c r="C404" s="158" t="n">
        <v>2005</v>
      </c>
      <c r="D404" s="159" t="n">
        <v>24.05</v>
      </c>
      <c r="E404" s="159" t="n">
        <v>0</v>
      </c>
      <c r="F404" s="160" t="n">
        <v>0</v>
      </c>
      <c r="G404" s="161" t="n">
        <v>5.9108</v>
      </c>
      <c r="H404" s="161" t="n"/>
      <c r="I404" s="160" t="n">
        <v>8396</v>
      </c>
      <c r="J404" s="161" t="n">
        <v>9.035500000000001</v>
      </c>
      <c r="K404" s="162" t="n">
        <v>7.68</v>
      </c>
      <c r="L404" s="163" t="n">
        <v>0</v>
      </c>
      <c r="M404" s="163" t="n">
        <v>0</v>
      </c>
      <c r="N404" s="161" t="n">
        <v>351.0001</v>
      </c>
      <c r="O404" s="160" t="n">
        <v>1534594</v>
      </c>
      <c r="P404" s="202" t="n">
        <v>349</v>
      </c>
      <c r="Q404" s="202" t="n">
        <v>1281</v>
      </c>
      <c r="R404" s="202" t="n">
        <v>932</v>
      </c>
    </row>
    <row r="405" ht="12.75" customHeight="1" s="186">
      <c r="B405" s="164" t="inlineStr">
        <is>
          <t>RO</t>
        </is>
      </c>
      <c r="C405" s="165" t="n">
        <v>2006</v>
      </c>
      <c r="D405" s="166" t="n">
        <v>24.83</v>
      </c>
      <c r="E405" s="166" t="n">
        <v>0.13</v>
      </c>
      <c r="F405" s="167" t="n">
        <v>2</v>
      </c>
      <c r="G405" s="168" t="n">
        <v>5.961</v>
      </c>
      <c r="H405" s="168" t="n">
        <v>0.6931</v>
      </c>
      <c r="I405" s="167" t="n">
        <v>8389</v>
      </c>
      <c r="J405" s="168" t="n">
        <v>9.034700000000001</v>
      </c>
      <c r="K405" s="169" t="n">
        <v>7.72</v>
      </c>
      <c r="L405" s="170" t="n">
        <v>0</v>
      </c>
      <c r="M405" s="170" t="n">
        <v>0</v>
      </c>
      <c r="N405" s="168" t="n">
        <v>351.0001</v>
      </c>
      <c r="O405" s="167" t="n">
        <v>1562417</v>
      </c>
      <c r="P405" s="202" t="n">
        <v>372</v>
      </c>
      <c r="Q405" s="202" t="n">
        <v>1273</v>
      </c>
      <c r="R405" s="202" t="n">
        <v>901</v>
      </c>
    </row>
    <row r="406" ht="12.75" customHeight="1" s="186">
      <c r="B406" s="157" t="inlineStr">
        <is>
          <t>RO</t>
        </is>
      </c>
      <c r="C406" s="158" t="n">
        <v>2007</v>
      </c>
      <c r="D406" s="159" t="n">
        <v>22.22</v>
      </c>
      <c r="E406" s="159" t="n">
        <v>0</v>
      </c>
      <c r="F406" s="160" t="n">
        <v>2</v>
      </c>
      <c r="G406" s="161" t="n">
        <v>5.7777</v>
      </c>
      <c r="H406" s="161" t="n"/>
      <c r="I406" s="160" t="n">
        <v>10320</v>
      </c>
      <c r="J406" s="161" t="n">
        <v>9.2418</v>
      </c>
      <c r="K406" s="162" t="n">
        <v>8.369999999999999</v>
      </c>
      <c r="L406" s="163" t="n">
        <v>0</v>
      </c>
      <c r="M406" s="163" t="n">
        <v>0</v>
      </c>
      <c r="N406" s="161" t="n">
        <v>351.0001</v>
      </c>
      <c r="O406" s="160" t="n">
        <v>1453756</v>
      </c>
      <c r="P406" s="202" t="n">
        <v>315</v>
      </c>
      <c r="Q406" s="202" t="n">
        <v>1026</v>
      </c>
      <c r="R406" s="202" t="n">
        <v>711</v>
      </c>
    </row>
    <row r="407" ht="12.75" customHeight="1" s="186">
      <c r="B407" s="164" t="inlineStr">
        <is>
          <t>RO</t>
        </is>
      </c>
      <c r="C407" s="165" t="n">
        <v>2008</v>
      </c>
      <c r="D407" s="166" t="n">
        <v>18.95</v>
      </c>
      <c r="E407" s="166" t="n">
        <v>0</v>
      </c>
      <c r="F407" s="167" t="n">
        <v>2</v>
      </c>
      <c r="G407" s="168" t="n">
        <v>5.6454</v>
      </c>
      <c r="H407" s="168" t="n"/>
      <c r="I407" s="167" t="n">
        <v>11977</v>
      </c>
      <c r="J407" s="168" t="n">
        <v>9.390700000000001</v>
      </c>
      <c r="K407" s="169" t="n">
        <v>8.050000000000001</v>
      </c>
      <c r="L407" s="170" t="n">
        <v>0</v>
      </c>
      <c r="M407" s="170" t="n">
        <v>0</v>
      </c>
      <c r="N407" s="168" t="n">
        <v>351.0001</v>
      </c>
      <c r="O407" s="167" t="n">
        <v>1493565</v>
      </c>
      <c r="P407" s="202" t="n">
        <v>285</v>
      </c>
      <c r="Q407" s="202" t="n">
        <v>1183</v>
      </c>
      <c r="R407" s="202" t="n">
        <v>898</v>
      </c>
    </row>
    <row r="408" ht="12.75" customHeight="1" s="186">
      <c r="B408" s="157" t="inlineStr">
        <is>
          <t>RO</t>
        </is>
      </c>
      <c r="C408" s="158" t="n">
        <v>2009</v>
      </c>
      <c r="D408" s="159" t="n">
        <v>23.21</v>
      </c>
      <c r="E408" s="159" t="n">
        <v>0</v>
      </c>
      <c r="F408" s="160" t="n">
        <v>2</v>
      </c>
      <c r="G408" s="161" t="n">
        <v>5.8551</v>
      </c>
      <c r="H408" s="161" t="n"/>
      <c r="I408" s="160" t="n">
        <v>13455</v>
      </c>
      <c r="J408" s="161" t="n">
        <v>9.507099999999999</v>
      </c>
      <c r="K408" s="162" t="n">
        <v>9.119999999999999</v>
      </c>
      <c r="L408" s="163" t="n">
        <v>0</v>
      </c>
      <c r="M408" s="163" t="n">
        <v>0</v>
      </c>
      <c r="N408" s="161" t="n">
        <v>351.0001</v>
      </c>
      <c r="O408" s="160" t="n">
        <v>1503928</v>
      </c>
      <c r="P408" s="202" t="n">
        <v>349</v>
      </c>
      <c r="Q408" s="202" t="n">
        <v>1338</v>
      </c>
      <c r="R408" s="202" t="n">
        <v>989</v>
      </c>
    </row>
    <row r="409" ht="12.75" customHeight="1" s="186">
      <c r="B409" s="164" t="inlineStr">
        <is>
          <t>RO</t>
        </is>
      </c>
      <c r="C409" s="165" t="n">
        <v>2010</v>
      </c>
      <c r="D409" s="166" t="n">
        <v>22.27</v>
      </c>
      <c r="E409" s="166" t="n">
        <v>0.51</v>
      </c>
      <c r="F409" s="167" t="n">
        <v>10</v>
      </c>
      <c r="G409" s="168" t="n">
        <v>5.8522</v>
      </c>
      <c r="H409" s="168" t="n">
        <v>2.0794</v>
      </c>
      <c r="I409" s="167" t="n">
        <v>15302</v>
      </c>
      <c r="J409" s="168" t="n">
        <v>9.6357</v>
      </c>
      <c r="K409" s="169" t="n">
        <v>6.66</v>
      </c>
      <c r="L409" s="170" t="n">
        <v>0</v>
      </c>
      <c r="M409" s="170" t="n">
        <v>0</v>
      </c>
      <c r="N409" s="168" t="n">
        <v>351.0001</v>
      </c>
      <c r="O409" s="167" t="n">
        <v>1562409</v>
      </c>
      <c r="P409" s="202" t="n">
        <v>338</v>
      </c>
      <c r="Q409" s="202" t="n">
        <v>1400</v>
      </c>
      <c r="R409" s="202" t="n">
        <v>1062</v>
      </c>
    </row>
    <row r="410" ht="12.75" customHeight="1" s="186">
      <c r="B410" s="157" t="inlineStr">
        <is>
          <t>RO</t>
        </is>
      </c>
      <c r="C410" s="158" t="n">
        <v>2011</v>
      </c>
      <c r="D410" s="159" t="n">
        <v>18.08</v>
      </c>
      <c r="E410" s="159" t="n">
        <v>0.06</v>
      </c>
      <c r="F410" s="160" t="n">
        <v>11</v>
      </c>
      <c r="G410" s="161" t="n">
        <v>5.6525</v>
      </c>
      <c r="H410" s="161" t="n">
        <v>0</v>
      </c>
      <c r="I410" s="160" t="n">
        <v>17492</v>
      </c>
      <c r="J410" s="161" t="n">
        <v>9.769500000000001</v>
      </c>
      <c r="K410" s="162" t="n">
        <v>4.21</v>
      </c>
      <c r="L410" s="163" t="n">
        <v>0</v>
      </c>
      <c r="M410" s="163" t="n">
        <v>0</v>
      </c>
      <c r="N410" s="161" t="n">
        <v>351.0001</v>
      </c>
      <c r="O410" s="160" t="n">
        <v>1576455</v>
      </c>
      <c r="P410" s="202" t="n">
        <v>276</v>
      </c>
      <c r="Q410" s="202" t="n">
        <v>1294</v>
      </c>
      <c r="R410" s="202" t="n">
        <v>1018</v>
      </c>
    </row>
    <row r="411" ht="12.75" customHeight="1" s="186">
      <c r="B411" s="164" t="inlineStr">
        <is>
          <t>RO</t>
        </is>
      </c>
      <c r="C411" s="165" t="n">
        <v>2012</v>
      </c>
      <c r="D411" s="166" t="n">
        <v>21.26</v>
      </c>
      <c r="E411" s="166" t="n">
        <v>0.13</v>
      </c>
      <c r="F411" s="167" t="n">
        <v>13</v>
      </c>
      <c r="G411" s="168" t="n">
        <v>5.823</v>
      </c>
      <c r="H411" s="168" t="n">
        <v>0.6931</v>
      </c>
      <c r="I411" s="167" t="n">
        <v>18939</v>
      </c>
      <c r="J411" s="168" t="n">
        <v>9.849</v>
      </c>
      <c r="K411" s="169" t="n">
        <v>6.39</v>
      </c>
      <c r="L411" s="170" t="n">
        <v>0</v>
      </c>
      <c r="M411" s="170" t="n">
        <v>0</v>
      </c>
      <c r="N411" s="168" t="n">
        <v>351.0001</v>
      </c>
      <c r="O411" s="167" t="n">
        <v>1590011</v>
      </c>
      <c r="P411" s="202" t="n">
        <v>333</v>
      </c>
      <c r="Q411" s="202" t="n">
        <v>1439</v>
      </c>
      <c r="R411" s="202" t="n">
        <v>1106</v>
      </c>
    </row>
    <row r="412" ht="12.75" customHeight="1" s="186">
      <c r="B412" s="157" t="inlineStr">
        <is>
          <t>RO</t>
        </is>
      </c>
      <c r="C412" s="158" t="n">
        <v>2013</v>
      </c>
      <c r="D412" s="159" t="n">
        <v>17.36</v>
      </c>
      <c r="E412" s="159" t="n">
        <v>0</v>
      </c>
      <c r="F412" s="160" t="n">
        <v>13</v>
      </c>
      <c r="G412" s="161" t="n">
        <v>5.7038</v>
      </c>
      <c r="H412" s="161" t="n"/>
      <c r="I412" s="160" t="n">
        <v>18008</v>
      </c>
      <c r="J412" s="161" t="n">
        <v>9.7986</v>
      </c>
      <c r="K412" s="162" t="n">
        <v>6.1</v>
      </c>
      <c r="L412" s="163" t="n">
        <v>0</v>
      </c>
      <c r="M412" s="163" t="n">
        <v>0</v>
      </c>
      <c r="N412" s="161" t="n">
        <v>351.0001</v>
      </c>
      <c r="O412" s="160" t="n">
        <v>1728214</v>
      </c>
      <c r="P412" s="202" t="n">
        <v>296</v>
      </c>
      <c r="Q412" s="202" t="n">
        <v>1287</v>
      </c>
      <c r="R412" s="202" t="n">
        <v>991</v>
      </c>
    </row>
    <row r="413" ht="12.75" customHeight="1" s="186">
      <c r="B413" s="164" t="inlineStr">
        <is>
          <t>RO</t>
        </is>
      </c>
      <c r="C413" s="165" t="n">
        <v>2014</v>
      </c>
      <c r="D413" s="166" t="n">
        <v>22.76</v>
      </c>
      <c r="E413" s="166" t="n">
        <v>0.17</v>
      </c>
      <c r="F413" s="167" t="n">
        <v>16</v>
      </c>
      <c r="G413" s="168" t="n">
        <v>5.9865</v>
      </c>
      <c r="H413" s="168" t="n">
        <v>1.0986</v>
      </c>
      <c r="I413" s="167" t="n">
        <v>19463</v>
      </c>
      <c r="J413" s="168" t="n">
        <v>9.876300000000001</v>
      </c>
      <c r="K413" s="169" t="n">
        <v>5.41</v>
      </c>
      <c r="L413" s="170" t="n">
        <v>0</v>
      </c>
      <c r="M413" s="170" t="n">
        <v>0</v>
      </c>
      <c r="N413" s="168" t="n">
        <v>351.0001</v>
      </c>
      <c r="O413" s="167" t="n">
        <v>1748531</v>
      </c>
      <c r="P413" s="202" t="n">
        <v>392</v>
      </c>
      <c r="Q413" s="202" t="n">
        <v>1364</v>
      </c>
      <c r="R413" s="202" t="n">
        <v>972</v>
      </c>
    </row>
    <row r="414" ht="12.75" customHeight="1" s="186">
      <c r="B414" s="157" t="inlineStr">
        <is>
          <t>RO</t>
        </is>
      </c>
      <c r="C414" s="158" t="n">
        <v>2015</v>
      </c>
      <c r="D414" s="159" t="n">
        <v>21.6</v>
      </c>
      <c r="E414" s="159" t="n">
        <v>0.23</v>
      </c>
      <c r="F414" s="160" t="n">
        <v>20</v>
      </c>
      <c r="G414" s="161" t="n">
        <v>5.9454</v>
      </c>
      <c r="H414" s="161" t="n">
        <v>1.3863</v>
      </c>
      <c r="I414" s="160" t="n">
        <v>20678</v>
      </c>
      <c r="J414" s="161" t="n">
        <v>9.9368</v>
      </c>
      <c r="K414" s="162" t="n">
        <v>5.7</v>
      </c>
      <c r="L414" s="163" t="n">
        <v>0</v>
      </c>
      <c r="M414" s="163" t="n">
        <v>0</v>
      </c>
      <c r="N414" s="161" t="n">
        <v>351.0001</v>
      </c>
      <c r="O414" s="160" t="n">
        <v>1768204</v>
      </c>
      <c r="P414" s="202" t="n">
        <v>378</v>
      </c>
      <c r="Q414" s="202" t="n">
        <v>1395</v>
      </c>
      <c r="R414" s="202" t="n">
        <v>1017</v>
      </c>
    </row>
    <row r="415" ht="12.75" customHeight="1" s="186">
      <c r="B415" s="171" t="inlineStr">
        <is>
          <t>RO</t>
        </is>
      </c>
      <c r="C415" s="172" t="n">
        <v>2016</v>
      </c>
      <c r="D415" s="173" t="n">
        <v>26.02</v>
      </c>
      <c r="E415" s="173" t="n">
        <v>4.7</v>
      </c>
      <c r="F415" s="174" t="n">
        <v>104</v>
      </c>
      <c r="G415" s="175" t="n">
        <v>6.142</v>
      </c>
      <c r="H415" s="175" t="n">
        <v>4.4308</v>
      </c>
      <c r="I415" s="174" t="n">
        <v>22078</v>
      </c>
      <c r="J415" s="175" t="n">
        <v>10.0023</v>
      </c>
      <c r="K415" s="176" t="n">
        <v>8</v>
      </c>
      <c r="L415" s="177" t="n">
        <v>0</v>
      </c>
      <c r="M415" s="177" t="n">
        <v>0</v>
      </c>
      <c r="N415" s="175" t="n">
        <v>351.0001</v>
      </c>
      <c r="O415" s="174" t="n">
        <v>1787279</v>
      </c>
      <c r="P415" s="202" t="n">
        <v>455</v>
      </c>
      <c r="Q415" s="202" t="n">
        <v>1429</v>
      </c>
      <c r="R415" s="202" t="n">
        <v>974</v>
      </c>
    </row>
    <row r="416" ht="12.75" customHeight="1" s="186">
      <c r="B416" s="178" t="inlineStr">
        <is>
          <t>RO</t>
        </is>
      </c>
      <c r="C416" s="179" t="n">
        <v>2017</v>
      </c>
      <c r="D416" s="180" t="n">
        <v>20.82</v>
      </c>
      <c r="E416" s="180" t="n">
        <v>4.87</v>
      </c>
      <c r="F416" s="181" t="n">
        <v>192</v>
      </c>
      <c r="G416" s="182" t="n">
        <v>5.9296</v>
      </c>
      <c r="H416" s="182" t="n">
        <v>4.4773</v>
      </c>
      <c r="I416" s="181" t="n">
        <v>24098</v>
      </c>
      <c r="J416" s="182" t="n">
        <v>10.0899</v>
      </c>
      <c r="K416" s="183" t="n">
        <v>8.199999999999999</v>
      </c>
      <c r="L416" s="184" t="n">
        <v>0</v>
      </c>
      <c r="M416" s="184" t="n">
        <v>0</v>
      </c>
      <c r="N416" s="182" t="n">
        <v>351.0001</v>
      </c>
      <c r="O416" s="181" t="n">
        <v>1805788</v>
      </c>
      <c r="P416" s="202" t="n">
        <v>368</v>
      </c>
      <c r="Q416" s="202" t="n">
        <v>1330</v>
      </c>
      <c r="R416" s="202" t="n">
        <v>962</v>
      </c>
    </row>
    <row r="417" ht="12.75" customHeight="1" s="186">
      <c r="B417" s="171" t="inlineStr">
        <is>
          <t>RO</t>
        </is>
      </c>
      <c r="C417" s="172" t="n">
        <v>2018</v>
      </c>
      <c r="D417" s="173" t="n">
        <v>17.18</v>
      </c>
      <c r="E417" s="173" t="n">
        <v>11.78</v>
      </c>
      <c r="F417" s="174" t="n">
        <v>399</v>
      </c>
      <c r="G417" s="175" t="n">
        <v>5.7104</v>
      </c>
      <c r="H417" s="175" t="n">
        <v>5.3327</v>
      </c>
      <c r="I417" s="174" t="n">
        <v>25554</v>
      </c>
      <c r="J417" s="175" t="n">
        <v>10.1485</v>
      </c>
      <c r="K417" s="176" t="n">
        <v>9.199999999999999</v>
      </c>
      <c r="L417" s="177" t="n">
        <v>0</v>
      </c>
      <c r="M417" s="177" t="n">
        <v>0</v>
      </c>
      <c r="N417" s="175" t="n">
        <v>351.0001</v>
      </c>
      <c r="O417" s="174" t="n">
        <v>1757589</v>
      </c>
      <c r="P417" s="202" t="n">
        <v>295</v>
      </c>
      <c r="Q417" s="202" t="n">
        <v>1178</v>
      </c>
      <c r="R417" s="202" t="n">
        <v>883</v>
      </c>
    </row>
    <row r="418" ht="12.75" customHeight="1" s="186">
      <c r="B418" s="178" t="inlineStr">
        <is>
          <t>RO</t>
        </is>
      </c>
      <c r="C418" s="179" t="n">
        <v>2019</v>
      </c>
      <c r="D418" s="180" t="n">
        <v>14.52</v>
      </c>
      <c r="E418" s="180" t="n">
        <v>53.79</v>
      </c>
      <c r="F418" s="181" t="n">
        <v>1355</v>
      </c>
      <c r="G418" s="182" t="n">
        <v>5.553</v>
      </c>
      <c r="H418" s="182" t="n">
        <v>6.8628</v>
      </c>
      <c r="I418" s="181" t="n">
        <v>26497</v>
      </c>
      <c r="J418" s="182" t="n">
        <v>10.1848</v>
      </c>
      <c r="K418" s="183" t="n">
        <v>8.1</v>
      </c>
      <c r="L418" s="184" t="n">
        <v>0</v>
      </c>
      <c r="M418" s="184" t="n">
        <v>0</v>
      </c>
      <c r="N418" s="182" t="n">
        <v>351.0001</v>
      </c>
      <c r="O418" s="181" t="n">
        <v>1777225</v>
      </c>
      <c r="P418" s="202" t="n">
        <v>257</v>
      </c>
      <c r="Q418" s="202" t="n">
        <v>1172</v>
      </c>
      <c r="R418" s="202" t="n">
        <v>915</v>
      </c>
    </row>
    <row r="419" ht="12.75" customHeight="1" s="186">
      <c r="B419" s="171" t="inlineStr">
        <is>
          <t>RO</t>
        </is>
      </c>
      <c r="C419" s="172" t="n">
        <v>2020</v>
      </c>
      <c r="D419" s="173" t="n">
        <v>14.25</v>
      </c>
      <c r="E419" s="173" t="n">
        <v>105.71</v>
      </c>
      <c r="F419" s="174" t="n">
        <v>3254</v>
      </c>
      <c r="G419" s="175" t="n">
        <v>5.5452</v>
      </c>
      <c r="H419" s="175" t="n">
        <v>7.5491</v>
      </c>
      <c r="I419" s="174" t="n">
        <v>28722</v>
      </c>
      <c r="J419" s="175" t="n">
        <v>10.2654</v>
      </c>
      <c r="K419" s="176" t="n">
        <v>10.6</v>
      </c>
      <c r="L419" s="177" t="n">
        <v>0</v>
      </c>
      <c r="M419" s="177" t="n">
        <v>1</v>
      </c>
      <c r="N419" s="175" t="n">
        <v>351.0001</v>
      </c>
      <c r="O419" s="174" t="n">
        <v>1796460</v>
      </c>
      <c r="P419" s="202" t="n">
        <v>256</v>
      </c>
      <c r="Q419" s="202" t="n">
        <v>1264</v>
      </c>
      <c r="R419" s="202" t="n">
        <v>1008</v>
      </c>
    </row>
    <row r="420" ht="12.75" customHeight="1" s="186">
      <c r="B420" s="178" t="inlineStr">
        <is>
          <t>RO</t>
        </is>
      </c>
      <c r="C420" s="179" t="n">
        <v>2021</v>
      </c>
      <c r="D420" s="180" t="n">
        <v>17.85</v>
      </c>
      <c r="E420" s="180" t="n">
        <v>195.18</v>
      </c>
      <c r="F420" s="181" t="n">
        <v>6797</v>
      </c>
      <c r="G420" s="182" t="n">
        <v>5.7807</v>
      </c>
      <c r="H420" s="182" t="n">
        <v>8.172700000000001</v>
      </c>
      <c r="I420" s="181" t="n">
        <v>32045</v>
      </c>
      <c r="J420" s="182" t="n">
        <v>10.3749</v>
      </c>
      <c r="K420" s="183" t="n">
        <v>8.9</v>
      </c>
      <c r="L420" s="184" t="n">
        <v>0</v>
      </c>
      <c r="M420" s="184" t="n">
        <v>1</v>
      </c>
      <c r="N420" s="182" t="n">
        <v>351.0001</v>
      </c>
      <c r="O420" s="181" t="n">
        <v>1815278</v>
      </c>
      <c r="P420" s="202" t="n">
        <v>343</v>
      </c>
      <c r="Q420" s="202" t="n">
        <v>1356</v>
      </c>
      <c r="R420" s="202" t="n">
        <v>1013</v>
      </c>
    </row>
    <row r="421" ht="12.75" customHeight="1" s="186">
      <c r="B421" s="171" t="inlineStr">
        <is>
          <t>RO</t>
        </is>
      </c>
      <c r="C421" s="172" t="n">
        <v>2022</v>
      </c>
      <c r="D421" s="173" t="n">
        <v>23.91</v>
      </c>
      <c r="E421" s="173" t="n">
        <v>351</v>
      </c>
      <c r="F421" s="174" t="n">
        <v>12347</v>
      </c>
      <c r="G421" s="175" t="n">
        <v>5.9349</v>
      </c>
      <c r="H421" s="175" t="n">
        <v>8.621600000000001</v>
      </c>
      <c r="I421" s="174" t="n">
        <v>42244</v>
      </c>
      <c r="J421" s="175" t="n">
        <v>10.6512</v>
      </c>
      <c r="K421" s="176" t="n">
        <v>4.9</v>
      </c>
      <c r="L421" s="177" t="n">
        <v>0</v>
      </c>
      <c r="M421" s="177" t="n">
        <v>0</v>
      </c>
      <c r="N421" s="175" t="n">
        <v>351.0001</v>
      </c>
      <c r="O421" s="174" t="n">
        <v>1581196</v>
      </c>
      <c r="P421" s="202" t="n">
        <v>389</v>
      </c>
      <c r="Q421" s="202" t="n">
        <v>1464</v>
      </c>
      <c r="R421" s="202" t="n">
        <v>1075</v>
      </c>
    </row>
    <row r="422" ht="12.75" customHeight="1" s="186">
      <c r="B422" s="178" t="inlineStr">
        <is>
          <t>RO</t>
        </is>
      </c>
      <c r="C422" s="179" t="n">
        <v>2023</v>
      </c>
      <c r="D422" s="180" t="n">
        <v>20.68</v>
      </c>
      <c r="E422" s="180" t="n">
        <v>0.51</v>
      </c>
      <c r="F422" s="181" t="n">
        <v>12355</v>
      </c>
      <c r="G422" s="182" t="n">
        <v>5.79</v>
      </c>
      <c r="H422" s="182" t="n">
        <v>2.0794</v>
      </c>
      <c r="I422" s="181" t="n">
        <v>48353</v>
      </c>
      <c r="J422" s="182" t="n">
        <v>10.7863</v>
      </c>
      <c r="K422" s="183" t="n">
        <v>2.9</v>
      </c>
      <c r="L422" s="184" t="n">
        <v>1</v>
      </c>
      <c r="M422" s="184" t="n">
        <v>0</v>
      </c>
      <c r="N422" s="182" t="n">
        <v>351.0001</v>
      </c>
      <c r="O422" s="181" t="n">
        <v>1581196</v>
      </c>
      <c r="P422" s="202" t="n">
        <v>339</v>
      </c>
      <c r="Q422" s="202" t="n">
        <v>1393</v>
      </c>
      <c r="R422" s="202" t="n">
        <v>1054</v>
      </c>
    </row>
    <row r="423" ht="12.75" customHeight="1" s="186">
      <c r="B423" s="171" t="inlineStr">
        <is>
          <t>RO</t>
        </is>
      </c>
      <c r="C423" s="172" t="n">
        <v>2024</v>
      </c>
      <c r="D423" s="173" t="n">
        <v>18.96</v>
      </c>
      <c r="E423" s="173" t="n">
        <v>21.65</v>
      </c>
      <c r="F423" s="174" t="n">
        <v>12733</v>
      </c>
      <c r="G423" s="175" t="n">
        <v>5.8021</v>
      </c>
      <c r="H423" s="175" t="n">
        <v>5.9349</v>
      </c>
      <c r="I423" s="174" t="n">
        <v>48766</v>
      </c>
      <c r="J423" s="175" t="n">
        <v>10.7948</v>
      </c>
      <c r="K423" s="176" t="n">
        <v>2.9</v>
      </c>
      <c r="L423" s="177" t="n">
        <v>1</v>
      </c>
      <c r="M423" s="177" t="n">
        <v>0</v>
      </c>
      <c r="N423" s="175" t="n">
        <v>351.0001</v>
      </c>
      <c r="O423" s="174" t="n">
        <v>1746227</v>
      </c>
      <c r="P423" s="202" t="n">
        <v>344</v>
      </c>
      <c r="Q423" s="202" t="n">
        <v>1438</v>
      </c>
      <c r="R423" s="202" t="n">
        <v>1094</v>
      </c>
    </row>
    <row r="424" ht="12.75" customHeight="1" s="186">
      <c r="B424" s="157" t="inlineStr">
        <is>
          <t>RR</t>
        </is>
      </c>
      <c r="C424" s="158" t="n">
        <v>2005</v>
      </c>
      <c r="D424" s="159" t="n">
        <v>7.16</v>
      </c>
      <c r="E424" s="159" t="n">
        <v>0.51</v>
      </c>
      <c r="F424" s="160" t="n">
        <v>2</v>
      </c>
      <c r="G424" s="161" t="n">
        <v>3.3322</v>
      </c>
      <c r="H424" s="161" t="n">
        <v>0.6931</v>
      </c>
      <c r="I424" s="160" t="n">
        <v>8124</v>
      </c>
      <c r="J424" s="161" t="n">
        <v>9.002599999999999</v>
      </c>
      <c r="K424" s="162" t="n">
        <v>16.89</v>
      </c>
      <c r="L424" s="163" t="n">
        <v>0</v>
      </c>
      <c r="M424" s="163" t="n">
        <v>0</v>
      </c>
      <c r="N424" s="161" t="n">
        <v>80.8849</v>
      </c>
      <c r="O424" s="160" t="n">
        <v>391317</v>
      </c>
      <c r="P424" s="202" t="n">
        <v>27</v>
      </c>
      <c r="Q424" s="202" t="n">
        <v>290</v>
      </c>
      <c r="R424" s="202" t="n">
        <v>263</v>
      </c>
    </row>
    <row r="425" ht="12.75" customHeight="1" s="186">
      <c r="B425" s="164" t="inlineStr">
        <is>
          <t>RR</t>
        </is>
      </c>
      <c r="C425" s="165" t="n">
        <v>2006</v>
      </c>
      <c r="D425" s="166" t="n">
        <v>9.42</v>
      </c>
      <c r="E425" s="166" t="n">
        <v>0</v>
      </c>
      <c r="F425" s="167" t="n">
        <v>2</v>
      </c>
      <c r="G425" s="168" t="n">
        <v>3.6376</v>
      </c>
      <c r="H425" s="168" t="n"/>
      <c r="I425" s="167" t="n">
        <v>9074</v>
      </c>
      <c r="J425" s="168" t="n">
        <v>9.113200000000001</v>
      </c>
      <c r="K425" s="169" t="n">
        <v>9.91</v>
      </c>
      <c r="L425" s="170" t="n">
        <v>0</v>
      </c>
      <c r="M425" s="170" t="n">
        <v>0</v>
      </c>
      <c r="N425" s="168" t="n">
        <v>80.8849</v>
      </c>
      <c r="O425" s="167" t="n">
        <v>403344</v>
      </c>
      <c r="P425" s="202" t="n">
        <v>38</v>
      </c>
      <c r="Q425" s="202" t="n">
        <v>293</v>
      </c>
      <c r="R425" s="202" t="n">
        <v>255</v>
      </c>
    </row>
    <row r="426" ht="12.75" customHeight="1" s="186">
      <c r="B426" s="157" t="inlineStr">
        <is>
          <t>RR</t>
        </is>
      </c>
      <c r="C426" s="158" t="n">
        <v>2007</v>
      </c>
      <c r="D426" s="159" t="n">
        <v>7.08</v>
      </c>
      <c r="E426" s="159" t="n">
        <v>0</v>
      </c>
      <c r="F426" s="160" t="n">
        <v>2</v>
      </c>
      <c r="G426" s="161" t="n">
        <v>3.3322</v>
      </c>
      <c r="H426" s="161" t="n"/>
      <c r="I426" s="160" t="n">
        <v>10535</v>
      </c>
      <c r="J426" s="161" t="n">
        <v>9.262499999999999</v>
      </c>
      <c r="K426" s="162" t="n">
        <v>12.07</v>
      </c>
      <c r="L426" s="163" t="n">
        <v>0</v>
      </c>
      <c r="M426" s="163" t="n">
        <v>0</v>
      </c>
      <c r="N426" s="161" t="n">
        <v>80.8849</v>
      </c>
      <c r="O426" s="160" t="n">
        <v>395725</v>
      </c>
      <c r="P426" s="202" t="n">
        <v>28</v>
      </c>
      <c r="Q426" s="202" t="n">
        <v>348</v>
      </c>
      <c r="R426" s="202" t="n">
        <v>320</v>
      </c>
    </row>
    <row r="427" ht="12.75" customHeight="1" s="186">
      <c r="B427" s="164" t="inlineStr">
        <is>
          <t>RR</t>
        </is>
      </c>
      <c r="C427" s="165" t="n">
        <v>2008</v>
      </c>
      <c r="D427" s="166" t="n">
        <v>7.03</v>
      </c>
      <c r="E427" s="166" t="n">
        <v>0</v>
      </c>
      <c r="F427" s="167" t="n">
        <v>2</v>
      </c>
      <c r="G427" s="168" t="n">
        <v>3.3673</v>
      </c>
      <c r="H427" s="168" t="n"/>
      <c r="I427" s="167" t="n">
        <v>11844</v>
      </c>
      <c r="J427" s="168" t="n">
        <v>9.3796</v>
      </c>
      <c r="K427" s="169" t="n">
        <v>7.35</v>
      </c>
      <c r="L427" s="170" t="n">
        <v>0</v>
      </c>
      <c r="M427" s="170" t="n">
        <v>0</v>
      </c>
      <c r="N427" s="168" t="n">
        <v>80.8849</v>
      </c>
      <c r="O427" s="167" t="n">
        <v>412783</v>
      </c>
      <c r="P427" s="202" t="n">
        <v>27</v>
      </c>
      <c r="Q427" s="202" t="n">
        <v>304</v>
      </c>
      <c r="R427" s="202" t="n">
        <v>277</v>
      </c>
    </row>
    <row r="428" ht="12.75" customHeight="1" s="186">
      <c r="B428" s="157" t="inlineStr">
        <is>
          <t>RR</t>
        </is>
      </c>
      <c r="C428" s="158" t="n">
        <v>2009</v>
      </c>
      <c r="D428" s="159" t="n">
        <v>6.41</v>
      </c>
      <c r="E428" s="159" t="n">
        <v>0</v>
      </c>
      <c r="F428" s="160" t="n">
        <v>2</v>
      </c>
      <c r="G428" s="161" t="n">
        <v>3.2958</v>
      </c>
      <c r="H428" s="161" t="n"/>
      <c r="I428" s="160" t="n">
        <v>13269</v>
      </c>
      <c r="J428" s="161" t="n">
        <v>9.4932</v>
      </c>
      <c r="K428" s="162" t="n">
        <v>11.32</v>
      </c>
      <c r="L428" s="163" t="n">
        <v>0</v>
      </c>
      <c r="M428" s="163" t="n">
        <v>0</v>
      </c>
      <c r="N428" s="161" t="n">
        <v>80.8849</v>
      </c>
      <c r="O428" s="160" t="n">
        <v>421499</v>
      </c>
      <c r="P428" s="202" t="n">
        <v>27</v>
      </c>
      <c r="Q428" s="202" t="n">
        <v>314</v>
      </c>
      <c r="R428" s="202" t="n">
        <v>287</v>
      </c>
    </row>
    <row r="429" ht="12.75" customHeight="1" s="186">
      <c r="B429" s="164" t="inlineStr">
        <is>
          <t>RR</t>
        </is>
      </c>
      <c r="C429" s="165" t="n">
        <v>2010</v>
      </c>
      <c r="D429" s="166" t="n">
        <v>6.44</v>
      </c>
      <c r="E429" s="166" t="n">
        <v>0.44</v>
      </c>
      <c r="F429" s="167" t="n">
        <v>4</v>
      </c>
      <c r="G429" s="168" t="n">
        <v>3.3673</v>
      </c>
      <c r="H429" s="168" t="n">
        <v>0.6931</v>
      </c>
      <c r="I429" s="167" t="n">
        <v>14738</v>
      </c>
      <c r="J429" s="168" t="n">
        <v>9.5982</v>
      </c>
      <c r="K429" s="169" t="n">
        <v>10.54</v>
      </c>
      <c r="L429" s="170" t="n">
        <v>0</v>
      </c>
      <c r="M429" s="170" t="n">
        <v>0</v>
      </c>
      <c r="N429" s="168" t="n">
        <v>80.8849</v>
      </c>
      <c r="O429" s="167" t="n">
        <v>450479</v>
      </c>
      <c r="P429" s="202" t="n">
        <v>26</v>
      </c>
      <c r="Q429" s="202" t="n">
        <v>342</v>
      </c>
      <c r="R429" s="202" t="n">
        <v>316</v>
      </c>
    </row>
    <row r="430" ht="12.75" customHeight="1" s="186">
      <c r="B430" s="157" t="inlineStr">
        <is>
          <t>RR</t>
        </is>
      </c>
      <c r="C430" s="158" t="n">
        <v>2011</v>
      </c>
      <c r="D430" s="159" t="n">
        <v>5.43</v>
      </c>
      <c r="E430" s="159" t="n">
        <v>0.65</v>
      </c>
      <c r="F430" s="160" t="n">
        <v>7</v>
      </c>
      <c r="G430" s="161" t="n">
        <v>3.2189</v>
      </c>
      <c r="H430" s="161" t="n">
        <v>1.0986</v>
      </c>
      <c r="I430" s="160" t="n">
        <v>15872</v>
      </c>
      <c r="J430" s="161" t="n">
        <v>9.6723</v>
      </c>
      <c r="K430" s="162" t="n">
        <v>9.77</v>
      </c>
      <c r="L430" s="163" t="n">
        <v>0</v>
      </c>
      <c r="M430" s="163" t="n">
        <v>0</v>
      </c>
      <c r="N430" s="161" t="n">
        <v>80.8849</v>
      </c>
      <c r="O430" s="160" t="n">
        <v>460165</v>
      </c>
      <c r="P430" s="202" t="n">
        <v>25</v>
      </c>
      <c r="Q430" s="202" t="n">
        <v>319</v>
      </c>
      <c r="R430" s="202" t="n">
        <v>294</v>
      </c>
    </row>
    <row r="431" ht="12.75" customHeight="1" s="186">
      <c r="B431" s="164" t="inlineStr">
        <is>
          <t>RR</t>
        </is>
      </c>
      <c r="C431" s="165" t="n">
        <v>2012</v>
      </c>
      <c r="D431" s="166" t="n">
        <v>6.82</v>
      </c>
      <c r="E431" s="166" t="n">
        <v>1.7</v>
      </c>
      <c r="F431" s="167" t="n">
        <v>15</v>
      </c>
      <c r="G431" s="168" t="n">
        <v>3.4657</v>
      </c>
      <c r="H431" s="168" t="n">
        <v>2.0794</v>
      </c>
      <c r="I431" s="167" t="n">
        <v>16424</v>
      </c>
      <c r="J431" s="168" t="n">
        <v>9.7065</v>
      </c>
      <c r="K431" s="169" t="n">
        <v>10.18</v>
      </c>
      <c r="L431" s="170" t="n">
        <v>0</v>
      </c>
      <c r="M431" s="170" t="n">
        <v>0</v>
      </c>
      <c r="N431" s="168" t="n">
        <v>80.8849</v>
      </c>
      <c r="O431" s="167" t="n">
        <v>469524</v>
      </c>
      <c r="P431" s="202" t="n">
        <v>32</v>
      </c>
      <c r="Q431" s="202" t="n">
        <v>364</v>
      </c>
      <c r="R431" s="202" t="n">
        <v>332</v>
      </c>
    </row>
    <row r="432" ht="12.75" customHeight="1" s="186">
      <c r="B432" s="157" t="inlineStr">
        <is>
          <t>RR</t>
        </is>
      </c>
      <c r="C432" s="158" t="n">
        <v>2013</v>
      </c>
      <c r="D432" s="159" t="n">
        <v>14.14</v>
      </c>
      <c r="E432" s="159" t="n">
        <v>0</v>
      </c>
      <c r="F432" s="160" t="n">
        <v>15</v>
      </c>
      <c r="G432" s="161" t="n">
        <v>4.2341</v>
      </c>
      <c r="H432" s="161" t="n"/>
      <c r="I432" s="160" t="n">
        <v>18462</v>
      </c>
      <c r="J432" s="161" t="n">
        <v>9.823499999999999</v>
      </c>
      <c r="K432" s="162" t="n">
        <v>7.96</v>
      </c>
      <c r="L432" s="163" t="n">
        <v>0</v>
      </c>
      <c r="M432" s="163" t="n">
        <v>0</v>
      </c>
      <c r="N432" s="161" t="n">
        <v>80.8849</v>
      </c>
      <c r="O432" s="160" t="n">
        <v>488072</v>
      </c>
      <c r="P432" s="202" t="n">
        <v>68</v>
      </c>
      <c r="Q432" s="202" t="n">
        <v>441</v>
      </c>
      <c r="R432" s="202" t="n">
        <v>373</v>
      </c>
    </row>
    <row r="433" ht="12.75" customHeight="1" s="186">
      <c r="B433" s="164" t="inlineStr">
        <is>
          <t>RR</t>
        </is>
      </c>
      <c r="C433" s="165" t="n">
        <v>2014</v>
      </c>
      <c r="D433" s="166" t="n">
        <v>9.460000000000001</v>
      </c>
      <c r="E433" s="166" t="n">
        <v>0.2</v>
      </c>
      <c r="F433" s="167" t="n">
        <v>16</v>
      </c>
      <c r="G433" s="168" t="n">
        <v>3.8501</v>
      </c>
      <c r="H433" s="168" t="n">
        <v>0</v>
      </c>
      <c r="I433" s="167" t="n">
        <v>19608</v>
      </c>
      <c r="J433" s="168" t="n">
        <v>9.883699999999999</v>
      </c>
      <c r="K433" s="169" t="n">
        <v>8.24</v>
      </c>
      <c r="L433" s="170" t="n">
        <v>0</v>
      </c>
      <c r="M433" s="170" t="n">
        <v>0</v>
      </c>
      <c r="N433" s="168" t="n">
        <v>80.8849</v>
      </c>
      <c r="O433" s="167" t="n">
        <v>496936</v>
      </c>
      <c r="P433" s="202" t="n">
        <v>46</v>
      </c>
      <c r="Q433" s="202" t="n">
        <v>375</v>
      </c>
      <c r="R433" s="202" t="n">
        <v>329</v>
      </c>
    </row>
    <row r="434" ht="12.75" customHeight="1" s="186">
      <c r="B434" s="157" t="inlineStr">
        <is>
          <t>RR</t>
        </is>
      </c>
      <c r="C434" s="158" t="n">
        <v>2015</v>
      </c>
      <c r="D434" s="159" t="n">
        <v>11.67</v>
      </c>
      <c r="E434" s="159" t="n">
        <v>0.2</v>
      </c>
      <c r="F434" s="160" t="n">
        <v>17</v>
      </c>
      <c r="G434" s="161" t="n">
        <v>4.0775</v>
      </c>
      <c r="H434" s="161" t="n">
        <v>0</v>
      </c>
      <c r="I434" s="160" t="n">
        <v>20256</v>
      </c>
      <c r="J434" s="161" t="n">
        <v>9.9162</v>
      </c>
      <c r="K434" s="162" t="n">
        <v>8.699999999999999</v>
      </c>
      <c r="L434" s="163" t="n">
        <v>0</v>
      </c>
      <c r="M434" s="163" t="n">
        <v>0</v>
      </c>
      <c r="N434" s="161" t="n">
        <v>80.8849</v>
      </c>
      <c r="O434" s="160" t="n">
        <v>505665</v>
      </c>
      <c r="P434" s="202" t="n">
        <v>56</v>
      </c>
      <c r="Q434" s="202" t="n">
        <v>461</v>
      </c>
      <c r="R434" s="202" t="n">
        <v>405</v>
      </c>
    </row>
    <row r="435" ht="12.75" customHeight="1" s="186">
      <c r="B435" s="171" t="inlineStr">
        <is>
          <t>RR</t>
        </is>
      </c>
      <c r="C435" s="172" t="n">
        <v>2016</v>
      </c>
      <c r="D435" s="173" t="n">
        <v>13.61</v>
      </c>
      <c r="E435" s="173" t="n">
        <v>0</v>
      </c>
      <c r="F435" s="174" t="n">
        <v>17</v>
      </c>
      <c r="G435" s="175" t="n">
        <v>4.2485</v>
      </c>
      <c r="H435" s="175" t="n"/>
      <c r="I435" s="174" t="n">
        <v>21417</v>
      </c>
      <c r="J435" s="175" t="n">
        <v>9.9719</v>
      </c>
      <c r="K435" s="176" t="n">
        <v>8.9</v>
      </c>
      <c r="L435" s="177" t="n">
        <v>0</v>
      </c>
      <c r="M435" s="177" t="n">
        <v>0</v>
      </c>
      <c r="N435" s="175" t="n">
        <v>80.8849</v>
      </c>
      <c r="O435" s="174" t="n">
        <v>514229</v>
      </c>
      <c r="P435" s="202" t="n">
        <v>72</v>
      </c>
      <c r="Q435" s="202" t="n">
        <v>424</v>
      </c>
      <c r="R435" s="202" t="n">
        <v>352</v>
      </c>
    </row>
    <row r="436" ht="12.75" customHeight="1" s="186">
      <c r="B436" s="178" t="inlineStr">
        <is>
          <t>RR</t>
        </is>
      </c>
      <c r="C436" s="179" t="n">
        <v>2017</v>
      </c>
      <c r="D436" s="180" t="n">
        <v>18.37</v>
      </c>
      <c r="E436" s="180" t="n">
        <v>1.34</v>
      </c>
      <c r="F436" s="181" t="n">
        <v>24</v>
      </c>
      <c r="G436" s="182" t="n">
        <v>4.5643</v>
      </c>
      <c r="H436" s="182" t="n">
        <v>1.9459</v>
      </c>
      <c r="I436" s="181" t="n">
        <v>23161</v>
      </c>
      <c r="J436" s="182" t="n">
        <v>10.0502</v>
      </c>
      <c r="K436" s="183" t="n">
        <v>10</v>
      </c>
      <c r="L436" s="184" t="n">
        <v>0</v>
      </c>
      <c r="M436" s="184" t="n">
        <v>0</v>
      </c>
      <c r="N436" s="182" t="n">
        <v>80.8849</v>
      </c>
      <c r="O436" s="181" t="n">
        <v>522636</v>
      </c>
      <c r="P436" s="202" t="n">
        <v>92</v>
      </c>
      <c r="Q436" s="202" t="n">
        <v>521</v>
      </c>
      <c r="R436" s="202" t="n">
        <v>429</v>
      </c>
    </row>
    <row r="437" ht="12.75" customHeight="1" s="186">
      <c r="B437" s="171" t="inlineStr">
        <is>
          <t>RR</t>
        </is>
      </c>
      <c r="C437" s="172" t="n">
        <v>2018</v>
      </c>
      <c r="D437" s="173" t="n">
        <v>31.57</v>
      </c>
      <c r="E437" s="173" t="n">
        <v>2.78</v>
      </c>
      <c r="F437" s="174" t="n">
        <v>40</v>
      </c>
      <c r="G437" s="175" t="n">
        <v>5.204</v>
      </c>
      <c r="H437" s="175" t="n">
        <v>2.7726</v>
      </c>
      <c r="I437" s="174" t="n">
        <v>23189</v>
      </c>
      <c r="J437" s="175" t="n">
        <v>10.0514</v>
      </c>
      <c r="K437" s="176" t="n">
        <v>12.4</v>
      </c>
      <c r="L437" s="177" t="n">
        <v>0</v>
      </c>
      <c r="M437" s="177" t="n">
        <v>0</v>
      </c>
      <c r="N437" s="175" t="n">
        <v>80.8849</v>
      </c>
      <c r="O437" s="174" t="n">
        <v>576568</v>
      </c>
      <c r="P437" s="202" t="n">
        <v>181</v>
      </c>
      <c r="Q437" s="202" t="n">
        <v>619</v>
      </c>
      <c r="R437" s="202" t="n">
        <v>438</v>
      </c>
    </row>
    <row r="438" ht="12.75" customHeight="1" s="186">
      <c r="B438" s="178" t="inlineStr">
        <is>
          <t>RR</t>
        </is>
      </c>
      <c r="C438" s="179" t="n">
        <v>2019</v>
      </c>
      <c r="D438" s="180" t="n">
        <v>13.7</v>
      </c>
      <c r="E438" s="180" t="n">
        <v>10.4</v>
      </c>
      <c r="F438" s="181" t="n">
        <v>103</v>
      </c>
      <c r="G438" s="182" t="n">
        <v>4.4188</v>
      </c>
      <c r="H438" s="182" t="n">
        <v>4.1431</v>
      </c>
      <c r="I438" s="181" t="n">
        <v>23594</v>
      </c>
      <c r="J438" s="182" t="n">
        <v>10.0687</v>
      </c>
      <c r="K438" s="183" t="n">
        <v>15.1</v>
      </c>
      <c r="L438" s="184" t="n">
        <v>0</v>
      </c>
      <c r="M438" s="184" t="n">
        <v>0</v>
      </c>
      <c r="N438" s="182" t="n">
        <v>80.8849</v>
      </c>
      <c r="O438" s="181" t="n">
        <v>605761</v>
      </c>
      <c r="P438" s="202" t="n">
        <v>81</v>
      </c>
      <c r="Q438" s="202" t="n">
        <v>502</v>
      </c>
      <c r="R438" s="202" t="n">
        <v>421</v>
      </c>
    </row>
    <row r="439" ht="12.75" customHeight="1" s="186">
      <c r="B439" s="171" t="inlineStr">
        <is>
          <t>RR</t>
        </is>
      </c>
      <c r="C439" s="172" t="n">
        <v>2020</v>
      </c>
      <c r="D439" s="173" t="n">
        <v>16</v>
      </c>
      <c r="E439" s="173" t="n">
        <v>16.48</v>
      </c>
      <c r="F439" s="174" t="n">
        <v>207</v>
      </c>
      <c r="G439" s="175" t="n">
        <v>4.6151</v>
      </c>
      <c r="H439" s="175" t="n">
        <v>4.6444</v>
      </c>
      <c r="I439" s="174" t="n">
        <v>25388</v>
      </c>
      <c r="J439" s="175" t="n">
        <v>10.142</v>
      </c>
      <c r="K439" s="176" t="n">
        <v>16.8</v>
      </c>
      <c r="L439" s="177" t="n">
        <v>0</v>
      </c>
      <c r="M439" s="177" t="n">
        <v>1</v>
      </c>
      <c r="N439" s="175" t="n">
        <v>80.8849</v>
      </c>
      <c r="O439" s="174" t="n">
        <v>631181</v>
      </c>
      <c r="P439" s="202" t="n">
        <v>102</v>
      </c>
      <c r="Q439" s="202" t="n">
        <v>542</v>
      </c>
      <c r="R439" s="202" t="n">
        <v>440</v>
      </c>
    </row>
    <row r="440" ht="12.75" customHeight="1" s="186">
      <c r="B440" s="178" t="inlineStr">
        <is>
          <t>RR</t>
        </is>
      </c>
      <c r="C440" s="179" t="n">
        <v>2021</v>
      </c>
      <c r="D440" s="180" t="n">
        <v>16.09</v>
      </c>
      <c r="E440" s="180" t="n">
        <v>36.92</v>
      </c>
      <c r="F440" s="181" t="n">
        <v>448</v>
      </c>
      <c r="G440" s="182" t="n">
        <v>4.654</v>
      </c>
      <c r="H440" s="182" t="n">
        <v>5.4848</v>
      </c>
      <c r="I440" s="181" t="n">
        <v>27888</v>
      </c>
      <c r="J440" s="182" t="n">
        <v>10.236</v>
      </c>
      <c r="K440" s="183" t="n">
        <v>12.1</v>
      </c>
      <c r="L440" s="184" t="n">
        <v>0</v>
      </c>
      <c r="M440" s="184" t="n">
        <v>1</v>
      </c>
      <c r="N440" s="182" t="n">
        <v>80.8849</v>
      </c>
      <c r="O440" s="181" t="n">
        <v>652713</v>
      </c>
      <c r="P440" s="202" t="n">
        <v>104</v>
      </c>
      <c r="Q440" s="202" t="n">
        <v>585</v>
      </c>
      <c r="R440" s="202" t="n">
        <v>481</v>
      </c>
    </row>
    <row r="441" ht="12.75" customHeight="1" s="186">
      <c r="B441" s="171" t="inlineStr">
        <is>
          <t>RR</t>
        </is>
      </c>
      <c r="C441" s="172" t="n">
        <v>2022</v>
      </c>
      <c r="D441" s="173" t="n">
        <v>16.18</v>
      </c>
      <c r="E441" s="173" t="n">
        <v>80.88</v>
      </c>
      <c r="F441" s="174" t="n">
        <v>963</v>
      </c>
      <c r="G441" s="175" t="n">
        <v>4.6347</v>
      </c>
      <c r="H441" s="175" t="n">
        <v>6.2442</v>
      </c>
      <c r="I441" s="174" t="n">
        <v>33132</v>
      </c>
      <c r="J441" s="175" t="n">
        <v>10.4083</v>
      </c>
      <c r="K441" s="176" t="n">
        <v>6.1</v>
      </c>
      <c r="L441" s="177" t="n">
        <v>0</v>
      </c>
      <c r="M441" s="177" t="n">
        <v>0</v>
      </c>
      <c r="N441" s="175" t="n">
        <v>80.8849</v>
      </c>
      <c r="O441" s="174" t="n">
        <v>636707</v>
      </c>
      <c r="P441" s="202" t="n">
        <v>104</v>
      </c>
      <c r="Q441" s="202" t="n">
        <v>559</v>
      </c>
      <c r="R441" s="202" t="n">
        <v>455</v>
      </c>
    </row>
    <row r="442" ht="12.75" customHeight="1" s="186">
      <c r="B442" s="178" t="inlineStr">
        <is>
          <t>RR</t>
        </is>
      </c>
      <c r="C442" s="179" t="n">
        <v>2023</v>
      </c>
      <c r="D442" s="180" t="n">
        <v>16.49</v>
      </c>
      <c r="E442" s="180" t="n">
        <v>0.9399999999999999</v>
      </c>
      <c r="F442" s="181" t="n">
        <v>969</v>
      </c>
      <c r="G442" s="182" t="n">
        <v>4.654</v>
      </c>
      <c r="H442" s="182" t="n">
        <v>1.7918</v>
      </c>
      <c r="I442" s="181" t="n">
        <v>39461</v>
      </c>
      <c r="J442" s="182" t="n">
        <v>10.5831</v>
      </c>
      <c r="K442" s="183" t="n">
        <v>6.7</v>
      </c>
      <c r="L442" s="184" t="n">
        <v>1</v>
      </c>
      <c r="M442" s="184" t="n">
        <v>0</v>
      </c>
      <c r="N442" s="182" t="n">
        <v>80.8849</v>
      </c>
      <c r="O442" s="181" t="n">
        <v>636707</v>
      </c>
      <c r="P442" s="202" t="n">
        <v>105</v>
      </c>
      <c r="Q442" s="202" t="n">
        <v>533</v>
      </c>
      <c r="R442" s="202" t="n">
        <v>428</v>
      </c>
    </row>
    <row r="443" ht="12.75" customHeight="1" s="186">
      <c r="B443" s="171" t="inlineStr">
        <is>
          <t>RR</t>
        </is>
      </c>
      <c r="C443" s="172" t="n">
        <v>2024</v>
      </c>
      <c r="D443" s="173" t="n">
        <v>9.630000000000001</v>
      </c>
      <c r="E443" s="173" t="n">
        <v>7.81</v>
      </c>
      <c r="F443" s="174" t="n">
        <v>1025</v>
      </c>
      <c r="G443" s="175" t="n">
        <v>4.2341</v>
      </c>
      <c r="H443" s="175" t="n">
        <v>4.0254</v>
      </c>
      <c r="I443" s="174" t="n">
        <v>39946</v>
      </c>
      <c r="J443" s="175" t="n">
        <v>10.5953</v>
      </c>
      <c r="K443" s="176" t="n">
        <v>6.8</v>
      </c>
      <c r="L443" s="177" t="n">
        <v>1</v>
      </c>
      <c r="M443" s="177" t="n">
        <v>0</v>
      </c>
      <c r="N443" s="175" t="n">
        <v>80.8849</v>
      </c>
      <c r="O443" s="174" t="n">
        <v>716793</v>
      </c>
      <c r="P443" s="202" t="n">
        <v>71</v>
      </c>
      <c r="Q443" s="202" t="n">
        <v>491</v>
      </c>
      <c r="R443" s="202" t="n">
        <v>420</v>
      </c>
    </row>
    <row r="444" ht="12.75" customHeight="1" s="186">
      <c r="B444" s="157" t="inlineStr">
        <is>
          <t>RS</t>
        </is>
      </c>
      <c r="C444" s="158" t="n">
        <v>2005</v>
      </c>
      <c r="D444" s="159" t="n">
        <v>13.56</v>
      </c>
      <c r="E444" s="159" t="n">
        <v>1.38</v>
      </c>
      <c r="F444" s="160" t="n">
        <v>150</v>
      </c>
      <c r="G444" s="161" t="n">
        <v>7.2937</v>
      </c>
      <c r="H444" s="161" t="n">
        <v>5.0106</v>
      </c>
      <c r="I444" s="160" t="n">
        <v>13298</v>
      </c>
      <c r="J444" s="161" t="n">
        <v>9.4954</v>
      </c>
      <c r="K444" s="162" t="n">
        <v>7.21</v>
      </c>
      <c r="L444" s="163" t="n">
        <v>0</v>
      </c>
      <c r="M444" s="163" t="n">
        <v>0</v>
      </c>
      <c r="N444" s="161" t="n">
        <v>273.3079</v>
      </c>
      <c r="O444" s="160" t="n">
        <v>10845087</v>
      </c>
      <c r="P444" s="202" t="n">
        <v>1461</v>
      </c>
      <c r="Q444" s="202" t="n">
        <v>6227</v>
      </c>
      <c r="R444" s="202" t="n">
        <v>4766</v>
      </c>
    </row>
    <row r="445" ht="12.75" customHeight="1" s="186">
      <c r="B445" s="164" t="inlineStr">
        <is>
          <t>RS</t>
        </is>
      </c>
      <c r="C445" s="165" t="n">
        <v>2006</v>
      </c>
      <c r="D445" s="166" t="n">
        <v>12.94</v>
      </c>
      <c r="E445" s="166" t="n">
        <v>10.8</v>
      </c>
      <c r="F445" s="167" t="n">
        <v>1334</v>
      </c>
      <c r="G445" s="168" t="n">
        <v>7.2577</v>
      </c>
      <c r="H445" s="168" t="n">
        <v>7.0767</v>
      </c>
      <c r="I445" s="167" t="n">
        <v>14305</v>
      </c>
      <c r="J445" s="168" t="n">
        <v>9.5684</v>
      </c>
      <c r="K445" s="169" t="n">
        <v>6.92</v>
      </c>
      <c r="L445" s="170" t="n">
        <v>0</v>
      </c>
      <c r="M445" s="170" t="n">
        <v>0</v>
      </c>
      <c r="N445" s="168" t="n">
        <v>273.3079</v>
      </c>
      <c r="O445" s="167" t="n">
        <v>10963219</v>
      </c>
      <c r="P445" s="202" t="n">
        <v>1407</v>
      </c>
      <c r="Q445" s="202" t="n">
        <v>6248</v>
      </c>
      <c r="R445" s="202" t="n">
        <v>4841</v>
      </c>
    </row>
    <row r="446" ht="12.75" customHeight="1" s="186">
      <c r="B446" s="157" t="inlineStr">
        <is>
          <t>RS</t>
        </is>
      </c>
      <c r="C446" s="158" t="n">
        <v>2007</v>
      </c>
      <c r="D446" s="159" t="n">
        <v>15.64</v>
      </c>
      <c r="E446" s="159" t="n">
        <v>3.62</v>
      </c>
      <c r="F446" s="160" t="n">
        <v>1717</v>
      </c>
      <c r="G446" s="161" t="n">
        <v>7.4116</v>
      </c>
      <c r="H446" s="161" t="n">
        <v>5.948</v>
      </c>
      <c r="I446" s="160" t="n">
        <v>16689</v>
      </c>
      <c r="J446" s="161" t="n">
        <v>9.7225</v>
      </c>
      <c r="K446" s="162" t="n">
        <v>7.33</v>
      </c>
      <c r="L446" s="163" t="n">
        <v>0</v>
      </c>
      <c r="M446" s="163" t="n">
        <v>0</v>
      </c>
      <c r="N446" s="161" t="n">
        <v>273.3079</v>
      </c>
      <c r="O446" s="160" t="n">
        <v>10582887</v>
      </c>
      <c r="P446" s="202" t="n">
        <v>1634</v>
      </c>
      <c r="Q446" s="202" t="n">
        <v>6463</v>
      </c>
      <c r="R446" s="202" t="n">
        <v>4829</v>
      </c>
    </row>
    <row r="447" ht="12.75" customHeight="1" s="186">
      <c r="B447" s="164" t="inlineStr">
        <is>
          <t>RS</t>
        </is>
      </c>
      <c r="C447" s="165" t="n">
        <v>2008</v>
      </c>
      <c r="D447" s="166" t="n">
        <v>16.54</v>
      </c>
      <c r="E447" s="166" t="n">
        <v>2.93</v>
      </c>
      <c r="F447" s="167" t="n">
        <v>2035</v>
      </c>
      <c r="G447" s="168" t="n">
        <v>7.4928</v>
      </c>
      <c r="H447" s="168" t="n">
        <v>5.7621</v>
      </c>
      <c r="I447" s="167" t="n">
        <v>18378</v>
      </c>
      <c r="J447" s="168" t="n">
        <v>9.818899999999999</v>
      </c>
      <c r="K447" s="169" t="n">
        <v>6.08</v>
      </c>
      <c r="L447" s="170" t="n">
        <v>0</v>
      </c>
      <c r="M447" s="170" t="n">
        <v>0</v>
      </c>
      <c r="N447" s="168" t="n">
        <v>273.3079</v>
      </c>
      <c r="O447" s="167" t="n">
        <v>10855228</v>
      </c>
      <c r="P447" s="202" t="n">
        <v>1770</v>
      </c>
      <c r="Q447" s="202" t="n">
        <v>6523</v>
      </c>
      <c r="R447" s="202" t="n">
        <v>4753</v>
      </c>
    </row>
    <row r="448" ht="12.75" customHeight="1" s="186">
      <c r="B448" s="157" t="inlineStr">
        <is>
          <t>RS</t>
        </is>
      </c>
      <c r="C448" s="158" t="n">
        <v>2009</v>
      </c>
      <c r="D448" s="159" t="n">
        <v>15.04</v>
      </c>
      <c r="E448" s="159" t="n">
        <v>4.37</v>
      </c>
      <c r="F448" s="160" t="n">
        <v>2512</v>
      </c>
      <c r="G448" s="161" t="n">
        <v>7.4031</v>
      </c>
      <c r="H448" s="161" t="n">
        <v>6.1675</v>
      </c>
      <c r="I448" s="160" t="n">
        <v>19778</v>
      </c>
      <c r="J448" s="161" t="n">
        <v>9.892300000000001</v>
      </c>
      <c r="K448" s="162" t="n">
        <v>6.69</v>
      </c>
      <c r="L448" s="163" t="n">
        <v>0</v>
      </c>
      <c r="M448" s="163" t="n">
        <v>0</v>
      </c>
      <c r="N448" s="161" t="n">
        <v>273.3079</v>
      </c>
      <c r="O448" s="160" t="n">
        <v>10914128</v>
      </c>
      <c r="P448" s="202" t="n">
        <v>1618</v>
      </c>
      <c r="Q448" s="202" t="n">
        <v>6505</v>
      </c>
      <c r="R448" s="202" t="n">
        <v>4887</v>
      </c>
    </row>
    <row r="449" ht="12.75" customHeight="1" s="186">
      <c r="B449" s="164" t="inlineStr">
        <is>
          <t>RS</t>
        </is>
      </c>
      <c r="C449" s="165" t="n">
        <v>2010</v>
      </c>
      <c r="D449" s="166" t="n">
        <v>13.98</v>
      </c>
      <c r="E449" s="166" t="n">
        <v>3.4</v>
      </c>
      <c r="F449" s="167" t="n">
        <v>2876</v>
      </c>
      <c r="G449" s="168" t="n">
        <v>7.3099</v>
      </c>
      <c r="H449" s="168" t="n">
        <v>5.8972</v>
      </c>
      <c r="I449" s="167" t="n">
        <v>22559</v>
      </c>
      <c r="J449" s="168" t="n">
        <v>10.0239</v>
      </c>
      <c r="K449" s="169" t="n">
        <v>5.85</v>
      </c>
      <c r="L449" s="170" t="n">
        <v>0</v>
      </c>
      <c r="M449" s="170" t="n">
        <v>0</v>
      </c>
      <c r="N449" s="168" t="n">
        <v>273.3079</v>
      </c>
      <c r="O449" s="167" t="n">
        <v>10693929</v>
      </c>
      <c r="P449" s="202" t="n">
        <v>1467</v>
      </c>
      <c r="Q449" s="202" t="n">
        <v>6401</v>
      </c>
      <c r="R449" s="202" t="n">
        <v>4934</v>
      </c>
    </row>
    <row r="450" ht="12.75" customHeight="1" s="186">
      <c r="B450" s="157" t="inlineStr">
        <is>
          <t>RS</t>
        </is>
      </c>
      <c r="C450" s="158" t="n">
        <v>2011</v>
      </c>
      <c r="D450" s="159" t="n">
        <v>14.25</v>
      </c>
      <c r="E450" s="159" t="n">
        <v>8.529999999999999</v>
      </c>
      <c r="F450" s="160" t="n">
        <v>3791</v>
      </c>
      <c r="G450" s="161" t="n">
        <v>7.3324</v>
      </c>
      <c r="H450" s="161" t="n">
        <v>6.8189</v>
      </c>
      <c r="I450" s="160" t="n">
        <v>24695</v>
      </c>
      <c r="J450" s="161" t="n">
        <v>10.1144</v>
      </c>
      <c r="K450" s="162" t="n">
        <v>5.01</v>
      </c>
      <c r="L450" s="163" t="n">
        <v>0</v>
      </c>
      <c r="M450" s="163" t="n">
        <v>0</v>
      </c>
      <c r="N450" s="161" t="n">
        <v>273.3079</v>
      </c>
      <c r="O450" s="160" t="n">
        <v>10733030</v>
      </c>
      <c r="P450" s="202" t="n">
        <v>1506</v>
      </c>
      <c r="Q450" s="202" t="n">
        <v>6251</v>
      </c>
      <c r="R450" s="202" t="n">
        <v>4745</v>
      </c>
    </row>
    <row r="451" ht="12.75" customHeight="1" s="186">
      <c r="B451" s="164" t="inlineStr">
        <is>
          <t>RS</t>
        </is>
      </c>
      <c r="C451" s="165" t="n">
        <v>2012</v>
      </c>
      <c r="D451" s="166" t="n">
        <v>16.13</v>
      </c>
      <c r="E451" s="166" t="n">
        <v>4.53</v>
      </c>
      <c r="F451" s="167" t="n">
        <v>4279</v>
      </c>
      <c r="G451" s="168" t="n">
        <v>7.4599</v>
      </c>
      <c r="H451" s="168" t="n">
        <v>6.1903</v>
      </c>
      <c r="I451" s="167" t="n">
        <v>26707</v>
      </c>
      <c r="J451" s="168" t="n">
        <v>10.1927</v>
      </c>
      <c r="K451" s="169" t="n">
        <v>4.96</v>
      </c>
      <c r="L451" s="170" t="n">
        <v>0</v>
      </c>
      <c r="M451" s="170" t="n">
        <v>0</v>
      </c>
      <c r="N451" s="168" t="n">
        <v>273.3079</v>
      </c>
      <c r="O451" s="167" t="n">
        <v>10768025</v>
      </c>
      <c r="P451" s="202" t="n">
        <v>1715</v>
      </c>
      <c r="Q451" s="202" t="n">
        <v>6680</v>
      </c>
      <c r="R451" s="202" t="n">
        <v>4965</v>
      </c>
    </row>
    <row r="452" ht="12.75" customHeight="1" s="186">
      <c r="B452" s="157" t="inlineStr">
        <is>
          <t>RS</t>
        </is>
      </c>
      <c r="C452" s="158" t="n">
        <v>2013</v>
      </c>
      <c r="D452" s="159" t="n">
        <v>15.33</v>
      </c>
      <c r="E452" s="159" t="n">
        <v>1.87</v>
      </c>
      <c r="F452" s="160" t="n">
        <v>4488</v>
      </c>
      <c r="G452" s="161" t="n">
        <v>7.4448</v>
      </c>
      <c r="H452" s="161" t="n">
        <v>5.3423</v>
      </c>
      <c r="I452" s="160" t="n">
        <v>29765</v>
      </c>
      <c r="J452" s="161" t="n">
        <v>10.3011</v>
      </c>
      <c r="K452" s="162" t="n">
        <v>4.82</v>
      </c>
      <c r="L452" s="163" t="n">
        <v>0</v>
      </c>
      <c r="M452" s="163" t="n">
        <v>0</v>
      </c>
      <c r="N452" s="161" t="n">
        <v>273.3079</v>
      </c>
      <c r="O452" s="160" t="n">
        <v>11164043</v>
      </c>
      <c r="P452" s="202" t="n">
        <v>1686</v>
      </c>
      <c r="Q452" s="202" t="n">
        <v>6701</v>
      </c>
      <c r="R452" s="202" t="n">
        <v>5015</v>
      </c>
    </row>
    <row r="453" ht="12.75" customHeight="1" s="186">
      <c r="B453" s="164" t="inlineStr">
        <is>
          <t>RS</t>
        </is>
      </c>
      <c r="C453" s="165" t="n">
        <v>2014</v>
      </c>
      <c r="D453" s="166" t="n">
        <v>18.31</v>
      </c>
      <c r="E453" s="166" t="n">
        <v>1.86</v>
      </c>
      <c r="F453" s="167" t="n">
        <v>4696</v>
      </c>
      <c r="G453" s="168" t="n">
        <v>7.6266</v>
      </c>
      <c r="H453" s="168" t="n">
        <v>5.3375</v>
      </c>
      <c r="I453" s="167" t="n">
        <v>31927</v>
      </c>
      <c r="J453" s="168" t="n">
        <v>10.3712</v>
      </c>
      <c r="K453" s="169" t="n">
        <v>5</v>
      </c>
      <c r="L453" s="170" t="n">
        <v>0</v>
      </c>
      <c r="M453" s="170" t="n">
        <v>0</v>
      </c>
      <c r="N453" s="168" t="n">
        <v>273.3079</v>
      </c>
      <c r="O453" s="167" t="n">
        <v>11207274</v>
      </c>
      <c r="P453" s="202" t="n">
        <v>2039</v>
      </c>
      <c r="Q453" s="202" t="n">
        <v>6962</v>
      </c>
      <c r="R453" s="202" t="n">
        <v>4923</v>
      </c>
    </row>
    <row r="454" ht="12.75" customHeight="1" s="186">
      <c r="B454" s="157" t="inlineStr">
        <is>
          <t>RS</t>
        </is>
      </c>
      <c r="C454" s="158" t="n">
        <v>2015</v>
      </c>
      <c r="D454" s="159" t="n">
        <v>20.28</v>
      </c>
      <c r="E454" s="159" t="n">
        <v>4.23</v>
      </c>
      <c r="F454" s="160" t="n">
        <v>5172</v>
      </c>
      <c r="G454" s="161" t="n">
        <v>7.7324</v>
      </c>
      <c r="H454" s="161" t="n">
        <v>6.1654</v>
      </c>
      <c r="I454" s="160" t="n">
        <v>33961</v>
      </c>
      <c r="J454" s="161" t="n">
        <v>10.433</v>
      </c>
      <c r="K454" s="162" t="n">
        <v>6.4</v>
      </c>
      <c r="L454" s="163" t="n">
        <v>0</v>
      </c>
      <c r="M454" s="163" t="n">
        <v>0</v>
      </c>
      <c r="N454" s="161" t="n">
        <v>273.3079</v>
      </c>
      <c r="O454" s="160" t="n">
        <v>11247972</v>
      </c>
      <c r="P454" s="202" t="n">
        <v>2249</v>
      </c>
      <c r="Q454" s="202" t="n">
        <v>6763</v>
      </c>
      <c r="R454" s="202" t="n">
        <v>4514</v>
      </c>
    </row>
    <row r="455" ht="12.75" customHeight="1" s="186">
      <c r="B455" s="171" t="inlineStr">
        <is>
          <t>RS</t>
        </is>
      </c>
      <c r="C455" s="172" t="n">
        <v>2016</v>
      </c>
      <c r="D455" s="173" t="n">
        <v>22.2</v>
      </c>
      <c r="E455" s="173" t="n">
        <v>7.65</v>
      </c>
      <c r="F455" s="174" t="n">
        <v>6035</v>
      </c>
      <c r="G455" s="175" t="n">
        <v>7.8264</v>
      </c>
      <c r="H455" s="175" t="n">
        <v>6.7604</v>
      </c>
      <c r="I455" s="174" t="n">
        <v>36219</v>
      </c>
      <c r="J455" s="175" t="n">
        <v>10.4973</v>
      </c>
      <c r="K455" s="176" t="n">
        <v>8.300000000000001</v>
      </c>
      <c r="L455" s="177" t="n">
        <v>0</v>
      </c>
      <c r="M455" s="177" t="n">
        <v>0</v>
      </c>
      <c r="N455" s="175" t="n">
        <v>273.3079</v>
      </c>
      <c r="O455" s="174" t="n">
        <v>11286500</v>
      </c>
      <c r="P455" s="202" t="n">
        <v>2485</v>
      </c>
      <c r="Q455" s="202" t="n">
        <v>7214</v>
      </c>
      <c r="R455" s="202" t="n">
        <v>4729</v>
      </c>
    </row>
    <row r="456" ht="12.75" customHeight="1" s="186">
      <c r="B456" s="178" t="inlineStr">
        <is>
          <t>RS</t>
        </is>
      </c>
      <c r="C456" s="179" t="n">
        <v>2017</v>
      </c>
      <c r="D456" s="180" t="n">
        <v>22.8</v>
      </c>
      <c r="E456" s="180" t="n">
        <v>12.89</v>
      </c>
      <c r="F456" s="181" t="n">
        <v>7495</v>
      </c>
      <c r="G456" s="182" t="n">
        <v>7.8563</v>
      </c>
      <c r="H456" s="182" t="n">
        <v>7.2862</v>
      </c>
      <c r="I456" s="181" t="n">
        <v>37382</v>
      </c>
      <c r="J456" s="182" t="n">
        <v>10.5289</v>
      </c>
      <c r="K456" s="183" t="n">
        <v>8.5</v>
      </c>
      <c r="L456" s="184" t="n">
        <v>0</v>
      </c>
      <c r="M456" s="184" t="n">
        <v>0</v>
      </c>
      <c r="N456" s="182" t="n">
        <v>273.3079</v>
      </c>
      <c r="O456" s="181" t="n">
        <v>11322895</v>
      </c>
      <c r="P456" s="202" t="n">
        <v>2570</v>
      </c>
      <c r="Q456" s="202" t="n">
        <v>7387</v>
      </c>
      <c r="R456" s="202" t="n">
        <v>4817</v>
      </c>
    </row>
    <row r="457" ht="12.75" customHeight="1" s="186">
      <c r="B457" s="171" t="inlineStr">
        <is>
          <t>RS</t>
        </is>
      </c>
      <c r="C457" s="172" t="n">
        <v>2018</v>
      </c>
      <c r="D457" s="173" t="n">
        <v>18.26</v>
      </c>
      <c r="E457" s="173" t="n">
        <v>18.17</v>
      </c>
      <c r="F457" s="174" t="n">
        <v>9554</v>
      </c>
      <c r="G457" s="175" t="n">
        <v>7.6348</v>
      </c>
      <c r="H457" s="175" t="n">
        <v>7.63</v>
      </c>
      <c r="I457" s="174" t="n">
        <v>40363</v>
      </c>
      <c r="J457" s="175" t="n">
        <v>10.6057</v>
      </c>
      <c r="K457" s="176" t="n">
        <v>8.199999999999999</v>
      </c>
      <c r="L457" s="177" t="n">
        <v>0</v>
      </c>
      <c r="M457" s="177" t="n">
        <v>0</v>
      </c>
      <c r="N457" s="175" t="n">
        <v>273.3079</v>
      </c>
      <c r="O457" s="174" t="n">
        <v>11329605</v>
      </c>
      <c r="P457" s="202" t="n">
        <v>2049</v>
      </c>
      <c r="Q457" s="202" t="n">
        <v>6587</v>
      </c>
      <c r="R457" s="202" t="n">
        <v>4538</v>
      </c>
    </row>
    <row r="458" ht="12.75" customHeight="1" s="186">
      <c r="B458" s="178" t="inlineStr">
        <is>
          <t>RS</t>
        </is>
      </c>
      <c r="C458" s="179" t="n">
        <v>2019</v>
      </c>
      <c r="D458" s="180" t="n">
        <v>14.05</v>
      </c>
      <c r="E458" s="180" t="n">
        <v>96.31</v>
      </c>
      <c r="F458" s="181" t="n">
        <v>20511</v>
      </c>
      <c r="G458" s="182" t="n">
        <v>7.3771</v>
      </c>
      <c r="H458" s="182" t="n">
        <v>9.3017</v>
      </c>
      <c r="I458" s="181" t="n">
        <v>42406</v>
      </c>
      <c r="J458" s="182" t="n">
        <v>10.655</v>
      </c>
      <c r="K458" s="183" t="n">
        <v>8.199999999999999</v>
      </c>
      <c r="L458" s="184" t="n">
        <v>0</v>
      </c>
      <c r="M458" s="184" t="n">
        <v>0</v>
      </c>
      <c r="N458" s="182" t="n">
        <v>273.3079</v>
      </c>
      <c r="O458" s="181" t="n">
        <v>11377239</v>
      </c>
      <c r="P458" s="202" t="n">
        <v>1579</v>
      </c>
      <c r="Q458" s="202" t="n">
        <v>6201</v>
      </c>
      <c r="R458" s="202" t="n">
        <v>4622</v>
      </c>
    </row>
    <row r="459" ht="12.75" customHeight="1" s="186">
      <c r="B459" s="171" t="inlineStr">
        <is>
          <t>RS</t>
        </is>
      </c>
      <c r="C459" s="172" t="n">
        <v>2020</v>
      </c>
      <c r="D459" s="173" t="n">
        <v>13.46</v>
      </c>
      <c r="E459" s="173" t="n">
        <v>138.97</v>
      </c>
      <c r="F459" s="174" t="n">
        <v>36386</v>
      </c>
      <c r="G459" s="175" t="n">
        <v>7.3376</v>
      </c>
      <c r="H459" s="175" t="n">
        <v>9.672499999999999</v>
      </c>
      <c r="I459" s="174" t="n">
        <v>41228</v>
      </c>
      <c r="J459" s="175" t="n">
        <v>10.6269</v>
      </c>
      <c r="K459" s="176" t="n">
        <v>9.300000000000001</v>
      </c>
      <c r="L459" s="177" t="n">
        <v>0</v>
      </c>
      <c r="M459" s="177" t="n">
        <v>1</v>
      </c>
      <c r="N459" s="175" t="n">
        <v>273.3079</v>
      </c>
      <c r="O459" s="174" t="n">
        <v>11422973</v>
      </c>
      <c r="P459" s="202" t="n">
        <v>1521</v>
      </c>
      <c r="Q459" s="202" t="n">
        <v>5987</v>
      </c>
      <c r="R459" s="202" t="n">
        <v>4466</v>
      </c>
    </row>
    <row r="460" ht="12.75" customHeight="1" s="186">
      <c r="B460" s="178" t="inlineStr">
        <is>
          <t>RS</t>
        </is>
      </c>
      <c r="C460" s="179" t="n">
        <v>2021</v>
      </c>
      <c r="D460" s="180" t="n">
        <v>12.02</v>
      </c>
      <c r="E460" s="180" t="n">
        <v>215.13</v>
      </c>
      <c r="F460" s="181" t="n">
        <v>61054</v>
      </c>
      <c r="G460" s="182" t="n">
        <v>7.2284</v>
      </c>
      <c r="H460" s="182" t="n">
        <v>10.1133</v>
      </c>
      <c r="I460" s="181" t="n">
        <v>50694</v>
      </c>
      <c r="J460" s="182" t="n">
        <v>10.8336</v>
      </c>
      <c r="K460" s="183" t="n">
        <v>8.699999999999999</v>
      </c>
      <c r="L460" s="184" t="n">
        <v>0</v>
      </c>
      <c r="M460" s="184" t="n">
        <v>1</v>
      </c>
      <c r="N460" s="182" t="n">
        <v>273.3079</v>
      </c>
      <c r="O460" s="181" t="n">
        <v>11466630</v>
      </c>
      <c r="P460" s="202" t="n">
        <v>1366</v>
      </c>
      <c r="Q460" s="202" t="n">
        <v>6144</v>
      </c>
      <c r="R460" s="202" t="n">
        <v>4778</v>
      </c>
    </row>
    <row r="461" ht="12.75" customHeight="1" s="186">
      <c r="B461" s="171" t="inlineStr">
        <is>
          <t>RS</t>
        </is>
      </c>
      <c r="C461" s="172" t="n">
        <v>2022</v>
      </c>
      <c r="D461" s="173" t="n">
        <v>13.58</v>
      </c>
      <c r="E461" s="173" t="n">
        <v>273.31</v>
      </c>
      <c r="F461" s="174" t="n">
        <v>90798</v>
      </c>
      <c r="G461" s="175" t="n">
        <v>7.2984</v>
      </c>
      <c r="H461" s="175" t="n">
        <v>10.3004</v>
      </c>
      <c r="I461" s="174" t="n">
        <v>54547</v>
      </c>
      <c r="J461" s="175" t="n">
        <v>10.9068</v>
      </c>
      <c r="K461" s="176" t="n">
        <v>6.1</v>
      </c>
      <c r="L461" s="177" t="n">
        <v>0</v>
      </c>
      <c r="M461" s="177" t="n">
        <v>0</v>
      </c>
      <c r="N461" s="175" t="n">
        <v>273.3079</v>
      </c>
      <c r="O461" s="174" t="n">
        <v>10882965</v>
      </c>
      <c r="P461" s="202" t="n">
        <v>1456</v>
      </c>
      <c r="Q461" s="202" t="n">
        <v>6318</v>
      </c>
      <c r="R461" s="202" t="n">
        <v>4862</v>
      </c>
    </row>
    <row r="462" ht="12.75" customHeight="1" s="186">
      <c r="B462" s="178" t="inlineStr">
        <is>
          <t>RS</t>
        </is>
      </c>
      <c r="C462" s="179" t="n">
        <v>2023</v>
      </c>
      <c r="D462" s="180" t="n">
        <v>12.93</v>
      </c>
      <c r="E462" s="180" t="n">
        <v>1.38</v>
      </c>
      <c r="F462" s="181" t="n">
        <v>90948</v>
      </c>
      <c r="G462" s="182" t="n">
        <v>7.2492</v>
      </c>
      <c r="H462" s="182" t="n">
        <v>5.0106</v>
      </c>
      <c r="I462" s="181" t="n">
        <v>59736</v>
      </c>
      <c r="J462" s="182" t="n">
        <v>10.9977</v>
      </c>
      <c r="K462" s="183" t="n">
        <v>5.3</v>
      </c>
      <c r="L462" s="184" t="n">
        <v>1</v>
      </c>
      <c r="M462" s="184" t="n">
        <v>0</v>
      </c>
      <c r="N462" s="182" t="n">
        <v>273.3079</v>
      </c>
      <c r="O462" s="181" t="n">
        <v>10882965</v>
      </c>
      <c r="P462" s="202" t="n">
        <v>1393</v>
      </c>
      <c r="Q462" s="202" t="n">
        <v>6446</v>
      </c>
      <c r="R462" s="202" t="n">
        <v>5053</v>
      </c>
    </row>
    <row r="463" ht="12.75" customHeight="1" s="186">
      <c r="B463" s="171" t="inlineStr">
        <is>
          <t>RS</t>
        </is>
      </c>
      <c r="C463" s="172" t="n">
        <v>2024</v>
      </c>
      <c r="D463" s="173" t="n">
        <v>10.93</v>
      </c>
      <c r="E463" s="173" t="n">
        <v>47.75</v>
      </c>
      <c r="F463" s="174" t="n">
        <v>96310</v>
      </c>
      <c r="G463" s="175" t="n">
        <v>7.1123</v>
      </c>
      <c r="H463" s="175" t="n">
        <v>8.5871</v>
      </c>
      <c r="I463" s="174" t="n">
        <v>61199</v>
      </c>
      <c r="J463" s="175" t="n">
        <v>11.0219</v>
      </c>
      <c r="K463" s="176" t="n">
        <v>5.1</v>
      </c>
      <c r="L463" s="177" t="n">
        <v>1</v>
      </c>
      <c r="M463" s="177" t="n">
        <v>0</v>
      </c>
      <c r="N463" s="175" t="n">
        <v>273.3079</v>
      </c>
      <c r="O463" s="174" t="n">
        <v>11229915</v>
      </c>
      <c r="P463" s="202" t="n">
        <v>1211</v>
      </c>
      <c r="Q463" s="202" t="n">
        <v>6382</v>
      </c>
      <c r="R463" s="202" t="n">
        <v>5171</v>
      </c>
    </row>
    <row r="464" ht="12.75" customHeight="1" s="186">
      <c r="B464" s="157" t="inlineStr">
        <is>
          <t>SC</t>
        </is>
      </c>
      <c r="C464" s="158" t="n">
        <v>2005</v>
      </c>
      <c r="D464" s="159" t="n">
        <v>6.58</v>
      </c>
      <c r="E464" s="159" t="n">
        <v>1.35</v>
      </c>
      <c r="F464" s="160" t="n">
        <v>79</v>
      </c>
      <c r="G464" s="161" t="n">
        <v>5.9558</v>
      </c>
      <c r="H464" s="161" t="n">
        <v>4.3694</v>
      </c>
      <c r="I464" s="160" t="n">
        <v>14543</v>
      </c>
      <c r="J464" s="161" t="n">
        <v>9.584899999999999</v>
      </c>
      <c r="K464" s="162" t="n">
        <v>4.91</v>
      </c>
      <c r="L464" s="163" t="n">
        <v>0</v>
      </c>
      <c r="M464" s="163" t="n">
        <v>0</v>
      </c>
      <c r="N464" s="161" t="n">
        <v>371.165</v>
      </c>
      <c r="O464" s="160" t="n">
        <v>5866568</v>
      </c>
      <c r="P464" s="202" t="n">
        <v>387</v>
      </c>
      <c r="Q464" s="202" t="n">
        <v>3664</v>
      </c>
      <c r="R464" s="202" t="n">
        <v>3277</v>
      </c>
    </row>
    <row r="465" ht="12.75" customHeight="1" s="186">
      <c r="B465" s="164" t="inlineStr">
        <is>
          <t>SC</t>
        </is>
      </c>
      <c r="C465" s="165" t="n">
        <v>2006</v>
      </c>
      <c r="D465" s="166" t="n">
        <v>6.39</v>
      </c>
      <c r="E465" s="166" t="n">
        <v>0.89</v>
      </c>
      <c r="F465" s="167" t="n">
        <v>132</v>
      </c>
      <c r="G465" s="168" t="n">
        <v>5.9428</v>
      </c>
      <c r="H465" s="168" t="n">
        <v>3.9703</v>
      </c>
      <c r="I465" s="167" t="n">
        <v>15633</v>
      </c>
      <c r="J465" s="168" t="n">
        <v>9.6571</v>
      </c>
      <c r="K465" s="169" t="n">
        <v>5.16</v>
      </c>
      <c r="L465" s="170" t="n">
        <v>0</v>
      </c>
      <c r="M465" s="170" t="n">
        <v>0</v>
      </c>
      <c r="N465" s="168" t="n">
        <v>371.165</v>
      </c>
      <c r="O465" s="167" t="n">
        <v>5958266</v>
      </c>
      <c r="P465" s="202" t="n">
        <v>383</v>
      </c>
      <c r="Q465" s="202" t="n">
        <v>3581</v>
      </c>
      <c r="R465" s="202" t="n">
        <v>3198</v>
      </c>
    </row>
    <row r="466" ht="12.75" customHeight="1" s="186">
      <c r="B466" s="157" t="inlineStr">
        <is>
          <t>SC</t>
        </is>
      </c>
      <c r="C466" s="158" t="n">
        <v>2007</v>
      </c>
      <c r="D466" s="159" t="n">
        <v>6.44</v>
      </c>
      <c r="E466" s="159" t="n">
        <v>0.68</v>
      </c>
      <c r="F466" s="160" t="n">
        <v>172</v>
      </c>
      <c r="G466" s="161" t="n">
        <v>5.9349</v>
      </c>
      <c r="H466" s="161" t="n">
        <v>3.6889</v>
      </c>
      <c r="I466" s="160" t="n">
        <v>17834</v>
      </c>
      <c r="J466" s="161" t="n">
        <v>9.7889</v>
      </c>
      <c r="K466" s="162" t="n">
        <v>5.2</v>
      </c>
      <c r="L466" s="163" t="n">
        <v>0</v>
      </c>
      <c r="M466" s="163" t="n">
        <v>0</v>
      </c>
      <c r="N466" s="161" t="n">
        <v>371.165</v>
      </c>
      <c r="O466" s="160" t="n">
        <v>5866487</v>
      </c>
      <c r="P466" s="202" t="n">
        <v>376</v>
      </c>
      <c r="Q466" s="202" t="n">
        <v>3660</v>
      </c>
      <c r="R466" s="202" t="n">
        <v>3284</v>
      </c>
    </row>
    <row r="467" ht="12.75" customHeight="1" s="186">
      <c r="B467" s="164" t="inlineStr">
        <is>
          <t>SC</t>
        </is>
      </c>
      <c r="C467" s="165" t="n">
        <v>2008</v>
      </c>
      <c r="D467" s="166" t="n">
        <v>8.24</v>
      </c>
      <c r="E467" s="166" t="n">
        <v>1.14</v>
      </c>
      <c r="F467" s="167" t="n">
        <v>241</v>
      </c>
      <c r="G467" s="168" t="n">
        <v>6.2126</v>
      </c>
      <c r="H467" s="168" t="n">
        <v>4.2341</v>
      </c>
      <c r="I467" s="167" t="n">
        <v>20368</v>
      </c>
      <c r="J467" s="168" t="n">
        <v>9.9217</v>
      </c>
      <c r="K467" s="169" t="n">
        <v>4.75</v>
      </c>
      <c r="L467" s="170" t="n">
        <v>0</v>
      </c>
      <c r="M467" s="170" t="n">
        <v>0</v>
      </c>
      <c r="N467" s="168" t="n">
        <v>371.165</v>
      </c>
      <c r="O467" s="167" t="n">
        <v>6052587</v>
      </c>
      <c r="P467" s="202" t="n">
        <v>501</v>
      </c>
      <c r="Q467" s="202" t="n">
        <v>3803</v>
      </c>
      <c r="R467" s="202" t="n">
        <v>3302</v>
      </c>
    </row>
    <row r="468" ht="12.75" customHeight="1" s="186">
      <c r="B468" s="157" t="inlineStr">
        <is>
          <t>SC</t>
        </is>
      </c>
      <c r="C468" s="158" t="n">
        <v>2009</v>
      </c>
      <c r="D468" s="159" t="n">
        <v>8.25</v>
      </c>
      <c r="E468" s="159" t="n">
        <v>2.47</v>
      </c>
      <c r="F468" s="160" t="n">
        <v>392</v>
      </c>
      <c r="G468" s="161" t="n">
        <v>6.2246</v>
      </c>
      <c r="H468" s="161" t="n">
        <v>5.0173</v>
      </c>
      <c r="I468" s="160" t="n">
        <v>21214</v>
      </c>
      <c r="J468" s="161" t="n">
        <v>9.962400000000001</v>
      </c>
      <c r="K468" s="162" t="n">
        <v>5.65</v>
      </c>
      <c r="L468" s="163" t="n">
        <v>0</v>
      </c>
      <c r="M468" s="163" t="n">
        <v>0</v>
      </c>
      <c r="N468" s="161" t="n">
        <v>371.165</v>
      </c>
      <c r="O468" s="160" t="n">
        <v>6118743</v>
      </c>
      <c r="P468" s="202" t="n">
        <v>506</v>
      </c>
      <c r="Q468" s="202" t="n">
        <v>3750</v>
      </c>
      <c r="R468" s="202" t="n">
        <v>3244</v>
      </c>
    </row>
    <row r="469" ht="12.75" customHeight="1" s="186">
      <c r="B469" s="164" t="inlineStr">
        <is>
          <t>SC</t>
        </is>
      </c>
      <c r="C469" s="165" t="n">
        <v>2010</v>
      </c>
      <c r="D469" s="166" t="n">
        <v>7.63</v>
      </c>
      <c r="E469" s="166" t="n">
        <v>1.95</v>
      </c>
      <c r="F469" s="167" t="n">
        <v>514</v>
      </c>
      <c r="G469" s="168" t="n">
        <v>6.1675</v>
      </c>
      <c r="H469" s="168" t="n">
        <v>4.804</v>
      </c>
      <c r="I469" s="167" t="n">
        <v>24602</v>
      </c>
      <c r="J469" s="168" t="n">
        <v>10.1106</v>
      </c>
      <c r="K469" s="169" t="n">
        <v>4.63</v>
      </c>
      <c r="L469" s="170" t="n">
        <v>0</v>
      </c>
      <c r="M469" s="170" t="n">
        <v>0</v>
      </c>
      <c r="N469" s="168" t="n">
        <v>371.165</v>
      </c>
      <c r="O469" s="167" t="n">
        <v>6248436</v>
      </c>
      <c r="P469" s="202" t="n">
        <v>479</v>
      </c>
      <c r="Q469" s="202" t="n">
        <v>3776</v>
      </c>
      <c r="R469" s="202" t="n">
        <v>3297</v>
      </c>
    </row>
    <row r="470" ht="12.75" customHeight="1" s="186">
      <c r="B470" s="157" t="inlineStr">
        <is>
          <t>SC</t>
        </is>
      </c>
      <c r="C470" s="158" t="n">
        <v>2011</v>
      </c>
      <c r="D470" s="159" t="n">
        <v>7.61</v>
      </c>
      <c r="E470" s="159" t="n">
        <v>3.09</v>
      </c>
      <c r="F470" s="160" t="n">
        <v>709</v>
      </c>
      <c r="G470" s="161" t="n">
        <v>6.1759</v>
      </c>
      <c r="H470" s="161" t="n">
        <v>5.273</v>
      </c>
      <c r="I470" s="160" t="n">
        <v>27555</v>
      </c>
      <c r="J470" s="161" t="n">
        <v>10.2239</v>
      </c>
      <c r="K470" s="162" t="n">
        <v>3.61</v>
      </c>
      <c r="L470" s="163" t="n">
        <v>0</v>
      </c>
      <c r="M470" s="163" t="n">
        <v>0</v>
      </c>
      <c r="N470" s="161" t="n">
        <v>371.165</v>
      </c>
      <c r="O470" s="160" t="n">
        <v>6317054</v>
      </c>
      <c r="P470" s="202" t="n">
        <v>479</v>
      </c>
      <c r="Q470" s="202" t="n">
        <v>3903</v>
      </c>
      <c r="R470" s="202" t="n">
        <v>3424</v>
      </c>
    </row>
    <row r="471" ht="12.75" customHeight="1" s="186">
      <c r="B471" s="164" t="inlineStr">
        <is>
          <t>SC</t>
        </is>
      </c>
      <c r="C471" s="165" t="n">
        <v>2012</v>
      </c>
      <c r="D471" s="166" t="n">
        <v>7.78</v>
      </c>
      <c r="E471" s="166" t="n">
        <v>2.45</v>
      </c>
      <c r="F471" s="167" t="n">
        <v>865</v>
      </c>
      <c r="G471" s="168" t="n">
        <v>6.2046</v>
      </c>
      <c r="H471" s="168" t="n">
        <v>5.0499</v>
      </c>
      <c r="I471" s="167" t="n">
        <v>30143</v>
      </c>
      <c r="J471" s="168" t="n">
        <v>10.3137</v>
      </c>
      <c r="K471" s="169" t="n">
        <v>3.14</v>
      </c>
      <c r="L471" s="170" t="n">
        <v>0</v>
      </c>
      <c r="M471" s="170" t="n">
        <v>0</v>
      </c>
      <c r="N471" s="168" t="n">
        <v>371.165</v>
      </c>
      <c r="O471" s="167" t="n">
        <v>6362734</v>
      </c>
      <c r="P471" s="202" t="n">
        <v>486</v>
      </c>
      <c r="Q471" s="202" t="n">
        <v>3847</v>
      </c>
      <c r="R471" s="202" t="n">
        <v>3361</v>
      </c>
    </row>
    <row r="472" ht="12.75" customHeight="1" s="186">
      <c r="B472" s="157" t="inlineStr">
        <is>
          <t>SC</t>
        </is>
      </c>
      <c r="C472" s="158" t="n">
        <v>2013</v>
      </c>
      <c r="D472" s="159" t="n">
        <v>6.62</v>
      </c>
      <c r="E472" s="159" t="n">
        <v>1.18</v>
      </c>
      <c r="F472" s="160" t="n">
        <v>943</v>
      </c>
      <c r="G472" s="161" t="n">
        <v>6.0845</v>
      </c>
      <c r="H472" s="161" t="n">
        <v>4.3567</v>
      </c>
      <c r="I472" s="160" t="n">
        <v>32334</v>
      </c>
      <c r="J472" s="161" t="n">
        <v>10.3839</v>
      </c>
      <c r="K472" s="162" t="n">
        <v>3.36</v>
      </c>
      <c r="L472" s="163" t="n">
        <v>0</v>
      </c>
      <c r="M472" s="163" t="n">
        <v>0</v>
      </c>
      <c r="N472" s="161" t="n">
        <v>371.165</v>
      </c>
      <c r="O472" s="160" t="n">
        <v>6634254</v>
      </c>
      <c r="P472" s="202" t="n">
        <v>439</v>
      </c>
      <c r="Q472" s="202" t="n">
        <v>3612</v>
      </c>
      <c r="R472" s="202" t="n">
        <v>3173</v>
      </c>
    </row>
    <row r="473" ht="12.75" customHeight="1" s="186">
      <c r="B473" s="164" t="inlineStr">
        <is>
          <t>SC</t>
        </is>
      </c>
      <c r="C473" s="165" t="n">
        <v>2014</v>
      </c>
      <c r="D473" s="166" t="n">
        <v>7.37</v>
      </c>
      <c r="E473" s="166" t="n">
        <v>2.04</v>
      </c>
      <c r="F473" s="167" t="n">
        <v>1080</v>
      </c>
      <c r="G473" s="168" t="n">
        <v>6.2066</v>
      </c>
      <c r="H473" s="168" t="n">
        <v>4.92</v>
      </c>
      <c r="I473" s="167" t="n">
        <v>36056</v>
      </c>
      <c r="J473" s="168" t="n">
        <v>10.4928</v>
      </c>
      <c r="K473" s="169" t="n">
        <v>3.13</v>
      </c>
      <c r="L473" s="170" t="n">
        <v>0</v>
      </c>
      <c r="M473" s="170" t="n">
        <v>0</v>
      </c>
      <c r="N473" s="168" t="n">
        <v>371.165</v>
      </c>
      <c r="O473" s="167" t="n">
        <v>6727148</v>
      </c>
      <c r="P473" s="202" t="n">
        <v>491</v>
      </c>
      <c r="Q473" s="202" t="n">
        <v>3956</v>
      </c>
      <c r="R473" s="202" t="n">
        <v>3465</v>
      </c>
    </row>
    <row r="474" ht="12.75" customHeight="1" s="186">
      <c r="B474" s="157" t="inlineStr">
        <is>
          <t>SC</t>
        </is>
      </c>
      <c r="C474" s="158" t="n">
        <v>2015</v>
      </c>
      <c r="D474" s="159" t="n">
        <v>8.26</v>
      </c>
      <c r="E474" s="159" t="n">
        <v>2.23</v>
      </c>
      <c r="F474" s="160" t="n">
        <v>1232</v>
      </c>
      <c r="G474" s="161" t="n">
        <v>6.3333</v>
      </c>
      <c r="H474" s="161" t="n">
        <v>5.0239</v>
      </c>
      <c r="I474" s="160" t="n">
        <v>36526</v>
      </c>
      <c r="J474" s="161" t="n">
        <v>10.5058</v>
      </c>
      <c r="K474" s="162" t="n">
        <v>4.2</v>
      </c>
      <c r="L474" s="163" t="n">
        <v>0</v>
      </c>
      <c r="M474" s="163" t="n">
        <v>0</v>
      </c>
      <c r="N474" s="161" t="n">
        <v>371.165</v>
      </c>
      <c r="O474" s="160" t="n">
        <v>6819190</v>
      </c>
      <c r="P474" s="202" t="n">
        <v>563</v>
      </c>
      <c r="Q474" s="202" t="n">
        <v>3762</v>
      </c>
      <c r="R474" s="202" t="n">
        <v>3199</v>
      </c>
    </row>
    <row r="475" ht="12.75" customHeight="1" s="186">
      <c r="B475" s="171" t="inlineStr">
        <is>
          <t>SC</t>
        </is>
      </c>
      <c r="C475" s="172" t="n">
        <v>2016</v>
      </c>
      <c r="D475" s="173" t="n">
        <v>8.800000000000001</v>
      </c>
      <c r="E475" s="173" t="n">
        <v>6.29</v>
      </c>
      <c r="F475" s="174" t="n">
        <v>1667</v>
      </c>
      <c r="G475" s="175" t="n">
        <v>6.4102</v>
      </c>
      <c r="H475" s="175" t="n">
        <v>6.0753</v>
      </c>
      <c r="I475" s="174" t="n">
        <v>37154</v>
      </c>
      <c r="J475" s="175" t="n">
        <v>10.5228</v>
      </c>
      <c r="K475" s="176" t="n">
        <v>6.4</v>
      </c>
      <c r="L475" s="177" t="n">
        <v>0</v>
      </c>
      <c r="M475" s="177" t="n">
        <v>0</v>
      </c>
      <c r="N475" s="175" t="n">
        <v>371.165</v>
      </c>
      <c r="O475" s="174" t="n">
        <v>6910553</v>
      </c>
      <c r="P475" s="202" t="n">
        <v>602</v>
      </c>
      <c r="Q475" s="202" t="n">
        <v>3835</v>
      </c>
      <c r="R475" s="202" t="n">
        <v>3233</v>
      </c>
    </row>
    <row r="476" ht="12.75" customHeight="1" s="186">
      <c r="B476" s="178" t="inlineStr">
        <is>
          <t>SC</t>
        </is>
      </c>
      <c r="C476" s="179" t="n">
        <v>2017</v>
      </c>
      <c r="D476" s="180" t="n">
        <v>9.56</v>
      </c>
      <c r="E476" s="180" t="n">
        <v>7.14</v>
      </c>
      <c r="F476" s="181" t="n">
        <v>2167</v>
      </c>
      <c r="G476" s="182" t="n">
        <v>6.5058</v>
      </c>
      <c r="H476" s="182" t="n">
        <v>6.2146</v>
      </c>
      <c r="I476" s="181" t="n">
        <v>39603</v>
      </c>
      <c r="J476" s="182" t="n">
        <v>10.5867</v>
      </c>
      <c r="K476" s="183" t="n">
        <v>7.2</v>
      </c>
      <c r="L476" s="184" t="n">
        <v>0</v>
      </c>
      <c r="M476" s="184" t="n">
        <v>0</v>
      </c>
      <c r="N476" s="182" t="n">
        <v>371.165</v>
      </c>
      <c r="O476" s="181" t="n">
        <v>7001161</v>
      </c>
      <c r="P476" s="202" t="n">
        <v>649</v>
      </c>
      <c r="Q476" s="202" t="n">
        <v>4004</v>
      </c>
      <c r="R476" s="202" t="n">
        <v>3355</v>
      </c>
    </row>
    <row r="477" ht="12.75" customHeight="1" s="186">
      <c r="B477" s="171" t="inlineStr">
        <is>
          <t>SC</t>
        </is>
      </c>
      <c r="C477" s="172" t="n">
        <v>2018</v>
      </c>
      <c r="D477" s="173" t="n">
        <v>6.35</v>
      </c>
      <c r="E477" s="173" t="n">
        <v>14.74</v>
      </c>
      <c r="F477" s="174" t="n">
        <v>3210</v>
      </c>
      <c r="G477" s="175" t="n">
        <v>6.107</v>
      </c>
      <c r="H477" s="175" t="n">
        <v>6.9499</v>
      </c>
      <c r="I477" s="174" t="n">
        <v>42149</v>
      </c>
      <c r="J477" s="175" t="n">
        <v>10.649</v>
      </c>
      <c r="K477" s="176" t="n">
        <v>6.5</v>
      </c>
      <c r="L477" s="177" t="n">
        <v>0</v>
      </c>
      <c r="M477" s="177" t="n">
        <v>0</v>
      </c>
      <c r="N477" s="175" t="n">
        <v>371.165</v>
      </c>
      <c r="O477" s="174" t="n">
        <v>7075494</v>
      </c>
      <c r="P477" s="202" t="n">
        <v>442</v>
      </c>
      <c r="Q477" s="202" t="n">
        <v>3632</v>
      </c>
      <c r="R477" s="202" t="n">
        <v>3190</v>
      </c>
    </row>
    <row r="478" ht="12.75" customHeight="1" s="186">
      <c r="B478" s="178" t="inlineStr">
        <is>
          <t>SC</t>
        </is>
      </c>
      <c r="C478" s="179" t="n">
        <v>2019</v>
      </c>
      <c r="D478" s="180" t="n">
        <v>5.51</v>
      </c>
      <c r="E478" s="180" t="n">
        <v>100.77</v>
      </c>
      <c r="F478" s="181" t="n">
        <v>10430</v>
      </c>
      <c r="G478" s="182" t="n">
        <v>5.9789</v>
      </c>
      <c r="H478" s="182" t="n">
        <v>8.884600000000001</v>
      </c>
      <c r="I478" s="181" t="n">
        <v>45118</v>
      </c>
      <c r="J478" s="182" t="n">
        <v>10.717</v>
      </c>
      <c r="K478" s="183" t="n">
        <v>6.2</v>
      </c>
      <c r="L478" s="184" t="n">
        <v>0</v>
      </c>
      <c r="M478" s="184" t="n">
        <v>0</v>
      </c>
      <c r="N478" s="182" t="n">
        <v>371.165</v>
      </c>
      <c r="O478" s="181" t="n">
        <v>7164788</v>
      </c>
      <c r="P478" s="202" t="n">
        <v>378</v>
      </c>
      <c r="Q478" s="202" t="n">
        <v>3650</v>
      </c>
      <c r="R478" s="202" t="n">
        <v>3272</v>
      </c>
    </row>
    <row r="479" ht="12.75" customHeight="1" s="186">
      <c r="B479" s="171" t="inlineStr">
        <is>
          <t>SC</t>
        </is>
      </c>
      <c r="C479" s="172" t="n">
        <v>2020</v>
      </c>
      <c r="D479" s="173" t="n">
        <v>5.27</v>
      </c>
      <c r="E479" s="173" t="n">
        <v>179.33</v>
      </c>
      <c r="F479" s="174" t="n">
        <v>23436</v>
      </c>
      <c r="G479" s="175" t="n">
        <v>5.9454</v>
      </c>
      <c r="H479" s="175" t="n">
        <v>9.4732</v>
      </c>
      <c r="I479" s="174" t="n">
        <v>48159</v>
      </c>
      <c r="J479" s="175" t="n">
        <v>10.7823</v>
      </c>
      <c r="K479" s="176" t="n">
        <v>6.3</v>
      </c>
      <c r="L479" s="177" t="n">
        <v>0</v>
      </c>
      <c r="M479" s="177" t="n">
        <v>1</v>
      </c>
      <c r="N479" s="175" t="n">
        <v>371.165</v>
      </c>
      <c r="O479" s="174" t="n">
        <v>7252502</v>
      </c>
      <c r="P479" s="202" t="n">
        <v>369</v>
      </c>
      <c r="Q479" s="202" t="n">
        <v>3656</v>
      </c>
      <c r="R479" s="202" t="n">
        <v>3287</v>
      </c>
    </row>
    <row r="480" ht="12.75" customHeight="1" s="186">
      <c r="B480" s="178" t="inlineStr">
        <is>
          <t>SC</t>
        </is>
      </c>
      <c r="C480" s="179" t="n">
        <v>2021</v>
      </c>
      <c r="D480" s="180" t="n">
        <v>5.18</v>
      </c>
      <c r="E480" s="180" t="n">
        <v>153.79</v>
      </c>
      <c r="F480" s="181" t="n">
        <v>34722</v>
      </c>
      <c r="G480" s="182" t="n">
        <v>5.9402</v>
      </c>
      <c r="H480" s="182" t="n">
        <v>9.331300000000001</v>
      </c>
      <c r="I480" s="181" t="n">
        <v>58401</v>
      </c>
      <c r="J480" s="182" t="n">
        <v>10.9751</v>
      </c>
      <c r="K480" s="183" t="n">
        <v>5.5</v>
      </c>
      <c r="L480" s="184" t="n">
        <v>0</v>
      </c>
      <c r="M480" s="184" t="n">
        <v>1</v>
      </c>
      <c r="N480" s="182" t="n">
        <v>371.165</v>
      </c>
      <c r="O480" s="181" t="n">
        <v>7338473</v>
      </c>
      <c r="P480" s="202" t="n">
        <v>374</v>
      </c>
      <c r="Q480" s="202" t="n">
        <v>3857</v>
      </c>
      <c r="R480" s="202" t="n">
        <v>3483</v>
      </c>
    </row>
    <row r="481" ht="12.75" customHeight="1" s="186">
      <c r="B481" s="171" t="inlineStr">
        <is>
          <t>SC</t>
        </is>
      </c>
      <c r="C481" s="172" t="n">
        <v>2022</v>
      </c>
      <c r="D481" s="173" t="n">
        <v>4.11</v>
      </c>
      <c r="E481" s="173" t="n">
        <v>371.17</v>
      </c>
      <c r="F481" s="174" t="n">
        <v>62969</v>
      </c>
      <c r="G481" s="175" t="n">
        <v>5.7462</v>
      </c>
      <c r="H481" s="175" t="n">
        <v>10.2487</v>
      </c>
      <c r="I481" s="174" t="n">
        <v>61268</v>
      </c>
      <c r="J481" s="175" t="n">
        <v>11.023</v>
      </c>
      <c r="K481" s="176" t="n">
        <v>3.9</v>
      </c>
      <c r="L481" s="177" t="n">
        <v>0</v>
      </c>
      <c r="M481" s="177" t="n">
        <v>0</v>
      </c>
      <c r="N481" s="175" t="n">
        <v>371.165</v>
      </c>
      <c r="O481" s="174" t="n">
        <v>7610361</v>
      </c>
      <c r="P481" s="202" t="n">
        <v>318</v>
      </c>
      <c r="Q481" s="202" t="n">
        <v>3946</v>
      </c>
      <c r="R481" s="202" t="n">
        <v>3628</v>
      </c>
    </row>
    <row r="482" ht="12.75" customHeight="1" s="186">
      <c r="B482" s="178" t="inlineStr">
        <is>
          <t>SC</t>
        </is>
      </c>
      <c r="C482" s="179" t="n">
        <v>2023</v>
      </c>
      <c r="D482" s="180" t="n">
        <v>3.9</v>
      </c>
      <c r="E482" s="180" t="n">
        <v>0.97</v>
      </c>
      <c r="F482" s="181" t="n">
        <v>63043</v>
      </c>
      <c r="G482" s="182" t="n">
        <v>5.6937</v>
      </c>
      <c r="H482" s="182" t="n">
        <v>4.3041</v>
      </c>
      <c r="I482" s="181" t="n">
        <v>67460</v>
      </c>
      <c r="J482" s="182" t="n">
        <v>11.1193</v>
      </c>
      <c r="K482" s="183" t="n">
        <v>3.5</v>
      </c>
      <c r="L482" s="184" t="n">
        <v>1</v>
      </c>
      <c r="M482" s="184" t="n">
        <v>0</v>
      </c>
      <c r="N482" s="182" t="n">
        <v>371.165</v>
      </c>
      <c r="O482" s="181" t="n">
        <v>7610361</v>
      </c>
      <c r="P482" s="202" t="n">
        <v>291</v>
      </c>
      <c r="Q482" s="202" t="n">
        <v>4031</v>
      </c>
      <c r="R482" s="202" t="n">
        <v>3740</v>
      </c>
    </row>
    <row r="483" ht="12.75" customHeight="1" s="186">
      <c r="B483" s="171" t="inlineStr">
        <is>
          <t>SC</t>
        </is>
      </c>
      <c r="C483" s="172" t="n">
        <v>2024</v>
      </c>
      <c r="D483" s="173" t="n">
        <v>3.78</v>
      </c>
      <c r="E483" s="173" t="n">
        <v>72.78</v>
      </c>
      <c r="F483" s="174" t="n">
        <v>68908</v>
      </c>
      <c r="G483" s="175" t="n">
        <v>5.7203</v>
      </c>
      <c r="H483" s="175" t="n">
        <v>8.6768</v>
      </c>
      <c r="I483" s="174" t="n">
        <v>69506</v>
      </c>
      <c r="J483" s="175" t="n">
        <v>11.1492</v>
      </c>
      <c r="K483" s="176" t="n">
        <v>3.1</v>
      </c>
      <c r="L483" s="177" t="n">
        <v>1</v>
      </c>
      <c r="M483" s="177" t="n">
        <v>0</v>
      </c>
      <c r="N483" s="175" t="n">
        <v>371.165</v>
      </c>
      <c r="O483" s="174" t="n">
        <v>8058441</v>
      </c>
      <c r="P483" s="202" t="n">
        <v>293</v>
      </c>
      <c r="Q483" s="202" t="n">
        <v>4149</v>
      </c>
      <c r="R483" s="202" t="n">
        <v>3856</v>
      </c>
    </row>
    <row r="484" ht="12.75" customHeight="1" s="186">
      <c r="B484" s="157" t="inlineStr">
        <is>
          <t>SE</t>
        </is>
      </c>
      <c r="C484" s="158" t="n">
        <v>2005</v>
      </c>
      <c r="D484" s="159" t="n">
        <v>16.52</v>
      </c>
      <c r="E484" s="159" t="n">
        <v>0</v>
      </c>
      <c r="F484" s="160" t="n">
        <v>0</v>
      </c>
      <c r="G484" s="161" t="n">
        <v>5.7838</v>
      </c>
      <c r="H484" s="161" t="n"/>
      <c r="I484" s="160" t="n">
        <v>6823</v>
      </c>
      <c r="J484" s="161" t="n">
        <v>8.828099999999999</v>
      </c>
      <c r="K484" s="162" t="n">
        <v>13.98</v>
      </c>
      <c r="L484" s="163" t="n">
        <v>0</v>
      </c>
      <c r="M484" s="163" t="n">
        <v>0</v>
      </c>
      <c r="N484" s="161" t="n">
        <v>47.4207</v>
      </c>
      <c r="O484" s="160" t="n">
        <v>1967791</v>
      </c>
      <c r="P484" s="202" t="n">
        <v>316</v>
      </c>
      <c r="Q484" s="202" t="n">
        <v>1173</v>
      </c>
      <c r="R484" s="202" t="n">
        <v>857</v>
      </c>
    </row>
    <row r="485" ht="12.75" customHeight="1" s="186">
      <c r="B485" s="164" t="inlineStr">
        <is>
          <t>SE</t>
        </is>
      </c>
      <c r="C485" s="165" t="n">
        <v>2006</v>
      </c>
      <c r="D485" s="166" t="n">
        <v>20.69</v>
      </c>
      <c r="E485" s="166" t="n">
        <v>0</v>
      </c>
      <c r="F485" s="167" t="n">
        <v>0</v>
      </c>
      <c r="G485" s="168" t="n">
        <v>6.0259</v>
      </c>
      <c r="H485" s="168" t="n"/>
      <c r="I485" s="167" t="n">
        <v>7559</v>
      </c>
      <c r="J485" s="168" t="n">
        <v>8.9305</v>
      </c>
      <c r="K485" s="169" t="n">
        <v>10.29</v>
      </c>
      <c r="L485" s="170" t="n">
        <v>0</v>
      </c>
      <c r="M485" s="170" t="n">
        <v>0</v>
      </c>
      <c r="N485" s="168" t="n">
        <v>47.4207</v>
      </c>
      <c r="O485" s="167" t="n">
        <v>2000738</v>
      </c>
      <c r="P485" s="202" t="n">
        <v>400</v>
      </c>
      <c r="Q485" s="202" t="n">
        <v>1283</v>
      </c>
      <c r="R485" s="202" t="n">
        <v>883</v>
      </c>
    </row>
    <row r="486" ht="12.75" customHeight="1" s="186">
      <c r="B486" s="157" t="inlineStr">
        <is>
          <t>SE</t>
        </is>
      </c>
      <c r="C486" s="158" t="n">
        <v>2007</v>
      </c>
      <c r="D486" s="159" t="n">
        <v>17.84</v>
      </c>
      <c r="E486" s="159" t="n">
        <v>0</v>
      </c>
      <c r="F486" s="160" t="n">
        <v>0</v>
      </c>
      <c r="G486" s="161" t="n">
        <v>5.8464</v>
      </c>
      <c r="H486" s="161" t="n"/>
      <c r="I486" s="160" t="n">
        <v>8712</v>
      </c>
      <c r="J486" s="161" t="n">
        <v>9.0725</v>
      </c>
      <c r="K486" s="162" t="n">
        <v>9.77</v>
      </c>
      <c r="L486" s="163" t="n">
        <v>0</v>
      </c>
      <c r="M486" s="163" t="n">
        <v>0</v>
      </c>
      <c r="N486" s="161" t="n">
        <v>47.4207</v>
      </c>
      <c r="O486" s="160" t="n">
        <v>1939426</v>
      </c>
      <c r="P486" s="202" t="n">
        <v>346</v>
      </c>
      <c r="Q486" s="202" t="n">
        <v>1234</v>
      </c>
      <c r="R486" s="202" t="n">
        <v>888</v>
      </c>
    </row>
    <row r="487" ht="12.75" customHeight="1" s="186">
      <c r="B487" s="164" t="inlineStr">
        <is>
          <t>SE</t>
        </is>
      </c>
      <c r="C487" s="165" t="n">
        <v>2008</v>
      </c>
      <c r="D487" s="166" t="n">
        <v>18.66</v>
      </c>
      <c r="E487" s="166" t="n">
        <v>0</v>
      </c>
      <c r="F487" s="167" t="n">
        <v>0</v>
      </c>
      <c r="G487" s="168" t="n">
        <v>5.9216</v>
      </c>
      <c r="H487" s="168" t="n"/>
      <c r="I487" s="167" t="n">
        <v>9779</v>
      </c>
      <c r="J487" s="168" t="n">
        <v>9.188000000000001</v>
      </c>
      <c r="K487" s="169" t="n">
        <v>8.43</v>
      </c>
      <c r="L487" s="170" t="n">
        <v>0</v>
      </c>
      <c r="M487" s="170" t="n">
        <v>0</v>
      </c>
      <c r="N487" s="168" t="n">
        <v>47.4207</v>
      </c>
      <c r="O487" s="167" t="n">
        <v>1999374</v>
      </c>
      <c r="P487" s="202" t="n">
        <v>367</v>
      </c>
      <c r="Q487" s="202" t="n">
        <v>1318</v>
      </c>
      <c r="R487" s="202" t="n">
        <v>951</v>
      </c>
    </row>
    <row r="488" ht="12.75" customHeight="1" s="186">
      <c r="B488" s="157" t="inlineStr">
        <is>
          <t>SE</t>
        </is>
      </c>
      <c r="C488" s="158" t="n">
        <v>2009</v>
      </c>
      <c r="D488" s="159" t="n">
        <v>22.18</v>
      </c>
      <c r="E488" s="159" t="n">
        <v>0</v>
      </c>
      <c r="F488" s="160" t="n">
        <v>0</v>
      </c>
      <c r="G488" s="161" t="n">
        <v>6.1048</v>
      </c>
      <c r="H488" s="161" t="n"/>
      <c r="I488" s="160" t="n">
        <v>9787</v>
      </c>
      <c r="J488" s="161" t="n">
        <v>9.188800000000001</v>
      </c>
      <c r="K488" s="162" t="n">
        <v>12.01</v>
      </c>
      <c r="L488" s="163" t="n">
        <v>0</v>
      </c>
      <c r="M488" s="163" t="n">
        <v>0</v>
      </c>
      <c r="N488" s="161" t="n">
        <v>47.4207</v>
      </c>
      <c r="O488" s="160" t="n">
        <v>2019679</v>
      </c>
      <c r="P488" s="202" t="n">
        <v>450</v>
      </c>
      <c r="Q488" s="202" t="n">
        <v>1485</v>
      </c>
      <c r="R488" s="202" t="n">
        <v>1035</v>
      </c>
    </row>
    <row r="489" ht="12.75" customHeight="1" s="186">
      <c r="B489" s="164" t="inlineStr">
        <is>
          <t>SE</t>
        </is>
      </c>
      <c r="C489" s="165" t="n">
        <v>2010</v>
      </c>
      <c r="D489" s="166" t="n">
        <v>22.29</v>
      </c>
      <c r="E489" s="166" t="n">
        <v>0</v>
      </c>
      <c r="F489" s="167" t="n">
        <v>0</v>
      </c>
      <c r="G489" s="168" t="n">
        <v>6.1334</v>
      </c>
      <c r="H489" s="168" t="n"/>
      <c r="I489" s="167" t="n">
        <v>12768</v>
      </c>
      <c r="J489" s="168" t="n">
        <v>9.454700000000001</v>
      </c>
      <c r="K489" s="169" t="n">
        <v>10.48</v>
      </c>
      <c r="L489" s="170" t="n">
        <v>0</v>
      </c>
      <c r="M489" s="170" t="n">
        <v>0</v>
      </c>
      <c r="N489" s="168" t="n">
        <v>47.4207</v>
      </c>
      <c r="O489" s="167" t="n">
        <v>2068017</v>
      </c>
      <c r="P489" s="202" t="n">
        <v>450</v>
      </c>
      <c r="Q489" s="202" t="n">
        <v>1642</v>
      </c>
      <c r="R489" s="202" t="n">
        <v>1192</v>
      </c>
    </row>
    <row r="490" ht="12.75" customHeight="1" s="186">
      <c r="B490" s="157" t="inlineStr">
        <is>
          <t>SE</t>
        </is>
      </c>
      <c r="C490" s="158" t="n">
        <v>2011</v>
      </c>
      <c r="D490" s="159" t="n">
        <v>25.17</v>
      </c>
      <c r="E490" s="159" t="n">
        <v>0</v>
      </c>
      <c r="F490" s="160" t="n">
        <v>0</v>
      </c>
      <c r="G490" s="161" t="n">
        <v>6.2653</v>
      </c>
      <c r="H490" s="161" t="n"/>
      <c r="I490" s="160" t="n">
        <v>13929</v>
      </c>
      <c r="J490" s="161" t="n">
        <v>9.541700000000001</v>
      </c>
      <c r="K490" s="162" t="n">
        <v>8.960000000000001</v>
      </c>
      <c r="L490" s="163" t="n">
        <v>0</v>
      </c>
      <c r="M490" s="163" t="n">
        <v>0</v>
      </c>
      <c r="N490" s="161" t="n">
        <v>47.4207</v>
      </c>
      <c r="O490" s="160" t="n">
        <v>2089819</v>
      </c>
      <c r="P490" s="202" t="n">
        <v>521</v>
      </c>
      <c r="Q490" s="202" t="n">
        <v>1615</v>
      </c>
      <c r="R490" s="202" t="n">
        <v>1094</v>
      </c>
    </row>
    <row r="491" ht="12.75" customHeight="1" s="186">
      <c r="B491" s="164" t="inlineStr">
        <is>
          <t>SE</t>
        </is>
      </c>
      <c r="C491" s="165" t="n">
        <v>2012</v>
      </c>
      <c r="D491" s="166" t="n">
        <v>30.94</v>
      </c>
      <c r="E491" s="166" t="n">
        <v>0.05</v>
      </c>
      <c r="F491" s="167" t="n">
        <v>1</v>
      </c>
      <c r="G491" s="168" t="n">
        <v>6.4816</v>
      </c>
      <c r="H491" s="168" t="n">
        <v>0</v>
      </c>
      <c r="I491" s="167" t="n">
        <v>15564</v>
      </c>
      <c r="J491" s="168" t="n">
        <v>9.652699999999999</v>
      </c>
      <c r="K491" s="169" t="n">
        <v>8.5</v>
      </c>
      <c r="L491" s="170" t="n">
        <v>0</v>
      </c>
      <c r="M491" s="170" t="n">
        <v>0</v>
      </c>
      <c r="N491" s="168" t="n">
        <v>47.4207</v>
      </c>
      <c r="O491" s="167" t="n">
        <v>2110867</v>
      </c>
      <c r="P491" s="202" t="n">
        <v>645</v>
      </c>
      <c r="Q491" s="202" t="n">
        <v>1778</v>
      </c>
      <c r="R491" s="202" t="n">
        <v>1133</v>
      </c>
    </row>
    <row r="492" ht="12.75" customHeight="1" s="186">
      <c r="B492" s="157" t="inlineStr">
        <is>
          <t>SE</t>
        </is>
      </c>
      <c r="C492" s="158" t="n">
        <v>2013</v>
      </c>
      <c r="D492" s="159" t="n">
        <v>32.93</v>
      </c>
      <c r="E492" s="159" t="n">
        <v>0.14</v>
      </c>
      <c r="F492" s="160" t="n">
        <v>4</v>
      </c>
      <c r="G492" s="161" t="n">
        <v>6.5834</v>
      </c>
      <c r="H492" s="161" t="n">
        <v>1.0986</v>
      </c>
      <c r="I492" s="160" t="n">
        <v>16094</v>
      </c>
      <c r="J492" s="161" t="n">
        <v>9.686199999999999</v>
      </c>
      <c r="K492" s="162" t="n">
        <v>9.32</v>
      </c>
      <c r="L492" s="163" t="n">
        <v>0</v>
      </c>
      <c r="M492" s="163" t="n">
        <v>0</v>
      </c>
      <c r="N492" s="161" t="n">
        <v>47.4207</v>
      </c>
      <c r="O492" s="160" t="n">
        <v>2195662</v>
      </c>
      <c r="P492" s="202" t="n">
        <v>730</v>
      </c>
      <c r="Q492" s="202" t="n">
        <v>1969</v>
      </c>
      <c r="R492" s="202" t="n">
        <v>1239</v>
      </c>
    </row>
    <row r="493" ht="12.75" customHeight="1" s="186">
      <c r="B493" s="164" t="inlineStr">
        <is>
          <t>SE</t>
        </is>
      </c>
      <c r="C493" s="165" t="n">
        <v>2014</v>
      </c>
      <c r="D493" s="166" t="n">
        <v>40.37</v>
      </c>
      <c r="E493" s="166" t="n">
        <v>0</v>
      </c>
      <c r="F493" s="167" t="n">
        <v>4</v>
      </c>
      <c r="G493" s="168" t="n">
        <v>6.7979</v>
      </c>
      <c r="H493" s="168" t="n"/>
      <c r="I493" s="167" t="n">
        <v>16883</v>
      </c>
      <c r="J493" s="168" t="n">
        <v>9.7341</v>
      </c>
      <c r="K493" s="169" t="n">
        <v>8.65</v>
      </c>
      <c r="L493" s="170" t="n">
        <v>0</v>
      </c>
      <c r="M493" s="170" t="n">
        <v>0</v>
      </c>
      <c r="N493" s="168" t="n">
        <v>47.4207</v>
      </c>
      <c r="O493" s="167" t="n">
        <v>2219574</v>
      </c>
      <c r="P493" s="202" t="n">
        <v>894</v>
      </c>
      <c r="Q493" s="202" t="n">
        <v>1966</v>
      </c>
      <c r="R493" s="202" t="n">
        <v>1072</v>
      </c>
    </row>
    <row r="494" ht="12.75" customHeight="1" s="186">
      <c r="B494" s="157" t="inlineStr">
        <is>
          <t>SE</t>
        </is>
      </c>
      <c r="C494" s="158" t="n">
        <v>2015</v>
      </c>
      <c r="D494" s="159" t="n">
        <v>49.09</v>
      </c>
      <c r="E494" s="159" t="n">
        <v>0.36</v>
      </c>
      <c r="F494" s="160" t="n">
        <v>12</v>
      </c>
      <c r="G494" s="161" t="n">
        <v>7.004</v>
      </c>
      <c r="H494" s="161" t="n">
        <v>2.0794</v>
      </c>
      <c r="I494" s="160" t="n">
        <v>17190</v>
      </c>
      <c r="J494" s="161" t="n">
        <v>9.7521</v>
      </c>
      <c r="K494" s="162" t="n">
        <v>9.199999999999999</v>
      </c>
      <c r="L494" s="163" t="n">
        <v>0</v>
      </c>
      <c r="M494" s="163" t="n">
        <v>0</v>
      </c>
      <c r="N494" s="161" t="n">
        <v>47.4207</v>
      </c>
      <c r="O494" s="160" t="n">
        <v>2242937</v>
      </c>
      <c r="P494" s="202" t="n">
        <v>1104</v>
      </c>
      <c r="Q494" s="202" t="n">
        <v>2210</v>
      </c>
      <c r="R494" s="202" t="n">
        <v>1106</v>
      </c>
    </row>
    <row r="495" ht="12.75" customHeight="1" s="186">
      <c r="B495" s="171" t="inlineStr">
        <is>
          <t>SE</t>
        </is>
      </c>
      <c r="C495" s="172" t="n">
        <v>2016</v>
      </c>
      <c r="D495" s="173" t="n">
        <v>55.74</v>
      </c>
      <c r="E495" s="173" t="n">
        <v>2.43</v>
      </c>
      <c r="F495" s="174" t="n">
        <v>67</v>
      </c>
      <c r="G495" s="175" t="n">
        <v>7.1412</v>
      </c>
      <c r="H495" s="175" t="n">
        <v>4.0073</v>
      </c>
      <c r="I495" s="174" t="n">
        <v>17159</v>
      </c>
      <c r="J495" s="175" t="n">
        <v>9.750299999999999</v>
      </c>
      <c r="K495" s="176" t="n">
        <v>13.6</v>
      </c>
      <c r="L495" s="177" t="n">
        <v>0</v>
      </c>
      <c r="M495" s="177" t="n">
        <v>0</v>
      </c>
      <c r="N495" s="175" t="n">
        <v>47.4207</v>
      </c>
      <c r="O495" s="174" t="n">
        <v>2265779</v>
      </c>
      <c r="P495" s="202" t="n">
        <v>1256</v>
      </c>
      <c r="Q495" s="202" t="n">
        <v>2281</v>
      </c>
      <c r="R495" s="202" t="n">
        <v>1025</v>
      </c>
    </row>
    <row r="496" ht="12.75" customHeight="1" s="186">
      <c r="B496" s="178" t="inlineStr">
        <is>
          <t>SE</t>
        </is>
      </c>
      <c r="C496" s="179" t="n">
        <v>2017</v>
      </c>
      <c r="D496" s="180" t="n">
        <v>47.94</v>
      </c>
      <c r="E496" s="180" t="n">
        <v>3.76</v>
      </c>
      <c r="F496" s="181" t="n">
        <v>153</v>
      </c>
      <c r="G496" s="182" t="n">
        <v>7.0003</v>
      </c>
      <c r="H496" s="182" t="n">
        <v>4.4543</v>
      </c>
      <c r="I496" s="181" t="n">
        <v>17793</v>
      </c>
      <c r="J496" s="182" t="n">
        <v>9.7866</v>
      </c>
      <c r="K496" s="183" t="n">
        <v>14.6</v>
      </c>
      <c r="L496" s="184" t="n">
        <v>0</v>
      </c>
      <c r="M496" s="184" t="n">
        <v>0</v>
      </c>
      <c r="N496" s="182" t="n">
        <v>47.4207</v>
      </c>
      <c r="O496" s="181" t="n">
        <v>2288116</v>
      </c>
      <c r="P496" s="202" t="n">
        <v>1104</v>
      </c>
      <c r="Q496" s="202" t="n">
        <v>2098</v>
      </c>
      <c r="R496" s="202" t="n">
        <v>994</v>
      </c>
    </row>
    <row r="497" ht="12.75" customHeight="1" s="186">
      <c r="B497" s="171" t="inlineStr">
        <is>
          <t>SE</t>
        </is>
      </c>
      <c r="C497" s="172" t="n">
        <v>2018</v>
      </c>
      <c r="D497" s="173" t="n">
        <v>42.18</v>
      </c>
      <c r="E497" s="173" t="n">
        <v>4.13</v>
      </c>
      <c r="F497" s="174" t="n">
        <v>247</v>
      </c>
      <c r="G497" s="175" t="n">
        <v>6.868</v>
      </c>
      <c r="H497" s="175" t="n">
        <v>4.5433</v>
      </c>
      <c r="I497" s="174" t="n">
        <v>18443</v>
      </c>
      <c r="J497" s="175" t="n">
        <v>9.8224</v>
      </c>
      <c r="K497" s="176" t="n">
        <v>16.8</v>
      </c>
      <c r="L497" s="177" t="n">
        <v>0</v>
      </c>
      <c r="M497" s="177" t="n">
        <v>0</v>
      </c>
      <c r="N497" s="175" t="n">
        <v>47.4207</v>
      </c>
      <c r="O497" s="174" t="n">
        <v>2278308</v>
      </c>
      <c r="P497" s="202" t="n">
        <v>957</v>
      </c>
      <c r="Q497" s="202" t="n">
        <v>1881</v>
      </c>
      <c r="R497" s="202" t="n">
        <v>924</v>
      </c>
    </row>
    <row r="498" ht="12.75" customHeight="1" s="186">
      <c r="B498" s="178" t="inlineStr">
        <is>
          <t>SE</t>
        </is>
      </c>
      <c r="C498" s="179" t="n">
        <v>2019</v>
      </c>
      <c r="D498" s="180" t="n">
        <v>33.93</v>
      </c>
      <c r="E498" s="180" t="n">
        <v>15.84</v>
      </c>
      <c r="F498" s="181" t="n">
        <v>611</v>
      </c>
      <c r="G498" s="182" t="n">
        <v>6.6593</v>
      </c>
      <c r="H498" s="182" t="n">
        <v>5.8972</v>
      </c>
      <c r="I498" s="181" t="n">
        <v>19441</v>
      </c>
      <c r="J498" s="182" t="n">
        <v>9.8751</v>
      </c>
      <c r="K498" s="183" t="n">
        <v>15.2</v>
      </c>
      <c r="L498" s="184" t="n">
        <v>0</v>
      </c>
      <c r="M498" s="184" t="n">
        <v>0</v>
      </c>
      <c r="N498" s="182" t="n">
        <v>47.4207</v>
      </c>
      <c r="O498" s="181" t="n">
        <v>2298696</v>
      </c>
      <c r="P498" s="202" t="n">
        <v>770</v>
      </c>
      <c r="Q498" s="202" t="n">
        <v>1732</v>
      </c>
      <c r="R498" s="202" t="n">
        <v>962</v>
      </c>
    </row>
    <row r="499" ht="12.75" customHeight="1" s="186">
      <c r="B499" s="171" t="inlineStr">
        <is>
          <t>SE</t>
        </is>
      </c>
      <c r="C499" s="172" t="n">
        <v>2020</v>
      </c>
      <c r="D499" s="173" t="n">
        <v>35.49</v>
      </c>
      <c r="E499" s="173" t="n">
        <v>26.69</v>
      </c>
      <c r="F499" s="174" t="n">
        <v>1230</v>
      </c>
      <c r="G499" s="175" t="n">
        <v>6.713</v>
      </c>
      <c r="H499" s="175" t="n">
        <v>6.4281</v>
      </c>
      <c r="I499" s="174" t="n">
        <v>19583</v>
      </c>
      <c r="J499" s="175" t="n">
        <v>9.882400000000001</v>
      </c>
      <c r="K499" s="176" t="n">
        <v>18.9</v>
      </c>
      <c r="L499" s="177" t="n">
        <v>0</v>
      </c>
      <c r="M499" s="177" t="n">
        <v>1</v>
      </c>
      <c r="N499" s="175" t="n">
        <v>47.4207</v>
      </c>
      <c r="O499" s="174" t="n">
        <v>2318822</v>
      </c>
      <c r="P499" s="202" t="n">
        <v>817</v>
      </c>
      <c r="Q499" s="202" t="n">
        <v>1767</v>
      </c>
      <c r="R499" s="202" t="n">
        <v>950</v>
      </c>
    </row>
    <row r="500" ht="12.75" customHeight="1" s="186">
      <c r="B500" s="178" t="inlineStr">
        <is>
          <t>SE</t>
        </is>
      </c>
      <c r="C500" s="179" t="n">
        <v>2021</v>
      </c>
      <c r="D500" s="180" t="n">
        <v>28.39</v>
      </c>
      <c r="E500" s="180" t="n">
        <v>42.89</v>
      </c>
      <c r="F500" s="181" t="n">
        <v>2233</v>
      </c>
      <c r="G500" s="182" t="n">
        <v>6.4983</v>
      </c>
      <c r="H500" s="182" t="n">
        <v>6.9108</v>
      </c>
      <c r="I500" s="181" t="n">
        <v>22177</v>
      </c>
      <c r="J500" s="182" t="n">
        <v>10.0068</v>
      </c>
      <c r="K500" s="183" t="n">
        <v>18</v>
      </c>
      <c r="L500" s="184" t="n">
        <v>0</v>
      </c>
      <c r="M500" s="184" t="n">
        <v>1</v>
      </c>
      <c r="N500" s="182" t="n">
        <v>47.4207</v>
      </c>
      <c r="O500" s="181" t="n">
        <v>2338474</v>
      </c>
      <c r="P500" s="202" t="n">
        <v>661</v>
      </c>
      <c r="Q500" s="202" t="n">
        <v>1581</v>
      </c>
      <c r="R500" s="202" t="n">
        <v>920</v>
      </c>
    </row>
    <row r="501" ht="12.75" customHeight="1" s="186">
      <c r="B501" s="171" t="inlineStr">
        <is>
          <t>SE</t>
        </is>
      </c>
      <c r="C501" s="172" t="n">
        <v>2022</v>
      </c>
      <c r="D501" s="173" t="n">
        <v>29.59</v>
      </c>
      <c r="E501" s="173" t="n">
        <v>47.42</v>
      </c>
      <c r="F501" s="174" t="n">
        <v>3281</v>
      </c>
      <c r="G501" s="175" t="n">
        <v>6.4831</v>
      </c>
      <c r="H501" s="175" t="n">
        <v>6.9546</v>
      </c>
      <c r="I501" s="174" t="n">
        <v>25960</v>
      </c>
      <c r="J501" s="175" t="n">
        <v>10.1643</v>
      </c>
      <c r="K501" s="176" t="n">
        <v>13.1</v>
      </c>
      <c r="L501" s="177" t="n">
        <v>0</v>
      </c>
      <c r="M501" s="177" t="n">
        <v>0</v>
      </c>
      <c r="N501" s="175" t="n">
        <v>47.4207</v>
      </c>
      <c r="O501" s="174" t="n">
        <v>2210004</v>
      </c>
      <c r="P501" s="202" t="n">
        <v>640</v>
      </c>
      <c r="Q501" s="202" t="n">
        <v>1647</v>
      </c>
      <c r="R501" s="202" t="n">
        <v>1007</v>
      </c>
    </row>
    <row r="502" ht="12.75" customHeight="1" s="186">
      <c r="B502" s="178" t="inlineStr">
        <is>
          <t>SE</t>
        </is>
      </c>
      <c r="C502" s="179" t="n">
        <v>2023</v>
      </c>
      <c r="D502" s="180" t="n">
        <v>25.88</v>
      </c>
      <c r="E502" s="180" t="n">
        <v>0.05</v>
      </c>
      <c r="F502" s="181" t="n">
        <v>3282</v>
      </c>
      <c r="G502" s="182" t="n">
        <v>6.3491</v>
      </c>
      <c r="H502" s="182" t="n">
        <v>0</v>
      </c>
      <c r="I502" s="181" t="n">
        <v>27519</v>
      </c>
      <c r="J502" s="182" t="n">
        <v>10.2226</v>
      </c>
      <c r="K502" s="183" t="n">
        <v>10.9</v>
      </c>
      <c r="L502" s="184" t="n">
        <v>1</v>
      </c>
      <c r="M502" s="184" t="n">
        <v>0</v>
      </c>
      <c r="N502" s="182" t="n">
        <v>47.4207</v>
      </c>
      <c r="O502" s="181" t="n">
        <v>2210004</v>
      </c>
      <c r="P502" s="202" t="n">
        <v>572</v>
      </c>
      <c r="Q502" s="202" t="n">
        <v>1584</v>
      </c>
      <c r="R502" s="202" t="n">
        <v>1012</v>
      </c>
    </row>
    <row r="503" ht="12.75" customHeight="1" s="186">
      <c r="B503" s="171" t="inlineStr">
        <is>
          <t>SE</t>
        </is>
      </c>
      <c r="C503" s="172" t="n">
        <v>2024</v>
      </c>
      <c r="D503" s="173" t="n">
        <v>17.28</v>
      </c>
      <c r="E503" s="173" t="n">
        <v>1.05</v>
      </c>
      <c r="F503" s="174" t="n">
        <v>3306</v>
      </c>
      <c r="G503" s="175" t="n">
        <v>5.9814</v>
      </c>
      <c r="H503" s="175" t="n">
        <v>3.1781</v>
      </c>
      <c r="I503" s="174" t="n">
        <v>28579</v>
      </c>
      <c r="J503" s="175" t="n">
        <v>10.2604</v>
      </c>
      <c r="K503" s="176" t="n">
        <v>8.9</v>
      </c>
      <c r="L503" s="177" t="n">
        <v>1</v>
      </c>
      <c r="M503" s="177" t="n">
        <v>0</v>
      </c>
      <c r="N503" s="175" t="n">
        <v>47.4207</v>
      </c>
      <c r="O503" s="174" t="n">
        <v>2291077</v>
      </c>
      <c r="P503" s="202" t="n">
        <v>395</v>
      </c>
      <c r="Q503" s="202" t="n">
        <v>1516</v>
      </c>
      <c r="R503" s="202" t="n">
        <v>1121</v>
      </c>
    </row>
    <row r="504" ht="12.75" customHeight="1" s="186">
      <c r="B504" s="157" t="inlineStr">
        <is>
          <t>SP</t>
        </is>
      </c>
      <c r="C504" s="158" t="n">
        <v>2005</v>
      </c>
      <c r="D504" s="159" t="n">
        <v>14.3</v>
      </c>
      <c r="E504" s="159" t="n">
        <v>1.48</v>
      </c>
      <c r="F504" s="160" t="n">
        <v>598</v>
      </c>
      <c r="G504" s="161" t="n">
        <v>8.6629</v>
      </c>
      <c r="H504" s="161" t="n">
        <v>6.3936</v>
      </c>
      <c r="I504" s="160" t="n">
        <v>17976</v>
      </c>
      <c r="J504" s="161" t="n">
        <v>9.796799999999999</v>
      </c>
      <c r="K504" s="162" t="n">
        <v>11.76</v>
      </c>
      <c r="L504" s="163" t="n">
        <v>0</v>
      </c>
      <c r="M504" s="163" t="n">
        <v>0</v>
      </c>
      <c r="N504" s="161" t="n">
        <v>190.7603</v>
      </c>
      <c r="O504" s="160" t="n">
        <v>40442795</v>
      </c>
      <c r="P504" s="202" t="n">
        <v>5705</v>
      </c>
      <c r="Q504" s="202" t="n">
        <v>24411</v>
      </c>
      <c r="R504" s="202" t="n">
        <v>18706</v>
      </c>
    </row>
    <row r="505" ht="12.75" customHeight="1" s="186">
      <c r="B505" s="164" t="inlineStr">
        <is>
          <t>SP</t>
        </is>
      </c>
      <c r="C505" s="165" t="n">
        <v>2006</v>
      </c>
      <c r="D505" s="166" t="n">
        <v>14</v>
      </c>
      <c r="E505" s="166" t="n">
        <v>1.58</v>
      </c>
      <c r="F505" s="167" t="n">
        <v>1248</v>
      </c>
      <c r="G505" s="168" t="n">
        <v>8.656599999999999</v>
      </c>
      <c r="H505" s="168" t="n">
        <v>6.477</v>
      </c>
      <c r="I505" s="167" t="n">
        <v>19550</v>
      </c>
      <c r="J505" s="168" t="n">
        <v>9.880699999999999</v>
      </c>
      <c r="K505" s="169" t="n">
        <v>10.23</v>
      </c>
      <c r="L505" s="170" t="n">
        <v>0</v>
      </c>
      <c r="M505" s="170" t="n">
        <v>0</v>
      </c>
      <c r="N505" s="168" t="n">
        <v>190.7603</v>
      </c>
      <c r="O505" s="167" t="n">
        <v>41055734</v>
      </c>
      <c r="P505" s="202" t="n">
        <v>5626</v>
      </c>
      <c r="Q505" s="202" t="n">
        <v>22171</v>
      </c>
      <c r="R505" s="202" t="n">
        <v>16545</v>
      </c>
    </row>
    <row r="506" ht="12.75" customHeight="1" s="186">
      <c r="B506" s="157" t="inlineStr">
        <is>
          <t>SP</t>
        </is>
      </c>
      <c r="C506" s="158" t="n">
        <v>2007</v>
      </c>
      <c r="D506" s="159" t="n">
        <v>10.37</v>
      </c>
      <c r="E506" s="159" t="n">
        <v>2.3</v>
      </c>
      <c r="F506" s="160" t="n">
        <v>2164</v>
      </c>
      <c r="G506" s="161" t="n">
        <v>8.325799999999999</v>
      </c>
      <c r="H506" s="161" t="n">
        <v>6.82</v>
      </c>
      <c r="I506" s="160" t="n">
        <v>22667</v>
      </c>
      <c r="J506" s="161" t="n">
        <v>10.0287</v>
      </c>
      <c r="K506" s="162" t="n">
        <v>9.52</v>
      </c>
      <c r="L506" s="163" t="n">
        <v>0</v>
      </c>
      <c r="M506" s="163" t="n">
        <v>0</v>
      </c>
      <c r="N506" s="161" t="n">
        <v>190.7603</v>
      </c>
      <c r="O506" s="160" t="n">
        <v>39827690</v>
      </c>
      <c r="P506" s="202" t="n">
        <v>4066</v>
      </c>
      <c r="Q506" s="202" t="n">
        <v>20429</v>
      </c>
      <c r="R506" s="202" t="n">
        <v>16363</v>
      </c>
    </row>
    <row r="507" ht="12.75" customHeight="1" s="186">
      <c r="B507" s="164" t="inlineStr">
        <is>
          <t>SP</t>
        </is>
      </c>
      <c r="C507" s="165" t="n">
        <v>2008</v>
      </c>
      <c r="D507" s="166" t="n">
        <v>9.42</v>
      </c>
      <c r="E507" s="166" t="n">
        <v>3.15</v>
      </c>
      <c r="F507" s="167" t="n">
        <v>3455</v>
      </c>
      <c r="G507" s="168" t="n">
        <v>8.2597</v>
      </c>
      <c r="H507" s="168" t="n">
        <v>7.1632</v>
      </c>
      <c r="I507" s="167" t="n">
        <v>24457</v>
      </c>
      <c r="J507" s="168" t="n">
        <v>10.1047</v>
      </c>
      <c r="K507" s="169" t="n">
        <v>8.19</v>
      </c>
      <c r="L507" s="170" t="n">
        <v>0</v>
      </c>
      <c r="M507" s="170" t="n">
        <v>0</v>
      </c>
      <c r="N507" s="168" t="n">
        <v>190.7603</v>
      </c>
      <c r="O507" s="167" t="n">
        <v>41011638</v>
      </c>
      <c r="P507" s="202" t="n">
        <v>3804</v>
      </c>
      <c r="Q507" s="202" t="n">
        <v>20724</v>
      </c>
      <c r="R507" s="202" t="n">
        <v>16920</v>
      </c>
    </row>
    <row r="508" ht="12.75" customHeight="1" s="186">
      <c r="B508" s="157" t="inlineStr">
        <is>
          <t>SP</t>
        </is>
      </c>
      <c r="C508" s="158" t="n">
        <v>2009</v>
      </c>
      <c r="D508" s="159" t="n">
        <v>9.26</v>
      </c>
      <c r="E508" s="159" t="n">
        <v>6.39</v>
      </c>
      <c r="F508" s="160" t="n">
        <v>6101</v>
      </c>
      <c r="G508" s="161" t="n">
        <v>8.2509</v>
      </c>
      <c r="H508" s="161" t="n">
        <v>7.8808</v>
      </c>
      <c r="I508" s="160" t="n">
        <v>26202</v>
      </c>
      <c r="J508" s="161" t="n">
        <v>10.1736</v>
      </c>
      <c r="K508" s="162" t="n">
        <v>9.800000000000001</v>
      </c>
      <c r="L508" s="163" t="n">
        <v>0</v>
      </c>
      <c r="M508" s="163" t="n">
        <v>0</v>
      </c>
      <c r="N508" s="161" t="n">
        <v>190.7603</v>
      </c>
      <c r="O508" s="160" t="n">
        <v>41384039</v>
      </c>
      <c r="P508" s="202" t="n">
        <v>3757</v>
      </c>
      <c r="Q508" s="202" t="n">
        <v>20676</v>
      </c>
      <c r="R508" s="202" t="n">
        <v>16919</v>
      </c>
    </row>
    <row r="509" ht="12.75" customHeight="1" s="186">
      <c r="B509" s="164" t="inlineStr">
        <is>
          <t>SP</t>
        </is>
      </c>
      <c r="C509" s="165" t="n">
        <v>2010</v>
      </c>
      <c r="D509" s="166" t="n">
        <v>8.32</v>
      </c>
      <c r="E509" s="166" t="n">
        <v>6.35</v>
      </c>
      <c r="F509" s="167" t="n">
        <v>8721</v>
      </c>
      <c r="G509" s="168" t="n">
        <v>8.141500000000001</v>
      </c>
      <c r="H509" s="168" t="n">
        <v>7.8709</v>
      </c>
      <c r="I509" s="167" t="n">
        <v>31377</v>
      </c>
      <c r="J509" s="168" t="n">
        <v>10.3538</v>
      </c>
      <c r="K509" s="169" t="n">
        <v>8.48</v>
      </c>
      <c r="L509" s="170" t="n">
        <v>0</v>
      </c>
      <c r="M509" s="170" t="n">
        <v>0</v>
      </c>
      <c r="N509" s="168" t="n">
        <v>190.7603</v>
      </c>
      <c r="O509" s="167" t="n">
        <v>41262199</v>
      </c>
      <c r="P509" s="202" t="n">
        <v>3385</v>
      </c>
      <c r="Q509" s="202" t="n">
        <v>20616</v>
      </c>
      <c r="R509" s="202" t="n">
        <v>17231</v>
      </c>
    </row>
    <row r="510" ht="12.75" customHeight="1" s="186">
      <c r="B510" s="157" t="inlineStr">
        <is>
          <t>SP</t>
        </is>
      </c>
      <c r="C510" s="158" t="n">
        <v>2011</v>
      </c>
      <c r="D510" s="159" t="n">
        <v>7.77</v>
      </c>
      <c r="E510" s="159" t="n">
        <v>5.91</v>
      </c>
      <c r="F510" s="160" t="n">
        <v>11178</v>
      </c>
      <c r="G510" s="161" t="n">
        <v>8.080500000000001</v>
      </c>
      <c r="H510" s="161" t="n">
        <v>7.8067</v>
      </c>
      <c r="I510" s="160" t="n">
        <v>34546</v>
      </c>
      <c r="J510" s="161" t="n">
        <v>10.45</v>
      </c>
      <c r="K510" s="162" t="n">
        <v>7.15</v>
      </c>
      <c r="L510" s="163" t="n">
        <v>0</v>
      </c>
      <c r="M510" s="163" t="n">
        <v>0</v>
      </c>
      <c r="N510" s="161" t="n">
        <v>190.7603</v>
      </c>
      <c r="O510" s="160" t="n">
        <v>41587182</v>
      </c>
      <c r="P510" s="202" t="n">
        <v>3174</v>
      </c>
      <c r="Q510" s="202" t="n">
        <v>20544</v>
      </c>
      <c r="R510" s="202" t="n">
        <v>17370</v>
      </c>
    </row>
    <row r="511" ht="12.75" customHeight="1" s="186">
      <c r="B511" s="164" t="inlineStr">
        <is>
          <t>SP</t>
        </is>
      </c>
      <c r="C511" s="165" t="n">
        <v>2012</v>
      </c>
      <c r="D511" s="166" t="n">
        <v>9.119999999999999</v>
      </c>
      <c r="E511" s="166" t="n">
        <v>4.86</v>
      </c>
      <c r="F511" s="167" t="n">
        <v>13214</v>
      </c>
      <c r="G511" s="168" t="n">
        <v>8.2483</v>
      </c>
      <c r="H511" s="168" t="n">
        <v>7.6187</v>
      </c>
      <c r="I511" s="167" t="n">
        <v>37207</v>
      </c>
      <c r="J511" s="168" t="n">
        <v>10.5243</v>
      </c>
      <c r="K511" s="169" t="n">
        <v>6.37</v>
      </c>
      <c r="L511" s="170" t="n">
        <v>0</v>
      </c>
      <c r="M511" s="170" t="n">
        <v>0</v>
      </c>
      <c r="N511" s="168" t="n">
        <v>190.7603</v>
      </c>
      <c r="O511" s="167" t="n">
        <v>41901219</v>
      </c>
      <c r="P511" s="202" t="n">
        <v>3717</v>
      </c>
      <c r="Q511" s="202" t="n">
        <v>21097</v>
      </c>
      <c r="R511" s="202" t="n">
        <v>17380</v>
      </c>
    </row>
    <row r="512" ht="12.75" customHeight="1" s="186">
      <c r="B512" s="157" t="inlineStr">
        <is>
          <t>SP</t>
        </is>
      </c>
      <c r="C512" s="158" t="n">
        <v>2013</v>
      </c>
      <c r="D512" s="159" t="n">
        <v>7.81</v>
      </c>
      <c r="E512" s="159" t="n">
        <v>3.08</v>
      </c>
      <c r="F512" s="160" t="n">
        <v>14558</v>
      </c>
      <c r="G512" s="161" t="n">
        <v>8.133900000000001</v>
      </c>
      <c r="H512" s="161" t="n">
        <v>7.2034</v>
      </c>
      <c r="I512" s="160" t="n">
        <v>39283</v>
      </c>
      <c r="J512" s="161" t="n">
        <v>10.5785</v>
      </c>
      <c r="K512" s="162" t="n">
        <v>6.67</v>
      </c>
      <c r="L512" s="163" t="n">
        <v>0</v>
      </c>
      <c r="M512" s="163" t="n">
        <v>0</v>
      </c>
      <c r="N512" s="161" t="n">
        <v>190.7603</v>
      </c>
      <c r="O512" s="160" t="n">
        <v>43663669</v>
      </c>
      <c r="P512" s="202" t="n">
        <v>3351</v>
      </c>
      <c r="Q512" s="202" t="n">
        <v>20202</v>
      </c>
      <c r="R512" s="202" t="n">
        <v>16851</v>
      </c>
    </row>
    <row r="513" ht="12.75" customHeight="1" s="186">
      <c r="B513" s="164" t="inlineStr">
        <is>
          <t>SP</t>
        </is>
      </c>
      <c r="C513" s="165" t="n">
        <v>2014</v>
      </c>
      <c r="D513" s="166" t="n">
        <v>8.029999999999999</v>
      </c>
      <c r="E513" s="166" t="n">
        <v>1.52</v>
      </c>
      <c r="F513" s="167" t="n">
        <v>15228</v>
      </c>
      <c r="G513" s="168" t="n">
        <v>8.1708</v>
      </c>
      <c r="H513" s="168" t="n">
        <v>6.5073</v>
      </c>
      <c r="I513" s="167" t="n">
        <v>42198</v>
      </c>
      <c r="J513" s="168" t="n">
        <v>10.6501</v>
      </c>
      <c r="K513" s="169" t="n">
        <v>7.9</v>
      </c>
      <c r="L513" s="170" t="n">
        <v>0</v>
      </c>
      <c r="M513" s="170" t="n">
        <v>0</v>
      </c>
      <c r="N513" s="168" t="n">
        <v>190.7603</v>
      </c>
      <c r="O513" s="167" t="n">
        <v>44035304</v>
      </c>
      <c r="P513" s="202" t="n">
        <v>3452</v>
      </c>
      <c r="Q513" s="202" t="n">
        <v>20978</v>
      </c>
      <c r="R513" s="202" t="n">
        <v>17526</v>
      </c>
    </row>
    <row r="514" ht="12.75" customHeight="1" s="186">
      <c r="B514" s="157" t="inlineStr">
        <is>
          <t>SP</t>
        </is>
      </c>
      <c r="C514" s="158" t="n">
        <v>2015</v>
      </c>
      <c r="D514" s="159" t="n">
        <v>6.91</v>
      </c>
      <c r="E514" s="159" t="n">
        <v>2.14</v>
      </c>
      <c r="F514" s="160" t="n">
        <v>16179</v>
      </c>
      <c r="G514" s="161" t="n">
        <v>8.0281</v>
      </c>
      <c r="H514" s="161" t="n">
        <v>6.8575</v>
      </c>
      <c r="I514" s="160" t="n">
        <v>43695</v>
      </c>
      <c r="J514" s="161" t="n">
        <v>10.685</v>
      </c>
      <c r="K514" s="162" t="n">
        <v>9.4</v>
      </c>
      <c r="L514" s="163" t="n">
        <v>0</v>
      </c>
      <c r="M514" s="163" t="n">
        <v>0</v>
      </c>
      <c r="N514" s="161" t="n">
        <v>190.7603</v>
      </c>
      <c r="O514" s="160" t="n">
        <v>44396484</v>
      </c>
      <c r="P514" s="202" t="n">
        <v>3019</v>
      </c>
      <c r="Q514" s="202" t="n">
        <v>19251</v>
      </c>
      <c r="R514" s="202" t="n">
        <v>16232</v>
      </c>
    </row>
    <row r="515" ht="12.75" customHeight="1" s="186">
      <c r="B515" s="171" t="inlineStr">
        <is>
          <t>SP</t>
        </is>
      </c>
      <c r="C515" s="172" t="n">
        <v>2016</v>
      </c>
      <c r="D515" s="173" t="n">
        <v>6.01</v>
      </c>
      <c r="E515" s="173" t="n">
        <v>4.46</v>
      </c>
      <c r="F515" s="174" t="n">
        <v>18173</v>
      </c>
      <c r="G515" s="175" t="n">
        <v>7.8973</v>
      </c>
      <c r="H515" s="175" t="n">
        <v>7.5979</v>
      </c>
      <c r="I515" s="174" t="n">
        <v>45559</v>
      </c>
      <c r="J515" s="175" t="n">
        <v>10.7268</v>
      </c>
      <c r="K515" s="176" t="n">
        <v>12.5</v>
      </c>
      <c r="L515" s="177" t="n">
        <v>0</v>
      </c>
      <c r="M515" s="177" t="n">
        <v>0</v>
      </c>
      <c r="N515" s="175" t="n">
        <v>190.7603</v>
      </c>
      <c r="O515" s="174" t="n">
        <v>44749699</v>
      </c>
      <c r="P515" s="202" t="n">
        <v>2681</v>
      </c>
      <c r="Q515" s="202" t="n">
        <v>18105</v>
      </c>
      <c r="R515" s="202" t="n">
        <v>15424</v>
      </c>
    </row>
    <row r="516" ht="12.75" customHeight="1" s="186">
      <c r="B516" s="178" t="inlineStr">
        <is>
          <t>SP</t>
        </is>
      </c>
      <c r="C516" s="179" t="n">
        <v>2017</v>
      </c>
      <c r="D516" s="180" t="n">
        <v>5.52</v>
      </c>
      <c r="E516" s="180" t="n">
        <v>7.2</v>
      </c>
      <c r="F516" s="181" t="n">
        <v>21421</v>
      </c>
      <c r="G516" s="182" t="n">
        <v>7.82</v>
      </c>
      <c r="H516" s="182" t="n">
        <v>8.085800000000001</v>
      </c>
      <c r="I516" s="181" t="n">
        <v>47029</v>
      </c>
      <c r="J516" s="182" t="n">
        <v>10.7585</v>
      </c>
      <c r="K516" s="183" t="n">
        <v>13.5</v>
      </c>
      <c r="L516" s="184" t="n">
        <v>0</v>
      </c>
      <c r="M516" s="184" t="n">
        <v>0</v>
      </c>
      <c r="N516" s="182" t="n">
        <v>190.7603</v>
      </c>
      <c r="O516" s="181" t="n">
        <v>45094866</v>
      </c>
      <c r="P516" s="202" t="n">
        <v>2463</v>
      </c>
      <c r="Q516" s="202" t="n">
        <v>17777</v>
      </c>
      <c r="R516" s="202" t="n">
        <v>15314</v>
      </c>
    </row>
    <row r="517" ht="12.75" customHeight="1" s="186">
      <c r="B517" s="171" t="inlineStr">
        <is>
          <t>SP</t>
        </is>
      </c>
      <c r="C517" s="172" t="n">
        <v>2018</v>
      </c>
      <c r="D517" s="173" t="n">
        <v>4.32</v>
      </c>
      <c r="E517" s="173" t="n">
        <v>10.01</v>
      </c>
      <c r="F517" s="174" t="n">
        <v>25980</v>
      </c>
      <c r="G517" s="175" t="n">
        <v>7.5838</v>
      </c>
      <c r="H517" s="175" t="n">
        <v>8.424899999999999</v>
      </c>
      <c r="I517" s="174" t="n">
        <v>48542</v>
      </c>
      <c r="J517" s="175" t="n">
        <v>10.7902</v>
      </c>
      <c r="K517" s="176" t="n">
        <v>13.4</v>
      </c>
      <c r="L517" s="177" t="n">
        <v>0</v>
      </c>
      <c r="M517" s="177" t="n">
        <v>0</v>
      </c>
      <c r="N517" s="175" t="n">
        <v>190.7603</v>
      </c>
      <c r="O517" s="174" t="n">
        <v>45538936</v>
      </c>
      <c r="P517" s="202" t="n">
        <v>1973</v>
      </c>
      <c r="Q517" s="202" t="n">
        <v>17340</v>
      </c>
      <c r="R517" s="202" t="n">
        <v>15367</v>
      </c>
    </row>
    <row r="518" ht="12.75" customHeight="1" s="186">
      <c r="B518" s="178" t="inlineStr">
        <is>
          <t>SP</t>
        </is>
      </c>
      <c r="C518" s="179" t="n">
        <v>2019</v>
      </c>
      <c r="D518" s="180" t="n">
        <v>3.75</v>
      </c>
      <c r="E518" s="180" t="n">
        <v>53.87</v>
      </c>
      <c r="F518" s="181" t="n">
        <v>50717</v>
      </c>
      <c r="G518" s="182" t="n">
        <v>7.4507</v>
      </c>
      <c r="H518" s="182" t="n">
        <v>10.1161</v>
      </c>
      <c r="I518" s="181" t="n">
        <v>51141</v>
      </c>
      <c r="J518" s="182" t="n">
        <v>10.8423</v>
      </c>
      <c r="K518" s="183" t="n">
        <v>12.6</v>
      </c>
      <c r="L518" s="184" t="n">
        <v>0</v>
      </c>
      <c r="M518" s="184" t="n">
        <v>0</v>
      </c>
      <c r="N518" s="182" t="n">
        <v>190.7603</v>
      </c>
      <c r="O518" s="181" t="n">
        <v>45919049</v>
      </c>
      <c r="P518" s="202" t="n">
        <v>1714</v>
      </c>
      <c r="Q518" s="202" t="n">
        <v>17218</v>
      </c>
      <c r="R518" s="202" t="n">
        <v>15504</v>
      </c>
    </row>
    <row r="519" ht="12.75" customHeight="1" s="186">
      <c r="B519" s="171" t="inlineStr">
        <is>
          <t>SP</t>
        </is>
      </c>
      <c r="C519" s="172" t="n">
        <v>2020</v>
      </c>
      <c r="D519" s="173" t="n">
        <v>3.81</v>
      </c>
      <c r="E519" s="173" t="n">
        <v>50.59</v>
      </c>
      <c r="F519" s="174" t="n">
        <v>74133</v>
      </c>
      <c r="G519" s="175" t="n">
        <v>7.4742</v>
      </c>
      <c r="H519" s="175" t="n">
        <v>10.0612</v>
      </c>
      <c r="I519" s="174" t="n">
        <v>51365</v>
      </c>
      <c r="J519" s="175" t="n">
        <v>10.8467</v>
      </c>
      <c r="K519" s="176" t="n">
        <v>14.1</v>
      </c>
      <c r="L519" s="177" t="n">
        <v>0</v>
      </c>
      <c r="M519" s="177" t="n">
        <v>1</v>
      </c>
      <c r="N519" s="175" t="n">
        <v>190.7603</v>
      </c>
      <c r="O519" s="174" t="n">
        <v>46289333</v>
      </c>
      <c r="P519" s="202" t="n">
        <v>1748</v>
      </c>
      <c r="Q519" s="202" t="n">
        <v>17765</v>
      </c>
      <c r="R519" s="202" t="n">
        <v>16017</v>
      </c>
    </row>
    <row r="520" ht="12.75" customHeight="1" s="186">
      <c r="B520" s="178" t="inlineStr">
        <is>
          <t>SP</t>
        </is>
      </c>
      <c r="C520" s="179" t="n">
        <v>2021</v>
      </c>
      <c r="D520" s="180" t="n">
        <v>3.48</v>
      </c>
      <c r="E520" s="180" t="n">
        <v>129.04</v>
      </c>
      <c r="F520" s="181" t="n">
        <v>134327</v>
      </c>
      <c r="G520" s="182" t="n">
        <v>7.3914</v>
      </c>
      <c r="H520" s="182" t="n">
        <v>11.0053</v>
      </c>
      <c r="I520" s="181" t="n">
        <v>58302</v>
      </c>
      <c r="J520" s="182" t="n">
        <v>10.9734</v>
      </c>
      <c r="K520" s="183" t="n">
        <v>13.5</v>
      </c>
      <c r="L520" s="184" t="n">
        <v>0</v>
      </c>
      <c r="M520" s="184" t="n">
        <v>1</v>
      </c>
      <c r="N520" s="182" t="n">
        <v>190.7603</v>
      </c>
      <c r="O520" s="181" t="n">
        <v>46649132</v>
      </c>
      <c r="P520" s="202" t="n">
        <v>1623</v>
      </c>
      <c r="Q520" s="202" t="n">
        <v>18103</v>
      </c>
      <c r="R520" s="202" t="n">
        <v>16480</v>
      </c>
    </row>
    <row r="521" ht="12.75" customHeight="1" s="186">
      <c r="B521" s="171" t="inlineStr">
        <is>
          <t>SP</t>
        </is>
      </c>
      <c r="C521" s="172" t="n">
        <v>2022</v>
      </c>
      <c r="D521" s="173" t="n">
        <v>3.71</v>
      </c>
      <c r="E521" s="173" t="n">
        <v>190.76</v>
      </c>
      <c r="F521" s="174" t="n">
        <v>219046</v>
      </c>
      <c r="G521" s="175" t="n">
        <v>7.4079</v>
      </c>
      <c r="H521" s="175" t="n">
        <v>11.3471</v>
      </c>
      <c r="I521" s="174" t="n">
        <v>70485</v>
      </c>
      <c r="J521" s="175" t="n">
        <v>11.1632</v>
      </c>
      <c r="K521" s="176" t="n">
        <v>9.1</v>
      </c>
      <c r="L521" s="177" t="n">
        <v>0</v>
      </c>
      <c r="M521" s="177" t="n">
        <v>0</v>
      </c>
      <c r="N521" s="175" t="n">
        <v>190.7603</v>
      </c>
      <c r="O521" s="174" t="n">
        <v>44411238</v>
      </c>
      <c r="P521" s="202" t="n">
        <v>1634</v>
      </c>
      <c r="Q521" s="202" t="n">
        <v>18608</v>
      </c>
      <c r="R521" s="202" t="n">
        <v>16974</v>
      </c>
    </row>
    <row r="522" ht="12.75" customHeight="1" s="186">
      <c r="B522" s="178" t="inlineStr">
        <is>
          <t>SP</t>
        </is>
      </c>
      <c r="C522" s="179" t="n">
        <v>2023</v>
      </c>
      <c r="D522" s="180" t="n">
        <v>3.29</v>
      </c>
      <c r="E522" s="180" t="n">
        <v>0.44</v>
      </c>
      <c r="F522" s="181" t="n">
        <v>219242</v>
      </c>
      <c r="G522" s="182" t="n">
        <v>7.2876</v>
      </c>
      <c r="H522" s="182" t="n">
        <v>5.2781</v>
      </c>
      <c r="I522" s="181" t="n">
        <v>77566</v>
      </c>
      <c r="J522" s="182" t="n">
        <v>11.2589</v>
      </c>
      <c r="K522" s="183" t="n">
        <v>7.6</v>
      </c>
      <c r="L522" s="184" t="n">
        <v>1</v>
      </c>
      <c r="M522" s="184" t="n">
        <v>0</v>
      </c>
      <c r="N522" s="182" t="n">
        <v>190.7603</v>
      </c>
      <c r="O522" s="181" t="n">
        <v>44411238</v>
      </c>
      <c r="P522" s="202" t="n">
        <v>1482</v>
      </c>
      <c r="Q522" s="202" t="n">
        <v>18620</v>
      </c>
      <c r="R522" s="202" t="n">
        <v>17138</v>
      </c>
    </row>
    <row r="523" ht="12.75" customHeight="1" s="186">
      <c r="B523" s="171" t="inlineStr">
        <is>
          <t>SP</t>
        </is>
      </c>
      <c r="C523" s="172" t="n">
        <v>2024</v>
      </c>
      <c r="D523" s="173" t="n">
        <v>3.13</v>
      </c>
      <c r="E523" s="173" t="n">
        <v>59.74</v>
      </c>
      <c r="F523" s="174" t="n">
        <v>246705</v>
      </c>
      <c r="G523" s="175" t="n">
        <v>7.2724</v>
      </c>
      <c r="H523" s="175" t="n">
        <v>10.2206</v>
      </c>
      <c r="I523" s="174" t="n">
        <v>82767</v>
      </c>
      <c r="J523" s="175" t="n">
        <v>11.3238</v>
      </c>
      <c r="K523" s="176" t="n">
        <v>6.5</v>
      </c>
      <c r="L523" s="177" t="n">
        <v>1</v>
      </c>
      <c r="M523" s="177" t="n">
        <v>0</v>
      </c>
      <c r="N523" s="175" t="n">
        <v>190.7603</v>
      </c>
      <c r="O523" s="174" t="n">
        <v>45973194</v>
      </c>
      <c r="P523" s="202" t="n">
        <v>1461</v>
      </c>
      <c r="Q523" s="202" t="n">
        <v>19579</v>
      </c>
      <c r="R523" s="202" t="n">
        <v>18118</v>
      </c>
    </row>
    <row r="524" ht="12.75" customHeight="1" s="186">
      <c r="B524" s="157" t="inlineStr">
        <is>
          <t>TO</t>
        </is>
      </c>
      <c r="C524" s="158" t="n">
        <v>2005</v>
      </c>
      <c r="D524" s="159" t="n">
        <v>6.28</v>
      </c>
      <c r="E524" s="159" t="n">
        <v>1.38</v>
      </c>
      <c r="F524" s="160" t="n">
        <v>18</v>
      </c>
      <c r="G524" s="161" t="n">
        <v>4.4067</v>
      </c>
      <c r="H524" s="161" t="n">
        <v>2.8904</v>
      </c>
      <c r="I524" s="160" t="n">
        <v>6939</v>
      </c>
      <c r="J524" s="161" t="n">
        <v>8.844900000000001</v>
      </c>
      <c r="K524" s="162" t="n">
        <v>7.1</v>
      </c>
      <c r="L524" s="163" t="n">
        <v>0</v>
      </c>
      <c r="M524" s="163" t="n">
        <v>0</v>
      </c>
      <c r="N524" s="161" t="n">
        <v>202.1886</v>
      </c>
      <c r="O524" s="160" t="n">
        <v>1305728</v>
      </c>
      <c r="P524" s="202" t="n">
        <v>78</v>
      </c>
      <c r="Q524" s="202" t="n">
        <v>725</v>
      </c>
      <c r="R524" s="202" t="n">
        <v>647</v>
      </c>
    </row>
    <row r="525" ht="12.75" customHeight="1" s="186">
      <c r="B525" s="164" t="inlineStr">
        <is>
          <t>TO</t>
        </is>
      </c>
      <c r="C525" s="165" t="n">
        <v>2006</v>
      </c>
      <c r="D525" s="166" t="n">
        <v>6.68</v>
      </c>
      <c r="E525" s="166" t="n">
        <v>1.65</v>
      </c>
      <c r="F525" s="167" t="n">
        <v>40</v>
      </c>
      <c r="G525" s="168" t="n">
        <v>4.4886</v>
      </c>
      <c r="H525" s="168" t="n">
        <v>3.091</v>
      </c>
      <c r="I525" s="167" t="n">
        <v>7209</v>
      </c>
      <c r="J525" s="168" t="n">
        <v>8.883100000000001</v>
      </c>
      <c r="K525" s="169" t="n">
        <v>6.91</v>
      </c>
      <c r="L525" s="170" t="n">
        <v>0</v>
      </c>
      <c r="M525" s="170" t="n">
        <v>0</v>
      </c>
      <c r="N525" s="168" t="n">
        <v>202.1886</v>
      </c>
      <c r="O525" s="167" t="n">
        <v>1332441</v>
      </c>
      <c r="P525" s="202" t="n">
        <v>85</v>
      </c>
      <c r="Q525" s="202" t="n">
        <v>769</v>
      </c>
      <c r="R525" s="202" t="n">
        <v>684</v>
      </c>
    </row>
    <row r="526" ht="12.75" customHeight="1" s="186">
      <c r="B526" s="157" t="inlineStr">
        <is>
          <t>TO</t>
        </is>
      </c>
      <c r="C526" s="158" t="n">
        <v>2007</v>
      </c>
      <c r="D526" s="159" t="n">
        <v>6.83</v>
      </c>
      <c r="E526" s="159" t="n">
        <v>1.05</v>
      </c>
      <c r="F526" s="160" t="n">
        <v>53</v>
      </c>
      <c r="G526" s="161" t="n">
        <v>4.4427</v>
      </c>
      <c r="H526" s="161" t="n">
        <v>2.5649</v>
      </c>
      <c r="I526" s="160" t="n">
        <v>8921</v>
      </c>
      <c r="J526" s="161" t="n">
        <v>9.0962</v>
      </c>
      <c r="K526" s="162" t="n">
        <v>6.83</v>
      </c>
      <c r="L526" s="163" t="n">
        <v>0</v>
      </c>
      <c r="M526" s="163" t="n">
        <v>0</v>
      </c>
      <c r="N526" s="161" t="n">
        <v>202.1886</v>
      </c>
      <c r="O526" s="160" t="n">
        <v>1243627</v>
      </c>
      <c r="P526" s="202" t="n">
        <v>87</v>
      </c>
      <c r="Q526" s="202" t="n">
        <v>853</v>
      </c>
      <c r="R526" s="202" t="n">
        <v>766</v>
      </c>
    </row>
    <row r="527" ht="12.75" customHeight="1" s="186">
      <c r="B527" s="164" t="inlineStr">
        <is>
          <t>TO</t>
        </is>
      </c>
      <c r="C527" s="165" t="n">
        <v>2008</v>
      </c>
      <c r="D527" s="166" t="n">
        <v>7.34</v>
      </c>
      <c r="E527" s="166" t="n">
        <v>0.7</v>
      </c>
      <c r="F527" s="167" t="n">
        <v>62</v>
      </c>
      <c r="G527" s="168" t="n">
        <v>4.5433</v>
      </c>
      <c r="H527" s="168" t="n">
        <v>2.1972</v>
      </c>
      <c r="I527" s="167" t="n">
        <v>10222</v>
      </c>
      <c r="J527" s="168" t="n">
        <v>9.2323</v>
      </c>
      <c r="K527" s="169" t="n">
        <v>6.49</v>
      </c>
      <c r="L527" s="170" t="n">
        <v>0</v>
      </c>
      <c r="M527" s="170" t="n">
        <v>0</v>
      </c>
      <c r="N527" s="168" t="n">
        <v>202.1886</v>
      </c>
      <c r="O527" s="167" t="n">
        <v>1280513</v>
      </c>
      <c r="P527" s="202" t="n">
        <v>94</v>
      </c>
      <c r="Q527" s="202" t="n">
        <v>874</v>
      </c>
      <c r="R527" s="202" t="n">
        <v>780</v>
      </c>
    </row>
    <row r="528" ht="12.75" customHeight="1" s="186">
      <c r="B528" s="157" t="inlineStr">
        <is>
          <t>TO</t>
        </is>
      </c>
      <c r="C528" s="158" t="n">
        <v>2009</v>
      </c>
      <c r="D528" s="159" t="n">
        <v>9.52</v>
      </c>
      <c r="E528" s="159" t="n">
        <v>0.93</v>
      </c>
      <c r="F528" s="160" t="n">
        <v>74</v>
      </c>
      <c r="G528" s="161" t="n">
        <v>4.8122</v>
      </c>
      <c r="H528" s="161" t="n">
        <v>2.4849</v>
      </c>
      <c r="I528" s="160" t="n">
        <v>11277</v>
      </c>
      <c r="J528" s="161" t="n">
        <v>9.330500000000001</v>
      </c>
      <c r="K528" s="162" t="n">
        <v>7.88</v>
      </c>
      <c r="L528" s="163" t="n">
        <v>0</v>
      </c>
      <c r="M528" s="163" t="n">
        <v>0</v>
      </c>
      <c r="N528" s="161" t="n">
        <v>202.1886</v>
      </c>
      <c r="O528" s="160" t="n">
        <v>1292051</v>
      </c>
      <c r="P528" s="202" t="n">
        <v>124</v>
      </c>
      <c r="Q528" s="202" t="n">
        <v>975</v>
      </c>
      <c r="R528" s="202" t="n">
        <v>851</v>
      </c>
    </row>
    <row r="529" ht="12.75" customHeight="1" s="186">
      <c r="B529" s="164" t="inlineStr">
        <is>
          <t>TO</t>
        </is>
      </c>
      <c r="C529" s="165" t="n">
        <v>2010</v>
      </c>
      <c r="D529" s="166" t="n">
        <v>9.039999999999999</v>
      </c>
      <c r="E529" s="166" t="n">
        <v>1.73</v>
      </c>
      <c r="F529" s="167" t="n">
        <v>98</v>
      </c>
      <c r="G529" s="168" t="n">
        <v>4.8283</v>
      </c>
      <c r="H529" s="168" t="n">
        <v>3.1781</v>
      </c>
      <c r="I529" s="167" t="n">
        <v>11858</v>
      </c>
      <c r="J529" s="168" t="n">
        <v>9.380800000000001</v>
      </c>
      <c r="K529" s="169" t="n">
        <v>7.61</v>
      </c>
      <c r="L529" s="170" t="n">
        <v>0</v>
      </c>
      <c r="M529" s="170" t="n">
        <v>0</v>
      </c>
      <c r="N529" s="168" t="n">
        <v>202.1886</v>
      </c>
      <c r="O529" s="167" t="n">
        <v>1383445</v>
      </c>
      <c r="P529" s="202" t="n">
        <v>129</v>
      </c>
      <c r="Q529" s="202" t="n">
        <v>1064</v>
      </c>
      <c r="R529" s="202" t="n">
        <v>935</v>
      </c>
    </row>
    <row r="530" ht="12.75" customHeight="1" s="186">
      <c r="B530" s="157" t="inlineStr">
        <is>
          <t>TO</t>
        </is>
      </c>
      <c r="C530" s="158" t="n">
        <v>2011</v>
      </c>
      <c r="D530" s="159" t="n">
        <v>11.21</v>
      </c>
      <c r="E530" s="159" t="n">
        <v>2.64</v>
      </c>
      <c r="F530" s="160" t="n">
        <v>135</v>
      </c>
      <c r="G530" s="161" t="n">
        <v>5.0562</v>
      </c>
      <c r="H530" s="161" t="n">
        <v>3.6109</v>
      </c>
      <c r="I530" s="160" t="n">
        <v>13096</v>
      </c>
      <c r="J530" s="161" t="n">
        <v>9.4801</v>
      </c>
      <c r="K530" s="162" t="n">
        <v>7.33</v>
      </c>
      <c r="L530" s="163" t="n">
        <v>0</v>
      </c>
      <c r="M530" s="163" t="n">
        <v>0</v>
      </c>
      <c r="N530" s="161" t="n">
        <v>202.1886</v>
      </c>
      <c r="O530" s="160" t="n">
        <v>1400892</v>
      </c>
      <c r="P530" s="202" t="n">
        <v>155</v>
      </c>
      <c r="Q530" s="202" t="n">
        <v>1093</v>
      </c>
      <c r="R530" s="202" t="n">
        <v>938</v>
      </c>
    </row>
    <row r="531" ht="12.75" customHeight="1" s="186">
      <c r="B531" s="164" t="inlineStr">
        <is>
          <t>TO</t>
        </is>
      </c>
      <c r="C531" s="165" t="n">
        <v>2012</v>
      </c>
      <c r="D531" s="166" t="n">
        <v>12.13</v>
      </c>
      <c r="E531" s="166" t="n">
        <v>3.1</v>
      </c>
      <c r="F531" s="167" t="n">
        <v>179</v>
      </c>
      <c r="G531" s="168" t="n">
        <v>5.1475</v>
      </c>
      <c r="H531" s="168" t="n">
        <v>3.7842</v>
      </c>
      <c r="I531" s="167" t="n">
        <v>14590</v>
      </c>
      <c r="J531" s="168" t="n">
        <v>9.588100000000001</v>
      </c>
      <c r="K531" s="169" t="n">
        <v>6.47</v>
      </c>
      <c r="L531" s="170" t="n">
        <v>0</v>
      </c>
      <c r="M531" s="170" t="n">
        <v>0</v>
      </c>
      <c r="N531" s="168" t="n">
        <v>202.1886</v>
      </c>
      <c r="O531" s="167" t="n">
        <v>1417694</v>
      </c>
      <c r="P531" s="202" t="n">
        <v>176</v>
      </c>
      <c r="Q531" s="202" t="n">
        <v>1125</v>
      </c>
      <c r="R531" s="202" t="n">
        <v>949</v>
      </c>
    </row>
    <row r="532" ht="12.75" customHeight="1" s="186">
      <c r="B532" s="157" t="inlineStr">
        <is>
          <t>TO</t>
        </is>
      </c>
      <c r="C532" s="158" t="n">
        <v>2013</v>
      </c>
      <c r="D532" s="159" t="n">
        <v>9.470000000000001</v>
      </c>
      <c r="E532" s="159" t="n">
        <v>1.56</v>
      </c>
      <c r="F532" s="160" t="n">
        <v>202</v>
      </c>
      <c r="G532" s="161" t="n">
        <v>4.9416</v>
      </c>
      <c r="H532" s="161" t="n">
        <v>3.1355</v>
      </c>
      <c r="I532" s="160" t="n">
        <v>16099</v>
      </c>
      <c r="J532" s="161" t="n">
        <v>9.686500000000001</v>
      </c>
      <c r="K532" s="162" t="n">
        <v>7.06</v>
      </c>
      <c r="L532" s="163" t="n">
        <v>0</v>
      </c>
      <c r="M532" s="163" t="n">
        <v>0</v>
      </c>
      <c r="N532" s="161" t="n">
        <v>202.1886</v>
      </c>
      <c r="O532" s="160" t="n">
        <v>1478164</v>
      </c>
      <c r="P532" s="202" t="n">
        <v>141</v>
      </c>
      <c r="Q532" s="202" t="n">
        <v>1143</v>
      </c>
      <c r="R532" s="202" t="n">
        <v>1002</v>
      </c>
    </row>
    <row r="533" ht="12.75" customHeight="1" s="186">
      <c r="B533" s="164" t="inlineStr">
        <is>
          <t>TO</t>
        </is>
      </c>
      <c r="C533" s="165" t="n">
        <v>2014</v>
      </c>
      <c r="D533" s="166" t="n">
        <v>10.96</v>
      </c>
      <c r="E533" s="166" t="n">
        <v>1.14</v>
      </c>
      <c r="F533" s="167" t="n">
        <v>219</v>
      </c>
      <c r="G533" s="168" t="n">
        <v>5.0999</v>
      </c>
      <c r="H533" s="168" t="n">
        <v>2.8332</v>
      </c>
      <c r="I533" s="167" t="n">
        <v>17496</v>
      </c>
      <c r="J533" s="168" t="n">
        <v>9.7697</v>
      </c>
      <c r="K533" s="169" t="n">
        <v>6.44</v>
      </c>
      <c r="L533" s="170" t="n">
        <v>0</v>
      </c>
      <c r="M533" s="170" t="n">
        <v>0</v>
      </c>
      <c r="N533" s="168" t="n">
        <v>202.1886</v>
      </c>
      <c r="O533" s="167" t="n">
        <v>1496880</v>
      </c>
      <c r="P533" s="202" t="n">
        <v>172</v>
      </c>
      <c r="Q533" s="202" t="n">
        <v>1183</v>
      </c>
      <c r="R533" s="202" t="n">
        <v>1011</v>
      </c>
    </row>
    <row r="534" ht="12.75" customHeight="1" s="186">
      <c r="B534" s="157" t="inlineStr">
        <is>
          <t>TO</t>
        </is>
      </c>
      <c r="C534" s="158" t="n">
        <v>2015</v>
      </c>
      <c r="D534" s="159" t="n">
        <v>17.75</v>
      </c>
      <c r="E534" s="159" t="n">
        <v>0.53</v>
      </c>
      <c r="F534" s="160" t="n">
        <v>227</v>
      </c>
      <c r="G534" s="161" t="n">
        <v>5.5947</v>
      </c>
      <c r="H534" s="161" t="n">
        <v>2.0794</v>
      </c>
      <c r="I534" s="160" t="n">
        <v>19094</v>
      </c>
      <c r="J534" s="161" t="n">
        <v>9.857100000000001</v>
      </c>
      <c r="K534" s="162" t="n">
        <v>8.699999999999999</v>
      </c>
      <c r="L534" s="163" t="n">
        <v>0</v>
      </c>
      <c r="M534" s="163" t="n">
        <v>0</v>
      </c>
      <c r="N534" s="161" t="n">
        <v>202.1886</v>
      </c>
      <c r="O534" s="160" t="n">
        <v>1515126</v>
      </c>
      <c r="P534" s="202" t="n">
        <v>270</v>
      </c>
      <c r="Q534" s="202" t="n">
        <v>1249</v>
      </c>
      <c r="R534" s="202" t="n">
        <v>979</v>
      </c>
    </row>
    <row r="535" ht="12.75" customHeight="1" s="186">
      <c r="B535" s="171" t="inlineStr">
        <is>
          <t>TO</t>
        </is>
      </c>
      <c r="C535" s="172" t="n">
        <v>2016</v>
      </c>
      <c r="D535" s="173" t="n">
        <v>19.77</v>
      </c>
      <c r="E535" s="173" t="n">
        <v>3.85</v>
      </c>
      <c r="F535" s="174" t="n">
        <v>286</v>
      </c>
      <c r="G535" s="175" t="n">
        <v>5.7137</v>
      </c>
      <c r="H535" s="175" t="n">
        <v>4.0775</v>
      </c>
      <c r="I535" s="174" t="n">
        <v>20605</v>
      </c>
      <c r="J535" s="175" t="n">
        <v>9.933299999999999</v>
      </c>
      <c r="K535" s="176" t="n">
        <v>11.5</v>
      </c>
      <c r="L535" s="177" t="n">
        <v>0</v>
      </c>
      <c r="M535" s="177" t="n">
        <v>0</v>
      </c>
      <c r="N535" s="175" t="n">
        <v>202.1886</v>
      </c>
      <c r="O535" s="174" t="n">
        <v>1532902</v>
      </c>
      <c r="P535" s="202" t="n">
        <v>307</v>
      </c>
      <c r="Q535" s="202" t="n">
        <v>1351</v>
      </c>
      <c r="R535" s="202" t="n">
        <v>1044</v>
      </c>
    </row>
    <row r="536" ht="12.75" customHeight="1" s="186">
      <c r="B536" s="178" t="inlineStr">
        <is>
          <t>TO</t>
        </is>
      </c>
      <c r="C536" s="179" t="n">
        <v>2017</v>
      </c>
      <c r="D536" s="180" t="n">
        <v>20.71</v>
      </c>
      <c r="E536" s="180" t="n">
        <v>3.74</v>
      </c>
      <c r="F536" s="181" t="n">
        <v>344</v>
      </c>
      <c r="G536" s="182" t="n">
        <v>5.7714</v>
      </c>
      <c r="H536" s="182" t="n">
        <v>4.0604</v>
      </c>
      <c r="I536" s="181" t="n">
        <v>22002</v>
      </c>
      <c r="J536" s="182" t="n">
        <v>9.998900000000001</v>
      </c>
      <c r="K536" s="183" t="n">
        <v>11.7</v>
      </c>
      <c r="L536" s="184" t="n">
        <v>0</v>
      </c>
      <c r="M536" s="184" t="n">
        <v>0</v>
      </c>
      <c r="N536" s="182" t="n">
        <v>202.1886</v>
      </c>
      <c r="O536" s="181" t="n">
        <v>1550194</v>
      </c>
      <c r="P536" s="202" t="n">
        <v>312</v>
      </c>
      <c r="Q536" s="202" t="n">
        <v>1402</v>
      </c>
      <c r="R536" s="202" t="n">
        <v>1090</v>
      </c>
    </row>
    <row r="537" ht="12.75" customHeight="1" s="186">
      <c r="B537" s="171" t="inlineStr">
        <is>
          <t>TO</t>
        </is>
      </c>
      <c r="C537" s="172" t="n">
        <v>2018</v>
      </c>
      <c r="D537" s="173" t="n">
        <v>19.74</v>
      </c>
      <c r="E537" s="173" t="n">
        <v>6.62</v>
      </c>
      <c r="F537" s="174" t="n">
        <v>447</v>
      </c>
      <c r="G537" s="175" t="n">
        <v>5.7268</v>
      </c>
      <c r="H537" s="175" t="n">
        <v>4.6347</v>
      </c>
      <c r="I537" s="174" t="n">
        <v>22933</v>
      </c>
      <c r="J537" s="175" t="n">
        <v>10.0403</v>
      </c>
      <c r="K537" s="176" t="n">
        <v>10.7</v>
      </c>
      <c r="L537" s="177" t="n">
        <v>0</v>
      </c>
      <c r="M537" s="177" t="n">
        <v>0</v>
      </c>
      <c r="N537" s="175" t="n">
        <v>202.1886</v>
      </c>
      <c r="O537" s="174" t="n">
        <v>1555229</v>
      </c>
      <c r="P537" s="202" t="n">
        <v>316</v>
      </c>
      <c r="Q537" s="202" t="n">
        <v>1290</v>
      </c>
      <c r="R537" s="202" t="n">
        <v>974</v>
      </c>
    </row>
    <row r="538" ht="12.75" customHeight="1" s="186">
      <c r="B538" s="178" t="inlineStr">
        <is>
          <t>TO</t>
        </is>
      </c>
      <c r="C538" s="179" t="n">
        <v>2019</v>
      </c>
      <c r="D538" s="180" t="n">
        <v>15.7</v>
      </c>
      <c r="E538" s="180" t="n">
        <v>27.47</v>
      </c>
      <c r="F538" s="181" t="n">
        <v>879</v>
      </c>
      <c r="G538" s="182" t="n">
        <v>5.5094</v>
      </c>
      <c r="H538" s="182" t="n">
        <v>6.0684</v>
      </c>
      <c r="I538" s="181" t="n">
        <v>25022</v>
      </c>
      <c r="J538" s="182" t="n">
        <v>10.1275</v>
      </c>
      <c r="K538" s="183" t="n">
        <v>11</v>
      </c>
      <c r="L538" s="184" t="n">
        <v>0</v>
      </c>
      <c r="M538" s="184" t="n">
        <v>0</v>
      </c>
      <c r="N538" s="182" t="n">
        <v>202.1886</v>
      </c>
      <c r="O538" s="181" t="n">
        <v>1572866</v>
      </c>
      <c r="P538" s="202" t="n">
        <v>247</v>
      </c>
      <c r="Q538" s="202" t="n">
        <v>1203</v>
      </c>
      <c r="R538" s="202" t="n">
        <v>956</v>
      </c>
    </row>
    <row r="539" ht="12.75" customHeight="1" s="186">
      <c r="B539" s="171" t="inlineStr">
        <is>
          <t>TO</t>
        </is>
      </c>
      <c r="C539" s="172" t="n">
        <v>2020</v>
      </c>
      <c r="D539" s="173" t="n">
        <v>17.29</v>
      </c>
      <c r="E539" s="173" t="n">
        <v>47.35</v>
      </c>
      <c r="F539" s="174" t="n">
        <v>1632</v>
      </c>
      <c r="G539" s="175" t="n">
        <v>5.6168</v>
      </c>
      <c r="H539" s="175" t="n">
        <v>6.6241</v>
      </c>
      <c r="I539" s="174" t="n">
        <v>27448</v>
      </c>
      <c r="J539" s="175" t="n">
        <v>10.22</v>
      </c>
      <c r="K539" s="176" t="n">
        <v>12.1</v>
      </c>
      <c r="L539" s="177" t="n">
        <v>0</v>
      </c>
      <c r="M539" s="177" t="n">
        <v>1</v>
      </c>
      <c r="N539" s="175" t="n">
        <v>202.1886</v>
      </c>
      <c r="O539" s="174" t="n">
        <v>1590248</v>
      </c>
      <c r="P539" s="202" t="n">
        <v>273</v>
      </c>
      <c r="Q539" s="202" t="n">
        <v>1270</v>
      </c>
      <c r="R539" s="202" t="n">
        <v>997</v>
      </c>
    </row>
    <row r="540" ht="12.75" customHeight="1" s="186">
      <c r="B540" s="178" t="inlineStr">
        <is>
          <t>TO</t>
        </is>
      </c>
      <c r="C540" s="179" t="n">
        <v>2021</v>
      </c>
      <c r="D540" s="180" t="n">
        <v>15.62</v>
      </c>
      <c r="E540" s="180" t="n">
        <v>100.91</v>
      </c>
      <c r="F540" s="181" t="n">
        <v>3254</v>
      </c>
      <c r="G540" s="182" t="n">
        <v>5.5255</v>
      </c>
      <c r="H540" s="182" t="n">
        <v>7.3914</v>
      </c>
      <c r="I540" s="181" t="n">
        <v>32215</v>
      </c>
      <c r="J540" s="182" t="n">
        <v>10.3802</v>
      </c>
      <c r="K540" s="183" t="n">
        <v>13.4</v>
      </c>
      <c r="L540" s="184" t="n">
        <v>0</v>
      </c>
      <c r="M540" s="184" t="n">
        <v>1</v>
      </c>
      <c r="N540" s="182" t="n">
        <v>202.1886</v>
      </c>
      <c r="O540" s="181" t="n">
        <v>1607363</v>
      </c>
      <c r="P540" s="202" t="n">
        <v>251</v>
      </c>
      <c r="Q540" s="202" t="n">
        <v>1339</v>
      </c>
      <c r="R540" s="202" t="n">
        <v>1088</v>
      </c>
    </row>
    <row r="541" ht="12.75" customHeight="1" s="186">
      <c r="B541" s="171" t="inlineStr">
        <is>
          <t>TO</t>
        </is>
      </c>
      <c r="C541" s="172" t="n">
        <v>2022</v>
      </c>
      <c r="D541" s="173" t="n">
        <v>16.41</v>
      </c>
      <c r="E541" s="173" t="n">
        <v>202.19</v>
      </c>
      <c r="F541" s="174" t="n">
        <v>6310</v>
      </c>
      <c r="G541" s="175" t="n">
        <v>5.5134</v>
      </c>
      <c r="H541" s="175" t="n">
        <v>8.024900000000001</v>
      </c>
      <c r="I541" s="174" t="n">
        <v>38512</v>
      </c>
      <c r="J541" s="175" t="n">
        <v>10.5587</v>
      </c>
      <c r="K541" s="176" t="n">
        <v>6.4</v>
      </c>
      <c r="L541" s="177" t="n">
        <v>0</v>
      </c>
      <c r="M541" s="177" t="n">
        <v>0</v>
      </c>
      <c r="N541" s="175" t="n">
        <v>202.1886</v>
      </c>
      <c r="O541" s="174" t="n">
        <v>1511460</v>
      </c>
      <c r="P541" s="202" t="n">
        <v>255</v>
      </c>
      <c r="Q541" s="202" t="n">
        <v>1333</v>
      </c>
      <c r="R541" s="202" t="n">
        <v>1078</v>
      </c>
    </row>
    <row r="542" ht="12.75" customHeight="1" s="186">
      <c r="B542" s="178" t="inlineStr">
        <is>
          <t>TO</t>
        </is>
      </c>
      <c r="C542" s="179" t="n">
        <v>2023</v>
      </c>
      <c r="D542" s="180" t="n">
        <v>17.67</v>
      </c>
      <c r="E542" s="180" t="n">
        <v>0.33</v>
      </c>
      <c r="F542" s="181" t="n">
        <v>6315</v>
      </c>
      <c r="G542" s="182" t="n">
        <v>5.5872</v>
      </c>
      <c r="H542" s="182" t="n">
        <v>1.6094</v>
      </c>
      <c r="I542" s="181" t="n">
        <v>42553</v>
      </c>
      <c r="J542" s="182" t="n">
        <v>10.6585</v>
      </c>
      <c r="K542" s="183" t="n">
        <v>6.1</v>
      </c>
      <c r="L542" s="184" t="n">
        <v>1</v>
      </c>
      <c r="M542" s="184" t="n">
        <v>0</v>
      </c>
      <c r="N542" s="182" t="n">
        <v>202.1886</v>
      </c>
      <c r="O542" s="181" t="n">
        <v>1511460</v>
      </c>
      <c r="P542" s="202" t="n">
        <v>245</v>
      </c>
      <c r="Q542" s="202" t="n">
        <v>1331</v>
      </c>
      <c r="R542" s="202" t="n">
        <v>1086</v>
      </c>
    </row>
    <row r="543" ht="12.75" customHeight="1" s="186">
      <c r="B543" s="171" t="inlineStr">
        <is>
          <t>TO</t>
        </is>
      </c>
      <c r="C543" s="172" t="n">
        <v>2024</v>
      </c>
      <c r="D543" s="173" t="n">
        <v>8.619999999999999</v>
      </c>
      <c r="E543" s="173" t="n">
        <v>41.34</v>
      </c>
      <c r="F543" s="174" t="n">
        <v>6967</v>
      </c>
      <c r="G543" s="175" t="n">
        <v>4.9127</v>
      </c>
      <c r="H543" s="175" t="n">
        <v>6.48</v>
      </c>
      <c r="I543" s="174" t="n">
        <v>45296</v>
      </c>
      <c r="J543" s="175" t="n">
        <v>10.721</v>
      </c>
      <c r="K543" s="176" t="n">
        <v>5.4</v>
      </c>
      <c r="L543" s="177" t="n">
        <v>1</v>
      </c>
      <c r="M543" s="177" t="n">
        <v>0</v>
      </c>
      <c r="N543" s="175" t="n">
        <v>202.1886</v>
      </c>
      <c r="O543" s="174" t="n">
        <v>1577342</v>
      </c>
      <c r="P543" s="202" t="n">
        <v>145</v>
      </c>
      <c r="Q543" s="202" t="n">
        <v>1327</v>
      </c>
      <c r="R543" s="202" t="n">
        <v>1182</v>
      </c>
    </row>
    <row r="544" ht="39.75" customHeight="1" s="186">
      <c r="A544" s="197" t="inlineStr">
        <is>
          <t>estoque_crs = acumulado de CRs emitidos 2005→t por UF | int_i = CRs_2022/pop_2022×100mil (fixo) | 2010: desemp interpolado (PNAD suspensa no Censo) | desemp 2005-2014: PNAD anual Ipea (10+ anos) | desemp 2015-2024: PNAD Contínua (14+ anos) | PIB 2024: projeção por taxa média nominal 2019/2022/2023 por UF | Células azul-claro = dados históricos 2005-2015.</t>
        </is>
      </c>
    </row>
  </sheetData>
  <mergeCells count="3">
    <mergeCell ref="A544:O544"/>
    <mergeCell ref="A1:O1"/>
    <mergeCell ref="A2:O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2026-07-12T16:56:50Z</dcterms:created>
  <dcterms:modified xmlns:dcterms="http://purl.org/dc/terms/" xmlns:xsi="http://www.w3.org/2001/XMLSchema-instance" xsi:type="dcterms:W3CDTF">2026-10-17T02:58:54Z</dcterms:modified>
  <cp:lastModifiedBy>Pedro Borges Griese</cp:lastModifiedBy>
  <cp:revision>0</cp:revision>
</cp:coreProperties>
</file>