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s_por_UF_Ano" sheetId="1" state="visible" r:id="rId3"/>
    <sheet name="Serie_Nacional" sheetId="2" state="visible" r:id="rId4"/>
    <sheet name="Notas_Metodologicas" sheetId="3" state="visible" r:id="rId5"/>
    <sheet name="Estoque_Total_UF" sheetId="4" state="visible" r:id="rId6"/>
    <sheet name="Estoque_UsoRestrito_UF" sheetId="5" state="visible" r:id="rId7"/>
    <sheet name="Estoque_UsoPermitido_UF" sheetId="6" state="visible" r:id="rId8"/>
    <sheet name="Var_Tratamento_DiD" sheetId="7" state="visible" r:id="rId9"/>
    <sheet name="Homicidios_ArmaFogo_UF" sheetId="8" state="visible" r:id="rId10"/>
    <sheet name="PIB_UF_IBGE" sheetId="9" state="visible" r:id="rId11"/>
    <sheet name="Populacao_UF" sheetId="10" state="visible" r:id="rId12"/>
    <sheet name="PIB_PerCapita_UF" sheetId="11" state="visible" r:id="rId13"/>
    <sheet name="Desemprego_UF" sheetId="12" state="visible" r:id="rId14"/>
    <sheet name="Painel_Variaveis_Modelos" sheetId="13" state="visible" r:id="rId15"/>
    <sheet name="painel" sheetId="14" state="visible" r:id="rId16"/>
    <sheet name="dados_crs" sheetId="15" state="visible" r:id="rId17"/>
    <sheet name="CRs_Expandido_2005_2025" sheetId="16" state="visible" r:id="rId18"/>
    <sheet name="Homicidios_2005_2024" sheetId="17" state="visible" r:id="rId19"/>
    <sheet name="Populacao_2005_2024" sheetId="18" state="visible" r:id="rId20"/>
    <sheet name="Desemprego_2005_2024" sheetId="19" state="visible" r:id="rId21"/>
    <sheet name="painel_expandido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<sst xmlns="http://schemas.openxmlformats.org/spreadsheetml/2006/main" count="2068" uniqueCount="189">
  <si>
    <t xml:space="preserve">Certificados de Registro CAC por Unidade Federativa e Ano (2016–2025)</t>
  </si>
  <si>
    <t xml:space="preserve">Fonte: Exército Brasileiro / Polícia Federal — Dashboard SINARM/CAC (extração: jul/2025)</t>
  </si>
  <si>
    <t xml:space="preserve">UF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</si>
  <si>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</si>
  <si>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</si>
  <si>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</si>
  <si>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</si>
  <si>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</si>
  <si>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</si>
  <si>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</si>
  <si>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</si>
  <si>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</si>
  <si>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</si>
  <si>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</t>
  </si>
  <si>
    <t xml:space="preserve">Var% 22→23</t>
  </si>
  <si>
    <t xml:space="preserve">AC</t>
  </si>
  <si>
    <t xml:space="preserve">AL</t>
  </si>
  <si>
    <t xml:space="preserve">AM</t>
  </si>
  <si>
    <t xml:space="preserve">AP</t>
  </si>
  <si>
    <t xml:space="preserve">BA</t>
  </si>
  <si>
    <t xml:space="preserve">CE</t>
  </si>
  <si>
    <t xml:space="preserve">DF</t>
  </si>
  <si>
    <t xml:space="preserve">ES</t>
  </si>
  <si>
    <t xml:space="preserve">GO</t>
  </si>
  <si>
    <t xml:space="preserve">MA</t>
  </si>
  <si>
    <t xml:space="preserve">MG</t>
  </si>
  <si>
    <t xml:space="preserve">MS</t>
  </si>
  <si>
    <t xml:space="preserve">MT</t>
  </si>
  <si>
    <t xml:space="preserve">PA</t>
  </si>
  <si>
    <t xml:space="preserve">PB</t>
  </si>
  <si>
    <t xml:space="preserve">PE</t>
  </si>
  <si>
    <t xml:space="preserve">PI</t>
  </si>
  <si>
    <t xml:space="preserve">PR</t>
  </si>
  <si>
    <t xml:space="preserve">RJ</t>
  </si>
  <si>
    <t xml:space="preserve">RN</t>
  </si>
  <si>
    <t xml:space="preserve">RO</t>
  </si>
  <si>
    <t xml:space="preserve">RR</t>
  </si>
  <si>
    <t xml:space="preserve">RS</t>
  </si>
  <si>
    <t xml:space="preserve">SC</t>
  </si>
  <si>
    <t xml:space="preserve">SE</t>
  </si>
  <si>
    <t xml:space="preserve">SP</t>
  </si>
  <si>
    <t xml:space="preserve">TO</t>
  </si>
  <si>
    <t xml:space="preserve">BRASIL</t>
  </si>
  <si>
    <t xml:space="preserve">Série Nacional de CRs CAC Emitidos por Ano (2000–2025)</t>
  </si>
  <si>
    <t xml:space="preserve">Fonte: Exército Brasileiro / Polícia Federal — Dashboard SINARM/CAC</t>
  </si>
  <si>
    <t xml:space="preserve">Ano</t>
  </si>
  <si>
    <t xml:space="preserve">Total CRs</t>
  </si>
  <si>
    <t xml:space="preserve">Var% a/a</t>
  </si>
  <si>
    <t xml:space="preserve">Uso Desportivo</t>
  </si>
  <si>
    <t xml:space="preserve">Caçador</t>
  </si>
  <si>
    <t xml:space="preserve">Colecionador</t>
  </si>
  <si>
    <t xml:space="preserve">—</t>
  </si>
  <si>
    <t xml:space="preserve">Notas Metodológicas — Base de Dados CAC</t>
  </si>
  <si>
    <t xml:space="preserve">Fonte primária</t>
  </si>
  <si>
    <t xml:space="preserve">Dashboard Certificado de Registro-CAC — Exército Brasileiro / Polícia Federal. Disponível em: app.fabric.microsoft.com. Acesso em: jul/2025.</t>
  </si>
  <si>
    <t xml:space="preserve">Responsabilidade</t>
  </si>
  <si>
    <t xml:space="preserve">Dados de 2000 a jun/2025 mantidos pelo Exército Brasileiro. A Polícia Federal passou a ser responsável a partir de julho de 2025.</t>
  </si>
  <si>
    <t xml:space="preserve">Método de coleta</t>
  </si>
  <si>
    <t xml:space="preserve">Extração manual via screenshots do dashboard filtrando ano a ano e UF. Valores conferidos com os totais nacionais exibidos no painel.</t>
  </si>
  <si>
    <t xml:space="preserve">Categoria 'XX'</t>
  </si>
  <si>
    <t xml:space="preserve">Aparece em 2019 (1 registro), 2022 (2 registros) e 2025 (2 registros). Provável erro de cadastro de UF. Excluído da análise espacial.</t>
  </si>
  <si>
    <t xml:space="preserve">Anos 2001-2004 / 2006-2009</t>
  </si>
  <si>
    <t xml:space="preserve">Não individualizados no dashboard — apresentados como valores de referência agregados. Não incluídos no painel UF×Ano.</t>
  </si>
  <si>
    <t xml:space="preserve">Cobertura do painel</t>
  </si>
  <si>
    <t xml:space="preserve">Painel UF×Ano cobre 2016–2025 (10 anos × 27 UFs = 270 observações). Série nacional cobre 2000–2025.</t>
  </si>
  <si>
    <t xml:space="preserve">Evento chave 2023</t>
  </si>
  <si>
    <t xml:space="preserve">O colapso de 362.224 (2022) para 1.030 (2023) representa queda de -99,7%, reflexo do Decreto n. 11.366 de 1.º/jan/2023 que revogou os decretos de flexibilização sem publicar nova regulamentação. Período de vácuo normativo: jan-jul/2023.</t>
  </si>
  <si>
    <t xml:space="preserve">Categorias de CR</t>
  </si>
  <si>
    <t xml:space="preserve">Uso Desportivo (Atirador Desportivo), Caçador e Colecionador. Uso Desportivo responde por &gt;99% dos certificados na maioria dos anos.</t>
  </si>
  <si>
    <t xml:space="preserve">Uso recomendado</t>
  </si>
  <si>
    <t xml:space="preserve">Variável de fluxo (novos CRs/ano) para análise de regressão. Variável de estoque (Dashboard 1 — total acumulado por UF) para variável de intensidade de tratamento.</t>
  </si>
  <si>
    <t xml:space="preserve">Limitação</t>
  </si>
  <si>
    <t xml:space="preserve">Os dados refletem certificados emitidos, não o universo de atiradores ativos. Cancelamentos e suspensões de CRs não estão disponíveis neste dashboard.</t>
  </si>
  <si>
    <t xml:space="preserve">Projeção PIB 2024</t>
  </si>
  <si>
    <t xml:space="preserve">PIB per capita 2024 projetado individualmente por UF aplicando a média das taxas de crescimento nominal dos anos 2019, 2022 e 2023 — excluindo 2020 e 2021 pelo efeito excepcional da pandemia de COVID-19. Fórmula: taxa_i = média(Δ%2019, Δ%2022, Δ%2023); PIB_2024_i = PIB_2023_i × (1 + taxa_i). Fonte base: IBGE Contas Regionais SCR 2023.</t>
  </si>
  <si>
    <t xml:space="preserve">População 2024</t>
  </si>
  <si>
    <t xml:space="preserve">Estimativas da população residente por UF com data de referência em 1.º de julho de 2024. Fonte: IBGE/DPE/COPIS — publicado no DOU. Total Brasil: 212.583.750 habitantes.</t>
  </si>
  <si>
    <t xml:space="preserve">Links de acesso</t>
  </si>
  <si>
    <t xml:space="preserve">DataSUS/TABNET: datasus.saude.gov.br/informacoes-de-saude-tabnet/ | PF — CRs CAC: gov.br/pf/pt-br/assuntos/armas/dados-abertos/certificados-de-registro-cac/ | PF — Estoque armas: gov.br/pf/pt-br/assuntos/armas/dados-abertos/registros-de-armas-de-fogo-cac/ | IBGE Contas Regionais: ibge.gov.br/estatisticas/economicas/contas-nacionais/9054 (edição 45139)</t>
  </si>
  <si>
    <t xml:space="preserve">Estoque de Armas CAC por UF — Total Geral (acumulado histórico)</t>
  </si>
  <si>
    <t xml:space="preserve">Total nacional: 1,644,084 armas — Fonte: Exército Brasileiro / PF — Dashboard SINARM/CAC (jul/2025)</t>
  </si>
  <si>
    <t xml:space="preserve">Atirador Desportivo</t>
  </si>
  <si>
    <t xml:space="preserve">TOTAL ARMAS</t>
  </si>
  <si>
    <t xml:space="preserve">% Atirador</t>
  </si>
  <si>
    <t xml:space="preserve">% Restrito*</t>
  </si>
  <si>
    <t xml:space="preserve">* % Restrito = armas de calibre restrito ao civil / total de armas por UF. Calibres restritos: 9x19mm, .40, .45 e outros de uso militar. XX = registros sem UF identificada (excluídos da análise).</t>
  </si>
  <si>
    <t xml:space="preserve">Estoque de Armas CAC por UF — Uso Restrito (calibres restritos ao civil)</t>
  </si>
  <si>
    <t xml:space="preserve">Total nacional: 810,705 armas — Fonte: Exército Brasileiro / PF — Dashboard SINARM/CAC (jul/2025) | Calibres restritos: 9x19mm, .40, .45 e outros de uso militar/policial</t>
  </si>
  <si>
    <t xml:space="preserve">Estoque de Armas CAC por UF — Uso Permitido (calibres permitidos ao civil)</t>
  </si>
  <si>
    <t xml:space="preserve">Total nacional: 833,379 armas — Fonte: Exército Brasileiro / PF — Dashboard SINARM/CAC (jul/2025) | Calibres permitidos: .22, 12GA, .38, .357 e outros de uso civil</t>
  </si>
  <si>
    <t xml:space="preserve">Variável de Intensidade de Tratamento — DiD Espacial (pré-2023)</t>
  </si>
  <si>
    <t xml:space="preserve">Variável de tratamento D_i = CRs emitidos em 2022 / população UF (proxy de intensidade CAC pré-choque). UFs acima da mediana = grupo tratado.</t>
  </si>
  <si>
    <t xml:space="preserve">CRs 2022</t>
  </si>
  <si>
    <t xml:space="preserve">CRs 2023</t>
  </si>
  <si>
    <t xml:space="preserve">Estoque Total</t>
  </si>
  <si>
    <t xml:space="preserve">% Uso Restrito</t>
  </si>
  <si>
    <t xml:space="preserve">GRUPO DiD</t>
  </si>
  <si>
    <t xml:space="preserve">BAIXO</t>
  </si>
  <si>
    <t xml:space="preserve">ALTO</t>
  </si>
  <si>
    <t xml:space="preserve">Mediana CRs 2022 = 6,128. ALTO = UF acima da mediana (grupo de alta exposição ao choque jan/2023). BAIXO = UF abaixo da mediana (grupo de baixa exposição). Variável de intensidade contínua recomendada: ln(CRs_2022_i / pop_i).</t>
  </si>
  <si>
    <t xml:space="preserve">Homicídios por Arma de Fogo por UF e Ano — Óbitos por Ocorrência (CID-10: X93, X94, X95)</t>
  </si>
  <si>
    <t xml:space="preserve">Fonte: MS/SVSA/CGIAE — Sistema de Informações sobre Mortalidade (SIM). X93=Agressão por arma de fogo de mão; X94=Espingarda/carabina; X95=Outra arma de fogo ou NE. Dados por local de ocorrência do óbito.</t>
  </si>
  <si>
    <t xml:space="preserve">Hom/100mil 2022*</t>
  </si>
  <si>
    <t xml:space="preserve">* Taxa por 100 mil habitantes calculada com estimativa IBGE 2022. Verde = taxa &lt; 15/100mil; Laranja = 15–30/100mil; Vermelho = &gt; 30/100mil. Var% 22→23 = variação dos homicídios por arma de fogo entre 2022 e 2023 — período do choque regulatório (Decreto 11.366/jan/2023). Nota: 2024 com possível subnotificação — dados atualizados em 02/12/2025.</t>
  </si>
  <si>
    <t xml:space="preserve">PIB por Unidade da Federação (R$ milhões correntes) — IBGE Contas Regionais</t>
  </si>
  <si>
    <t xml:space="preserve">Fontes: IBGE Contas Regionais do Brasil 2005-2009 (PDF, Tabela 1) para 2005-2009; IBGE SCR 2023 (tab01.xls) para 2010-2023. Valores em R$ milhões correntes. 2024†: projeção por taxa média de crescimento nominal (2019, 2022, 2023) por UF.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</si>
  <si>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</si>
  <si>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</si>
  <si>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</si>
  <si>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</si>
  <si>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</si>
  <si>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2024*</t>
  </si>
  <si>
    <t xml:space="preserve">2024†</t>
  </si>
  <si>
    <t xml:space="preserve">Valores em R$ bilhões correntes (original em R$ milhões ÷ 1.000). * 2024 = projeção aplicando crescimento de 3,47% sobre 2023 (crescimento nominal do PIB Brasil 2024, IBGE SCN). Usar com cautela — não substitui dado oficial. Para análise robusta, truncar painel em 2023 onde PIB é confirmado.</t>
  </si>
  <si>
    <t xml:space="preserve">População Residente por UF (2016–2024) — IBGE</t>
  </si>
  <si>
    <t xml:space="preserve">Fontes: IBGE Estimativas tab.6579 (2016–2021, 2024); Censo Demográfico 2022 para 2022 e 2023 (=Censo 2022, TCU/DOU).</t>
  </si>
  <si>
    <t xml:space="preserve">2023 = mesmo valor do Censo 2022 (IBGE publicou o Censo 2022 no DOU em 2023 para fins do FPM/TCU).</t>
  </si>
  <si>
    <t xml:space="preserve">PIB per Capita por UF — R$ correntes (2016–2023) — IBGE Contas Regionais</t>
  </si>
  <si>
    <t xml:space="preserve">PIB per capita = PIB R$ correntes (IBGE Contas Regionais 2023) ÷ população (IBGE tab.6579/Censo 2022).</t>
  </si>
  <si>
    <t xml:space="preserve">PIB per capita em R$ correntes — não deflacionado. Para análise comparativa inter-temporal, deflacionar pelo IPCA.</t>
  </si>
  <si>
    <t xml:space="preserve">Taxa de Desocupação por UF — % anual (2016–2024) — PNAD Contínua</t>
  </si>
  <si>
    <t xml:space="preserve">Fonte: IBGE PNAD Contínua, Tabela 4099. Média anual dos 4 trimestres. Pessoas de 14 anos ou mais.</t>
  </si>
  <si>
    <t xml:space="preserve">Laranja=pico pandemia 2020-2021. Verde=2022 pico CAC. Vermelho=2023 choque regulatório. Dummy pandemia recomendada nos modelos.</t>
  </si>
  <si>
    <t xml:space="preserve">Painel de Variáveis para Estimação — 27 UFs × 8 Anos (2016–2023)</t>
  </si>
  <si>
    <t xml:space="preserve">SIM/DataSUS (X93-X95) | PF/Exército (CRs CAC) | IBGE Contas Regionais | PNAD Contínua | IBGE Estimativas Pop.</t>
  </si>
  <si>
    <t xml:space="preserve">Hom_100mil</t>
  </si>
  <si>
    <t xml:space="preserve">CRs_100mil</t>
  </si>
  <si>
    <t xml:space="preserve">ln_Hom</t>
  </si>
  <si>
    <t xml:space="preserve">ln_CRs</t>
  </si>
  <si>
    <t xml:space="preserve">PIBpc_R$</t>
  </si>
  <si>
    <t xml:space="preserve">ln_PIBpc</t>
  </si>
  <si>
    <t xml:space="preserve">Desemprego_%</t>
  </si>
  <si>
    <t xml:space="preserve">POST_2023</t>
  </si>
  <si>
    <t xml:space="preserve">D_pandemia</t>
  </si>
  <si>
    <t xml:space="preserve">INT_i</t>
  </si>
  <si>
    <t xml:space="preserve">INT_i = CRs emitidos em 2022 / pop_2022 × 100.000 (intensidade de tratamento — fixo por UF, pré-determinado). POST_2023 = 1 se ano ≥ 2023. D_pandemia = 1 para 2020–2021. ln_* = logaritmo natural. Variáveis prontas para estimação OLS/FE com R/Python/Stata.</t>
  </si>
  <si>
    <t xml:space="preserve">painel — Variáveis para Estimação (flat, Python-ready) | 27 UFs × 8 Anos (2016–2023)</t>
  </si>
  <si>
    <t xml:space="preserve">Importar com: pd.read_excel(..., sheet_name='painel', header=2) → df.set_index(['uf','ano'])</t>
  </si>
  <si>
    <t xml:space="preserve">uf</t>
  </si>
  <si>
    <t xml:space="preserve">ano</t>
  </si>
  <si>
    <t xml:space="preserve">hom100</t>
  </si>
  <si>
    <t xml:space="preserve">crs100</t>
  </si>
  <si>
    <t xml:space="preserve">ln_hom</t>
  </si>
  <si>
    <t xml:space="preserve">ln_crs</t>
  </si>
  <si>
    <t xml:space="preserve">pibpc</t>
  </si>
  <si>
    <t xml:space="preserve">ln_pibpc</t>
  </si>
  <si>
    <t xml:space="preserve">desemp</t>
  </si>
  <si>
    <t xml:space="preserve">post</t>
  </si>
  <si>
    <t xml:space="preserve">d_pan</t>
  </si>
  <si>
    <t xml:space="preserve">int_i</t>
  </si>
  <si>
    <t xml:space="preserve">pop</t>
  </si>
  <si>
    <t xml:space="preserve">UF (2 letras)</t>
  </si>
  <si>
    <t xml:space="preserve">Ano (2016–2023)</t>
  </si>
  <si>
    <t xml:space="preserve">Hom. arma/100mil hab.</t>
  </si>
  <si>
    <t xml:space="preserve">CRs CAC/100mil hab.</t>
  </si>
  <si>
    <t xml:space="preserve">ln(homicídios abs.)</t>
  </si>
  <si>
    <t xml:space="preserve">ln(CRs abs.) — 0 se missing</t>
  </si>
  <si>
    <t xml:space="preserve">PIB per capita R$ corr.</t>
  </si>
  <si>
    <t xml:space="preserve">ln(PIBpc)</t>
  </si>
  <si>
    <t xml:space="preserve">Tx desocupação anual %</t>
  </si>
  <si>
    <t xml:space="preserve">1 se ano ≥ 2023</t>
  </si>
  <si>
    <t xml:space="preserve">1 se ano ∈ {2020,2021}</t>
  </si>
  <si>
    <t xml:space="preserve">CRs_2022/pop_2022×100mil</t>
  </si>
  <si>
    <t xml:space="preserve">População residente (hab.)</t>
  </si>
  <si>
    <t xml:space="preserve">COMO IMPORTAR: df = pd.read_excel('Base_CAC_UF_Ano_2016_2025.xlsx', sheet_name='painel', header=2).dropna(subset=['uf']).set_index(['uf','ano'])  |  216 obs. (27 UFs × 8 anos). ln_crs = None quando CRs = 0 (PI 2023). int_i = CRs_2022/pop_2022×100mil, fixo por UF (variável de intensidade DiD). | 2024†: PIBpc projetado pela média das taxas nominais de crescimento de 2019, 2022 e 2023 por UF (excluindo 2020–2021 pela pandemia). Pop 2024: estimativa oficial IBGE DOU jul/2024.</t>
  </si>
  <si>
    <t xml:space="preserve">dados_crs — Certificados CAC emitidos por UF e Ano (formato long, 2016–2025)</t>
  </si>
  <si>
    <t xml:space="preserve">Importar: pd.read_excel(..., sheet_name='dados_crs', header=2)  |  Fonte: Exército Brasileiro / PF — Dashboard SINARM/CAC (jul/2025)</t>
  </si>
  <si>
    <t xml:space="preserve">crs</t>
  </si>
  <si>
    <t xml:space="preserve">CRs emitidos (absoluto)</t>
  </si>
  <si>
    <t xml:space="preserve">COMO IMPORTAR: df = pd.read_excel('Base_CAC_UF_Ano_2016_2025.xlsx', sheet_name='dados_crs', header=2)  |  270 obs. (27 UFs × 10 anos). Verde = 2022 (pico). Vermelho = 2023 (colapso -99,7%). Para painel 2016–2023: df = df[df['ano'] &lt;= 2023]</t>
  </si>
  <si>
    <t xml:space="preserve">CRs Emitidos por UF e Ano (2005–2025) — Série Expandida</t>
  </si>
  <si>
    <t xml:space="preserve">Fonte: Dashboard PF/Exército — SINARM/CAC (extração manual screenshots, jul/2025). CSV em desenvolvimento pela PF.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</si>
  <si>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</si>
  <si>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</si>
  <si>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</si>
  <si>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</si>
  <si>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</si>
  <si>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</si>
  <si>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Homicídios por Arma de Fogo (X93+X94+X95) por UF e Ano (2005–2024)</t>
  </si>
  <si>
    <t xml:space="preserve">Fonte: SIM/DataSUS — MS/SVSA/CGIAE. CID-10: X93+X94+X95. Óbitos por local de ocorrência. Arquivos: sim_cnv_ext10uf220614189 (2005-2015) e sim_cnv_ext10uf185942189 (2016-2024).</t>
  </si>
  <si>
    <t xml:space="preserve">População Residente por UF (2005–2024) — Série Expandida</t>
  </si>
  <si>
    <t xml:space="preserve">Fontes: IBGE tab.6579 (2005,2006,2008,2009,2011-2021,2024); TCU/DOU 2007 (Contagem Populacional); Censo 2010; Censo 2022 (2022 e 2023=Opção A); IBGE DOU jul/2024.</t>
  </si>
  <si>
    <t xml:space="preserve">Taxa de Desocupação por UF % (2005–2024) — PNAD anual + PNAD Contínua</t>
  </si>
  <si>
    <t xml:space="preserve">2005-2014: IBGE/PNAD anual, elaboração Disoc/Ipea (Dese_Pnad, série inativa), pessoas 10+ anos. 2010: interpolação linear 2009↔2011 (PNAD suspensa no Censo). 2015-2024: IBGE PNAD Contínua tabela 4099, pessoas 14+ anos, média 4 trimestres.</t>
  </si>
  <si>
    <t xml:space="preserve">2010 *</t>
  </si>
  <si>
    <t xml:space="preserve">painel_expandido — 27 UFs × 20 Anos (2005–2024) = 540 obs.</t>
  </si>
  <si>
    <t xml:space="preserve">Importar: pd.read_excel(..., sheet_name='painel_expandido', header=1).dropna(subset=['uf']).set_index(['uf','ano'])  |  estoque_crs = acumulado de CRs emitidos até o ano t por UF i. int_i = CRs_2022/pop_2022×100mil (fixo por UF).</t>
  </si>
  <si>
    <t xml:space="preserve">estoque_crs</t>
  </si>
  <si>
    <t xml:space="preserve">estoque_crs = acumulado de CRs emitidos 2005→t por UF | int_i = CRs_2022/pop_2022×100mil (fixo) | 2010: desemp interpolado (PNAD suspensa no Censo) | desemp 2005-2014: PNAD anual Ipea (10+ anos) | desemp 2015-2024: PNAD Contínua (14+ anos) | PIB 2024: projeção por taxa média nominal 2019/2022/2023 por UF | Células azul-claro = dados históricos 2005-2015.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</si>
</sst>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"/>
    <numFmt numFmtId="168" formatCode="#,##0.0"/>
    <numFmt numFmtId="169" formatCode="0.00"/>
    <numFmt numFmtId="170" formatCode="0.00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Times New Roman"/>
      <family val="0"/>
      <charset val="1"/>
    </font>
    <font>
      <i val="true"/>
      <sz val="9"/>
      <color rgb="FF7F6000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b val="true"/>
      <sz val="9"/>
      <color rgb="FFFFFFFF"/>
      <name val="Times New Roman"/>
      <family val="0"/>
      <charset val="1"/>
    </font>
    <font>
      <b val="true"/>
      <sz val="10"/>
      <color rgb="FF1F4E79"/>
      <name val="Times New Roman"/>
      <family val="0"/>
      <charset val="1"/>
    </font>
    <font>
      <sz val="10"/>
      <color rgb="FF000000"/>
      <name val="Times New Roman"/>
      <family val="0"/>
      <charset val="1"/>
    </font>
    <font>
      <sz val="10"/>
      <color rgb="FF595959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sz val="10"/>
      <name val="Times New Roman"/>
      <family val="0"/>
      <charset val="1"/>
    </font>
    <font>
      <sz val="10"/>
      <color rgb="FFC00000"/>
      <name val="Times New Roman"/>
      <family val="0"/>
      <charset val="1"/>
    </font>
    <font>
      <i val="true"/>
      <sz val="8"/>
      <color rgb="FF7F6000"/>
      <name val="Times New Roman"/>
      <family val="0"/>
      <charset val="1"/>
    </font>
    <font>
      <sz val="10"/>
      <color rgb="FFFFFFFF"/>
      <name val="Times New Roman"/>
      <family val="0"/>
      <charset val="1"/>
    </font>
    <font>
      <i val="true"/>
      <sz val="10"/>
      <color rgb="FF808080"/>
      <name val="Times New Roman"/>
      <family val="0"/>
      <charset val="1"/>
    </font>
    <font>
      <i val="true"/>
      <sz val="10"/>
      <color rgb="FFE26B0A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9"/>
      <color rgb="FF000000"/>
      <name val="Times New Roman"/>
      <family val="0"/>
      <charset val="1"/>
    </font>
    <font>
      <b val="true"/>
      <sz val="9"/>
      <color rgb="FF1F4E79"/>
      <name val="Times New Roman"/>
      <family val="0"/>
      <charset val="1"/>
    </font>
    <font>
      <i val="true"/>
      <sz val="8"/>
      <color rgb="FF595959"/>
      <name val="Times New Roman"/>
      <family val="0"/>
      <charset val="1"/>
    </font>
    <font>
      <b val="true"/>
      <i val="true"/>
      <sz val="9"/>
      <color rgb="FF1F4E79"/>
      <name val="Times New Roman"/>
      <family val="0"/>
      <charset val="1"/>
    </font>
    <font>
      <i val="true"/>
      <sz val="9"/>
      <color rgb="FF000000"/>
      <name val="Times New Roman"/>
      <family val="0"/>
      <charset val="1"/>
    </font>
    <font>
      <i val="true"/>
      <sz val="9"/>
      <color rgb="FFE26B0A"/>
      <name val="Times New Roman"/>
      <family val="0"/>
      <charset val="1"/>
    </font>
    <font>
      <b val="true"/>
      <sz val="8"/>
      <color rgb="FF1F4E79"/>
      <name val="Times New Roman"/>
      <family val="0"/>
      <charset val="1"/>
    </font>
    <font>
      <sz val="8"/>
      <color rgb="FF000000"/>
      <name val="Times New Roman"/>
      <family val="0"/>
      <charset val="1"/>
    </font>
  </fonts>
  <fills count="3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3E0"/>
      </patternFill>
    </fill>
    <fill>
      <patternFill patternType="solid">
        <fgColor rgb="FF2E75B6"/>
        <bgColor rgb="FF1F7391"/>
      </patternFill>
    </fill>
    <fill>
      <patternFill patternType="solid">
        <fgColor rgb="FFC00000"/>
        <bgColor rgb="FF800000"/>
      </patternFill>
    </fill>
    <fill>
      <patternFill patternType="solid">
        <fgColor rgb="FFD6E4F0"/>
        <bgColor rgb="FFD6EAF8"/>
      </patternFill>
    </fill>
    <fill>
      <patternFill patternType="solid">
        <fgColor rgb="FFFFFFFF"/>
        <bgColor rgb="FFF8FFF8"/>
      </patternFill>
    </fill>
    <fill>
      <patternFill patternType="solid">
        <fgColor rgb="FFEEF4FB"/>
        <bgColor rgb="FFF0F5FF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F0F7EE"/>
      </patternFill>
    </fill>
    <fill>
      <patternFill patternType="solid">
        <fgColor rgb="FFFCE4D6"/>
        <bgColor rgb="FFFFF2CC"/>
      </patternFill>
    </fill>
    <fill>
      <patternFill patternType="solid">
        <fgColor rgb="FF1F7391"/>
        <bgColor rgb="FF2E75B6"/>
      </patternFill>
    </fill>
    <fill>
      <patternFill patternType="solid">
        <fgColor rgb="FF7030A0"/>
        <bgColor rgb="FF993366"/>
      </patternFill>
    </fill>
    <fill>
      <patternFill patternType="solid">
        <fgColor rgb="FFFEF0EF"/>
        <bgColor rgb="FFFEF5F3"/>
      </patternFill>
    </fill>
    <fill>
      <patternFill patternType="solid">
        <fgColor rgb="FFE26B0A"/>
        <bgColor rgb="FF7F6000"/>
      </patternFill>
    </fill>
    <fill>
      <patternFill patternType="solid">
        <fgColor rgb="FFF0F7EE"/>
        <bgColor rgb="FFF2F2F2"/>
      </patternFill>
    </fill>
    <fill>
      <patternFill patternType="solid">
        <fgColor rgb="FFFEF5F3"/>
        <bgColor rgb="FFFFF5F5"/>
      </patternFill>
    </fill>
    <fill>
      <patternFill patternType="solid">
        <fgColor rgb="FF808080"/>
        <bgColor rgb="FF595959"/>
      </patternFill>
    </fill>
    <fill>
      <patternFill patternType="solid">
        <fgColor rgb="FFF2F2F2"/>
        <bgColor rgb="FFEEF4FB"/>
      </patternFill>
    </fill>
    <fill>
      <patternFill patternType="solid">
        <fgColor rgb="FFFFE0B2"/>
        <bgColor rgb="FFFCE4D6"/>
      </patternFill>
    </fill>
    <fill>
      <patternFill patternType="solid">
        <fgColor rgb="FFFFF3E0"/>
        <bgColor rgb="FFFEF0EF"/>
      </patternFill>
    </fill>
    <fill>
      <patternFill patternType="solid">
        <fgColor rgb="FFF0FFF0"/>
        <bgColor rgb="FFF5FFF5"/>
      </patternFill>
    </fill>
    <fill>
      <patternFill patternType="solid">
        <fgColor rgb="FFFFF5F5"/>
        <bgColor rgb="FFFEF5F3"/>
      </patternFill>
    </fill>
    <fill>
      <patternFill patternType="solid">
        <fgColor rgb="FFD6EAF8"/>
        <bgColor rgb="FFD6E4F0"/>
      </patternFill>
    </fill>
    <fill>
      <patternFill patternType="solid">
        <fgColor rgb="FFF8FFF8"/>
        <bgColor rgb="FFF5FFF5"/>
      </patternFill>
    </fill>
    <fill>
      <patternFill patternType="solid">
        <fgColor rgb="FFEAF5FB"/>
        <bgColor rgb="FFEEF4FB"/>
      </patternFill>
    </fill>
    <fill>
      <patternFill patternType="solid">
        <fgColor rgb="FFEDE7F6"/>
        <bgColor rgb="FFF2F2F2"/>
      </patternFill>
    </fill>
    <fill>
      <patternFill patternType="solid">
        <fgColor rgb="FFF0F5FF"/>
        <bgColor rgb="FFEEF4FB"/>
      </patternFill>
    </fill>
    <fill>
      <patternFill patternType="solid">
        <fgColor rgb="FFF5FFF5"/>
        <bgColor rgb="FFF8FFF8"/>
      </patternFill>
    </fill>
    <fill>
      <patternFill patternType="solid">
        <fgColor rgb="FFF5FDFF"/>
        <bgColor rgb="FFF8FFF8"/>
      </patternFill>
    </fill>
    <fill>
      <patternFill patternType="solid">
        <fgColor rgb="FF7F3F00"/>
        <bgColor rgb="FF7F6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6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6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3" fillId="1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6" fillId="2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5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1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1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1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6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6" fillId="2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9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9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6" fillId="1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7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9" fillId="1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9" fillId="1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7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2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2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2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2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2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2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2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2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2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2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2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2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2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2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2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2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2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3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4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3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4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3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2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3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2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2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6" fillId="2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2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2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3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3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6" fillId="3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3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3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0F7EE"/>
      <rgbColor rgb="FFFF00FF"/>
      <rgbColor rgb="FFF8FFF8"/>
      <rgbColor rgb="FF800000"/>
      <rgbColor rgb="FF008000"/>
      <rgbColor rgb="FF000080"/>
      <rgbColor rgb="FF7F6000"/>
      <rgbColor rgb="FF800080"/>
      <rgbColor rgb="FF1F7391"/>
      <rgbColor rgb="FFCCCCCC"/>
      <rgbColor rgb="FF808080"/>
      <rgbColor rgb="FFEEF4FB"/>
      <rgbColor rgb="FF7030A0"/>
      <rgbColor rgb="FFFFF2CC"/>
      <rgbColor rgb="FFD6EAF8"/>
      <rgbColor rgb="FF660066"/>
      <rgbColor rgb="FFFEF5F3"/>
      <rgbColor rgb="FF0066CC"/>
      <rgbColor rgb="FFD6E4F0"/>
      <rgbColor rgb="FF000080"/>
      <rgbColor rgb="FFFF00FF"/>
      <rgbColor rgb="FFF0FFF0"/>
      <rgbColor rgb="FF00FFFF"/>
      <rgbColor rgb="FF800080"/>
      <rgbColor rgb="FF800000"/>
      <rgbColor rgb="FF008080"/>
      <rgbColor rgb="FF0000FF"/>
      <rgbColor rgb="FF00CCFF"/>
      <rgbColor rgb="FFEAF5FB"/>
      <rgbColor rgb="FFE2EFDA"/>
      <rgbColor rgb="FFFFF3E0"/>
      <rgbColor rgb="FFEDE7F6"/>
      <rgbColor rgb="FFFCE4D6"/>
      <rgbColor rgb="FFF2F2F2"/>
      <rgbColor rgb="FFFFE0B2"/>
      <rgbColor rgb="FF2E75B6"/>
      <rgbColor rgb="FFF5FDFF"/>
      <rgbColor rgb="FFF5FFF5"/>
      <rgbColor rgb="FFFEF0EF"/>
      <rgbColor rgb="FFFFF5F5"/>
      <rgbColor rgb="FFE26B0A"/>
      <rgbColor rgb="FF595959"/>
      <rgbColor rgb="FFF0F5FF"/>
      <rgbColor rgb="FF003366"/>
      <rgbColor rgb="FF339966"/>
      <rgbColor rgb="FF003300"/>
      <rgbColor rgb="FF333300"/>
      <rgbColor rgb="FF7F3F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12" min="3" style="1" width="10"/>
    <col collapsed="false" customWidth="true" hidden="false" outlineLevel="0" max="13" min="13" style="1" width="12"/>
    <col collapsed="false" customWidth="true" hidden="false" outlineLevel="0" max="14" min="14" style="1" width="14"/>
  </cols>
  <sheetData>
    <row r="1" customFormat="false" ht="21.75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2.75" hidden="false" customHeight="true" outlineLevel="0" collapsed="false"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21.75" hidden="false" customHeight="true" outlineLevel="0" collapsed="false"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4" t="s">
        <v>13</v>
      </c>
      <c r="N3" s="6" t="s">
        <v>14</v>
      </c>
    </row>
    <row r="4" customFormat="false" ht="15.75" hidden="false" customHeight="true" outlineLevel="0" collapsed="false">
      <c r="B4" s="7" t="s">
        <v>15</v>
      </c>
      <c r="C4" s="8" t="n">
        <v>10</v>
      </c>
      <c r="D4" s="8" t="n">
        <v>23</v>
      </c>
      <c r="E4" s="8" t="n">
        <v>66</v>
      </c>
      <c r="F4" s="8" t="n">
        <v>159</v>
      </c>
      <c r="G4" s="8" t="n">
        <v>337</v>
      </c>
      <c r="H4" s="8" t="n">
        <v>544</v>
      </c>
      <c r="I4" s="8" t="n">
        <v>605</v>
      </c>
      <c r="J4" s="8" t="n">
        <v>1</v>
      </c>
      <c r="K4" s="8" t="n">
        <v>39</v>
      </c>
      <c r="L4" s="8" t="n">
        <v>99</v>
      </c>
      <c r="M4" s="9" t="n">
        <f aca="false">SUM(C4:L4)</f>
        <v>1883</v>
      </c>
      <c r="N4" s="10" t="n">
        <f aca="false">(J4-I4)/I4</f>
        <v>-0.998347107438017</v>
      </c>
    </row>
    <row r="5" customFormat="false" ht="15.75" hidden="false" customHeight="true" outlineLevel="0" collapsed="false">
      <c r="B5" s="11" t="s">
        <v>16</v>
      </c>
      <c r="C5" s="12" t="n">
        <v>27</v>
      </c>
      <c r="D5" s="12" t="n">
        <v>77</v>
      </c>
      <c r="E5" s="12" t="n">
        <v>121</v>
      </c>
      <c r="F5" s="12" t="n">
        <v>722</v>
      </c>
      <c r="G5" s="12" t="n">
        <v>1261</v>
      </c>
      <c r="H5" s="12" t="n">
        <v>2587</v>
      </c>
      <c r="I5" s="12" t="n">
        <v>3488</v>
      </c>
      <c r="J5" s="12" t="n">
        <v>4</v>
      </c>
      <c r="K5" s="12" t="n">
        <v>532</v>
      </c>
      <c r="L5" s="12" t="n">
        <v>756</v>
      </c>
      <c r="M5" s="13" t="n">
        <f aca="false">SUM(C5:L5)</f>
        <v>9575</v>
      </c>
      <c r="N5" s="10" t="n">
        <f aca="false">(J5-I5)/I5</f>
        <v>-0.998853211009174</v>
      </c>
    </row>
    <row r="6" customFormat="false" ht="15.75" hidden="false" customHeight="true" outlineLevel="0" collapsed="false">
      <c r="B6" s="7" t="s">
        <v>17</v>
      </c>
      <c r="C6" s="8" t="n">
        <v>20</v>
      </c>
      <c r="D6" s="8" t="n">
        <v>88</v>
      </c>
      <c r="E6" s="8" t="n">
        <v>192</v>
      </c>
      <c r="F6" s="8" t="n">
        <v>397</v>
      </c>
      <c r="G6" s="8" t="n">
        <v>1067</v>
      </c>
      <c r="H6" s="8" t="n">
        <v>2142</v>
      </c>
      <c r="I6" s="8" t="n">
        <v>4005</v>
      </c>
      <c r="J6" s="8" t="n">
        <v>16</v>
      </c>
      <c r="K6" s="8" t="n">
        <v>122</v>
      </c>
      <c r="L6" s="8" t="n">
        <v>232</v>
      </c>
      <c r="M6" s="9" t="n">
        <f aca="false">SUM(C6:L6)</f>
        <v>8281</v>
      </c>
      <c r="N6" s="10" t="n">
        <f aca="false">(J6-I6)/I6</f>
        <v>-0.996004993757803</v>
      </c>
    </row>
    <row r="7" customFormat="false" ht="15.75" hidden="false" customHeight="true" outlineLevel="0" collapsed="false">
      <c r="B7" s="11" t="s">
        <v>18</v>
      </c>
      <c r="C7" s="12" t="n">
        <v>0</v>
      </c>
      <c r="D7" s="12" t="n">
        <v>22</v>
      </c>
      <c r="E7" s="12" t="n">
        <v>21</v>
      </c>
      <c r="F7" s="12" t="n">
        <v>111</v>
      </c>
      <c r="G7" s="12" t="n">
        <v>226</v>
      </c>
      <c r="H7" s="12" t="n">
        <v>355</v>
      </c>
      <c r="I7" s="12" t="n">
        <v>551</v>
      </c>
      <c r="J7" s="12" t="n">
        <v>41</v>
      </c>
      <c r="K7" s="12" t="n">
        <v>66</v>
      </c>
      <c r="L7" s="12" t="n">
        <v>170</v>
      </c>
      <c r="M7" s="13" t="n">
        <f aca="false">SUM(C7:L7)</f>
        <v>1563</v>
      </c>
      <c r="N7" s="10" t="n">
        <f aca="false">(J7-I7)/I7</f>
        <v>-0.925589836660617</v>
      </c>
    </row>
    <row r="8" customFormat="false" ht="15.75" hidden="false" customHeight="true" outlineLevel="0" collapsed="false">
      <c r="B8" s="7" t="s">
        <v>19</v>
      </c>
      <c r="C8" s="8" t="n">
        <v>245</v>
      </c>
      <c r="D8" s="8" t="n">
        <v>455</v>
      </c>
      <c r="E8" s="8" t="n">
        <v>790</v>
      </c>
      <c r="F8" s="8" t="n">
        <v>2920</v>
      </c>
      <c r="G8" s="8" t="n">
        <v>6161</v>
      </c>
      <c r="H8" s="8" t="n">
        <v>8501</v>
      </c>
      <c r="I8" s="8" t="n">
        <v>11821</v>
      </c>
      <c r="J8" s="8" t="n">
        <v>72</v>
      </c>
      <c r="K8" s="8" t="n">
        <v>1541</v>
      </c>
      <c r="L8" s="8" t="n">
        <v>4306</v>
      </c>
      <c r="M8" s="9" t="n">
        <f aca="false">SUM(C8:L8)</f>
        <v>36812</v>
      </c>
      <c r="N8" s="10" t="n">
        <f aca="false">(J8-I8)/I8</f>
        <v>-0.993909144742408</v>
      </c>
    </row>
    <row r="9" customFormat="false" ht="15.75" hidden="false" customHeight="true" outlineLevel="0" collapsed="false">
      <c r="B9" s="11" t="s">
        <v>20</v>
      </c>
      <c r="C9" s="12" t="n">
        <v>388</v>
      </c>
      <c r="D9" s="12" t="n">
        <v>692</v>
      </c>
      <c r="E9" s="12" t="n">
        <v>993</v>
      </c>
      <c r="F9" s="12" t="n">
        <v>2102</v>
      </c>
      <c r="G9" s="12" t="n">
        <v>3117</v>
      </c>
      <c r="H9" s="12" t="n">
        <v>6179</v>
      </c>
      <c r="I9" s="12" t="n">
        <v>6438</v>
      </c>
      <c r="J9" s="12" t="n">
        <v>18</v>
      </c>
      <c r="K9" s="12" t="n">
        <v>1324</v>
      </c>
      <c r="L9" s="12" t="n">
        <v>1409</v>
      </c>
      <c r="M9" s="13" t="n">
        <f aca="false">SUM(C9:L9)</f>
        <v>22660</v>
      </c>
      <c r="N9" s="10" t="n">
        <f aca="false">(J9-I9)/I9</f>
        <v>-0.997204100652377</v>
      </c>
    </row>
    <row r="10" customFormat="false" ht="15.75" hidden="false" customHeight="true" outlineLevel="0" collapsed="false">
      <c r="B10" s="7" t="s">
        <v>21</v>
      </c>
      <c r="C10" s="8" t="n">
        <v>189</v>
      </c>
      <c r="D10" s="8" t="n">
        <v>319</v>
      </c>
      <c r="E10" s="8" t="n">
        <v>500</v>
      </c>
      <c r="F10" s="8" t="n">
        <v>2483</v>
      </c>
      <c r="G10" s="8" t="n">
        <v>5045</v>
      </c>
      <c r="H10" s="8" t="n">
        <v>8289</v>
      </c>
      <c r="I10" s="8" t="n">
        <v>10861</v>
      </c>
      <c r="J10" s="8" t="n">
        <v>18</v>
      </c>
      <c r="K10" s="8" t="n">
        <v>1148</v>
      </c>
      <c r="L10" s="8" t="n">
        <v>1512</v>
      </c>
      <c r="M10" s="9" t="n">
        <f aca="false">SUM(C10:L10)</f>
        <v>30364</v>
      </c>
      <c r="N10" s="10" t="n">
        <f aca="false">(J10-I10)/I10</f>
        <v>-0.998342694042906</v>
      </c>
    </row>
    <row r="11" customFormat="false" ht="15.75" hidden="false" customHeight="true" outlineLevel="0" collapsed="false">
      <c r="B11" s="11" t="s">
        <v>22</v>
      </c>
      <c r="C11" s="12" t="n">
        <v>40</v>
      </c>
      <c r="D11" s="12" t="n">
        <v>135</v>
      </c>
      <c r="E11" s="12" t="n">
        <v>321</v>
      </c>
      <c r="F11" s="12" t="n">
        <v>658</v>
      </c>
      <c r="G11" s="12" t="n">
        <v>750</v>
      </c>
      <c r="H11" s="12" t="n">
        <v>2320</v>
      </c>
      <c r="I11" s="12" t="n">
        <v>3015</v>
      </c>
      <c r="J11" s="12" t="n">
        <v>39</v>
      </c>
      <c r="K11" s="12" t="n">
        <v>515</v>
      </c>
      <c r="L11" s="12" t="n">
        <v>1496</v>
      </c>
      <c r="M11" s="13" t="n">
        <f aca="false">SUM(C11:L11)</f>
        <v>9289</v>
      </c>
      <c r="N11" s="10" t="n">
        <f aca="false">(J11-I11)/I11</f>
        <v>-0.987064676616915</v>
      </c>
    </row>
    <row r="12" customFormat="false" ht="15.75" hidden="false" customHeight="true" outlineLevel="0" collapsed="false">
      <c r="B12" s="7" t="s">
        <v>23</v>
      </c>
      <c r="C12" s="8" t="n">
        <v>115</v>
      </c>
      <c r="D12" s="8" t="n">
        <v>301</v>
      </c>
      <c r="E12" s="8" t="n">
        <v>594</v>
      </c>
      <c r="F12" s="8" t="n">
        <v>3046</v>
      </c>
      <c r="G12" s="8" t="n">
        <v>8498</v>
      </c>
      <c r="H12" s="8" t="n">
        <v>22040</v>
      </c>
      <c r="I12" s="8" t="n">
        <v>29119</v>
      </c>
      <c r="J12" s="8" t="n">
        <v>52</v>
      </c>
      <c r="K12" s="8" t="n">
        <v>5050</v>
      </c>
      <c r="L12" s="8" t="n">
        <v>5594</v>
      </c>
      <c r="M12" s="9" t="n">
        <f aca="false">SUM(C12:L12)</f>
        <v>74409</v>
      </c>
      <c r="N12" s="10" t="n">
        <f aca="false">(J12-I12)/I12</f>
        <v>-0.998214224389574</v>
      </c>
    </row>
    <row r="13" customFormat="false" ht="15.75" hidden="false" customHeight="true" outlineLevel="0" collapsed="false">
      <c r="B13" s="11" t="s">
        <v>24</v>
      </c>
      <c r="C13" s="12" t="n">
        <v>32</v>
      </c>
      <c r="D13" s="12" t="n">
        <v>90</v>
      </c>
      <c r="E13" s="12" t="n">
        <v>118</v>
      </c>
      <c r="F13" s="12" t="n">
        <v>636</v>
      </c>
      <c r="G13" s="12" t="n">
        <v>1500</v>
      </c>
      <c r="H13" s="12" t="n">
        <v>2852</v>
      </c>
      <c r="I13" s="12" t="n">
        <v>4983</v>
      </c>
      <c r="J13" s="12" t="n">
        <v>2</v>
      </c>
      <c r="K13" s="12" t="n">
        <v>513</v>
      </c>
      <c r="L13" s="12" t="n">
        <v>2285</v>
      </c>
      <c r="M13" s="13" t="n">
        <f aca="false">SUM(C13:L13)</f>
        <v>13011</v>
      </c>
      <c r="N13" s="10" t="n">
        <f aca="false">(J13-I13)/I13</f>
        <v>-0.999598635360225</v>
      </c>
    </row>
    <row r="14" customFormat="false" ht="15.75" hidden="false" customHeight="true" outlineLevel="0" collapsed="false">
      <c r="B14" s="7" t="s">
        <v>25</v>
      </c>
      <c r="C14" s="8" t="n">
        <v>272</v>
      </c>
      <c r="D14" s="8" t="n">
        <v>489</v>
      </c>
      <c r="E14" s="8" t="n">
        <v>1089</v>
      </c>
      <c r="F14" s="8" t="n">
        <v>6591</v>
      </c>
      <c r="G14" s="8" t="n">
        <v>10111</v>
      </c>
      <c r="H14" s="8" t="n">
        <v>23876</v>
      </c>
      <c r="I14" s="8" t="n">
        <v>36600</v>
      </c>
      <c r="J14" s="8" t="n">
        <v>101</v>
      </c>
      <c r="K14" s="8" t="n">
        <v>7766</v>
      </c>
      <c r="L14" s="8" t="n">
        <v>8984</v>
      </c>
      <c r="M14" s="9" t="n">
        <f aca="false">SUM(C14:L14)</f>
        <v>95879</v>
      </c>
      <c r="N14" s="10" t="n">
        <f aca="false">(J14-I14)/I14</f>
        <v>-0.99724043715847</v>
      </c>
    </row>
    <row r="15" customFormat="false" ht="15.75" hidden="false" customHeight="true" outlineLevel="0" collapsed="false">
      <c r="B15" s="11" t="s">
        <v>26</v>
      </c>
      <c r="C15" s="12" t="n">
        <v>117</v>
      </c>
      <c r="D15" s="12" t="n">
        <v>190</v>
      </c>
      <c r="E15" s="12" t="n">
        <v>187</v>
      </c>
      <c r="F15" s="12" t="n">
        <v>1053</v>
      </c>
      <c r="G15" s="12" t="n">
        <v>2364</v>
      </c>
      <c r="H15" s="12" t="n">
        <v>4750</v>
      </c>
      <c r="I15" s="12" t="n">
        <v>8979</v>
      </c>
      <c r="J15" s="12" t="n">
        <v>18</v>
      </c>
      <c r="K15" s="12" t="n">
        <v>1180</v>
      </c>
      <c r="L15" s="12" t="n">
        <v>1513</v>
      </c>
      <c r="M15" s="13" t="n">
        <f aca="false">SUM(C15:L15)</f>
        <v>20351</v>
      </c>
      <c r="N15" s="10" t="n">
        <f aca="false">(J15-I15)/I15</f>
        <v>-0.997995322418978</v>
      </c>
    </row>
    <row r="16" customFormat="false" ht="15.75" hidden="false" customHeight="true" outlineLevel="0" collapsed="false">
      <c r="B16" s="7" t="s">
        <v>27</v>
      </c>
      <c r="C16" s="8" t="n">
        <v>143</v>
      </c>
      <c r="D16" s="8" t="n">
        <v>226</v>
      </c>
      <c r="E16" s="8" t="n">
        <v>325</v>
      </c>
      <c r="F16" s="8" t="n">
        <v>1654</v>
      </c>
      <c r="G16" s="8" t="n">
        <v>2269</v>
      </c>
      <c r="H16" s="8" t="n">
        <v>6044</v>
      </c>
      <c r="I16" s="8" t="n">
        <v>13272</v>
      </c>
      <c r="J16" s="8" t="n">
        <v>37</v>
      </c>
      <c r="K16" s="8" t="n">
        <v>2254</v>
      </c>
      <c r="L16" s="8" t="n">
        <v>3388</v>
      </c>
      <c r="M16" s="9" t="n">
        <f aca="false">SUM(C16:L16)</f>
        <v>29612</v>
      </c>
      <c r="N16" s="10" t="n">
        <f aca="false">(J16-I16)/I16</f>
        <v>-0.997212176009644</v>
      </c>
    </row>
    <row r="17" customFormat="false" ht="15.75" hidden="false" customHeight="true" outlineLevel="0" collapsed="false">
      <c r="B17" s="11" t="s">
        <v>28</v>
      </c>
      <c r="C17" s="12" t="n">
        <v>51</v>
      </c>
      <c r="D17" s="12" t="n">
        <v>68</v>
      </c>
      <c r="E17" s="12" t="n">
        <v>84</v>
      </c>
      <c r="F17" s="12" t="n">
        <v>490</v>
      </c>
      <c r="G17" s="12" t="n">
        <v>1937</v>
      </c>
      <c r="H17" s="12" t="n">
        <v>4052</v>
      </c>
      <c r="I17" s="12" t="n">
        <v>6128</v>
      </c>
      <c r="J17" s="12" t="n">
        <v>18</v>
      </c>
      <c r="K17" s="12" t="n">
        <v>966</v>
      </c>
      <c r="L17" s="12" t="n">
        <v>1668</v>
      </c>
      <c r="M17" s="13" t="n">
        <f aca="false">SUM(C17:L17)</f>
        <v>15462</v>
      </c>
      <c r="N17" s="10" t="n">
        <f aca="false">(J17-I17)/I17</f>
        <v>-0.997062663185379</v>
      </c>
    </row>
    <row r="18" customFormat="false" ht="15.75" hidden="false" customHeight="true" outlineLevel="0" collapsed="false">
      <c r="B18" s="7" t="s">
        <v>29</v>
      </c>
      <c r="C18" s="8" t="n">
        <v>60</v>
      </c>
      <c r="D18" s="8" t="n">
        <v>104</v>
      </c>
      <c r="E18" s="8" t="n">
        <v>639</v>
      </c>
      <c r="F18" s="8" t="n">
        <v>1179</v>
      </c>
      <c r="G18" s="8" t="n">
        <v>1636</v>
      </c>
      <c r="H18" s="8" t="n">
        <v>2913</v>
      </c>
      <c r="I18" s="8" t="n">
        <v>3712</v>
      </c>
      <c r="J18" s="8" t="n">
        <v>4</v>
      </c>
      <c r="K18" s="8" t="n">
        <v>541</v>
      </c>
      <c r="L18" s="8" t="n">
        <v>901</v>
      </c>
      <c r="M18" s="9" t="n">
        <f aca="false">SUM(C18:L18)</f>
        <v>11689</v>
      </c>
      <c r="N18" s="10" t="n">
        <f aca="false">(J18-I18)/I18</f>
        <v>-0.998922413793103</v>
      </c>
    </row>
    <row r="19" customFormat="false" ht="15.75" hidden="false" customHeight="true" outlineLevel="0" collapsed="false">
      <c r="B19" s="11" t="s">
        <v>30</v>
      </c>
      <c r="C19" s="12" t="n">
        <v>125</v>
      </c>
      <c r="D19" s="12" t="n">
        <v>286</v>
      </c>
      <c r="E19" s="12" t="n">
        <v>384</v>
      </c>
      <c r="F19" s="12" t="n">
        <v>1968</v>
      </c>
      <c r="G19" s="12" t="n">
        <v>3765</v>
      </c>
      <c r="H19" s="12" t="n">
        <v>6335</v>
      </c>
      <c r="I19" s="12" t="n">
        <v>8307</v>
      </c>
      <c r="J19" s="12" t="n">
        <v>10</v>
      </c>
      <c r="K19" s="12" t="n">
        <v>955</v>
      </c>
      <c r="L19" s="12" t="n">
        <v>1515</v>
      </c>
      <c r="M19" s="13" t="n">
        <f aca="false">SUM(C19:L19)</f>
        <v>23650</v>
      </c>
      <c r="N19" s="10" t="n">
        <f aca="false">(J19-I19)/I19</f>
        <v>-0.998796195979295</v>
      </c>
    </row>
    <row r="20" customFormat="false" ht="15.75" hidden="false" customHeight="true" outlineLevel="0" collapsed="false">
      <c r="B20" s="7" t="s">
        <v>31</v>
      </c>
      <c r="C20" s="8" t="n">
        <v>37</v>
      </c>
      <c r="D20" s="8" t="n">
        <v>112</v>
      </c>
      <c r="E20" s="8" t="n">
        <v>129</v>
      </c>
      <c r="F20" s="8" t="n">
        <v>288</v>
      </c>
      <c r="G20" s="8" t="n">
        <v>462</v>
      </c>
      <c r="H20" s="8" t="n">
        <v>1209</v>
      </c>
      <c r="I20" s="8" t="n">
        <v>1426</v>
      </c>
      <c r="J20" s="8" t="n">
        <v>0</v>
      </c>
      <c r="K20" s="8" t="n">
        <v>272</v>
      </c>
      <c r="L20" s="8" t="n">
        <v>284</v>
      </c>
      <c r="M20" s="9" t="n">
        <f aca="false">SUM(C20:L20)</f>
        <v>4219</v>
      </c>
      <c r="N20" s="10" t="n">
        <f aca="false">(J20-I20)/I20</f>
        <v>-1</v>
      </c>
    </row>
    <row r="21" customFormat="false" ht="15.75" hidden="false" customHeight="true" outlineLevel="0" collapsed="false">
      <c r="B21" s="11" t="s">
        <v>32</v>
      </c>
      <c r="C21" s="12" t="n">
        <v>386</v>
      </c>
      <c r="D21" s="12" t="n">
        <v>518</v>
      </c>
      <c r="E21" s="12" t="n">
        <v>1238</v>
      </c>
      <c r="F21" s="12" t="n">
        <v>7341</v>
      </c>
      <c r="G21" s="12" t="n">
        <v>17292</v>
      </c>
      <c r="H21" s="12" t="n">
        <v>15235</v>
      </c>
      <c r="I21" s="12" t="n">
        <v>38850</v>
      </c>
      <c r="J21" s="12" t="n">
        <v>87</v>
      </c>
      <c r="K21" s="12" t="n">
        <v>5326</v>
      </c>
      <c r="L21" s="12" t="n">
        <v>7310</v>
      </c>
      <c r="M21" s="13" t="n">
        <f aca="false">SUM(C21:L21)</f>
        <v>93583</v>
      </c>
      <c r="N21" s="10" t="n">
        <f aca="false">(J21-I21)/I21</f>
        <v>-0.997760617760618</v>
      </c>
    </row>
    <row r="22" customFormat="false" ht="15.75" hidden="false" customHeight="true" outlineLevel="0" collapsed="false">
      <c r="B22" s="7" t="s">
        <v>33</v>
      </c>
      <c r="C22" s="8" t="n">
        <v>399</v>
      </c>
      <c r="D22" s="8" t="n">
        <v>672</v>
      </c>
      <c r="E22" s="8" t="n">
        <v>1481</v>
      </c>
      <c r="F22" s="8" t="n">
        <v>1502</v>
      </c>
      <c r="G22" s="8" t="n">
        <v>3221</v>
      </c>
      <c r="H22" s="8" t="n">
        <v>7957</v>
      </c>
      <c r="I22" s="8" t="n">
        <v>14706</v>
      </c>
      <c r="J22" s="8" t="n">
        <v>49</v>
      </c>
      <c r="K22" s="8" t="n">
        <v>2736</v>
      </c>
      <c r="L22" s="8" t="n">
        <v>5065</v>
      </c>
      <c r="M22" s="9" t="n">
        <f aca="false">SUM(C22:L22)</f>
        <v>37788</v>
      </c>
      <c r="N22" s="10" t="n">
        <f aca="false">(J22-I22)/I22</f>
        <v>-0.996668026655787</v>
      </c>
    </row>
    <row r="23" customFormat="false" ht="15.75" hidden="false" customHeight="true" outlineLevel="0" collapsed="false">
      <c r="B23" s="11" t="s">
        <v>34</v>
      </c>
      <c r="C23" s="12" t="n">
        <v>76</v>
      </c>
      <c r="D23" s="12" t="n">
        <v>78</v>
      </c>
      <c r="E23" s="12" t="n">
        <v>107</v>
      </c>
      <c r="F23" s="12" t="n">
        <v>939</v>
      </c>
      <c r="G23" s="12" t="n">
        <v>1181</v>
      </c>
      <c r="H23" s="12" t="n">
        <v>1932</v>
      </c>
      <c r="I23" s="12" t="n">
        <v>2477</v>
      </c>
      <c r="J23" s="12" t="n">
        <v>3</v>
      </c>
      <c r="K23" s="12" t="n">
        <v>652</v>
      </c>
      <c r="L23" s="12" t="n">
        <v>564</v>
      </c>
      <c r="M23" s="13" t="n">
        <f aca="false">SUM(C23:L23)</f>
        <v>8009</v>
      </c>
      <c r="N23" s="10" t="n">
        <f aca="false">(J23-I23)/I23</f>
        <v>-0.998788857488898</v>
      </c>
    </row>
    <row r="24" customFormat="false" ht="15.75" hidden="false" customHeight="true" outlineLevel="0" collapsed="false">
      <c r="B24" s="7" t="s">
        <v>35</v>
      </c>
      <c r="C24" s="8" t="n">
        <v>84</v>
      </c>
      <c r="D24" s="8" t="n">
        <v>88</v>
      </c>
      <c r="E24" s="8" t="n">
        <v>207</v>
      </c>
      <c r="F24" s="8" t="n">
        <v>956</v>
      </c>
      <c r="G24" s="8" t="n">
        <v>1899</v>
      </c>
      <c r="H24" s="8" t="n">
        <v>3543</v>
      </c>
      <c r="I24" s="8" t="n">
        <v>5550</v>
      </c>
      <c r="J24" s="8" t="n">
        <v>8</v>
      </c>
      <c r="K24" s="8" t="n">
        <v>378</v>
      </c>
      <c r="L24" s="8" t="n">
        <v>650</v>
      </c>
      <c r="M24" s="9" t="n">
        <f aca="false">SUM(C24:L24)</f>
        <v>13363</v>
      </c>
      <c r="N24" s="10" t="n">
        <f aca="false">(J24-I24)/I24</f>
        <v>-0.998558558558559</v>
      </c>
    </row>
    <row r="25" customFormat="false" ht="15.75" hidden="false" customHeight="true" outlineLevel="0" collapsed="false">
      <c r="B25" s="11" t="s">
        <v>36</v>
      </c>
      <c r="C25" s="12" t="n">
        <v>0</v>
      </c>
      <c r="D25" s="12" t="n">
        <v>7</v>
      </c>
      <c r="E25" s="12" t="n">
        <v>16</v>
      </c>
      <c r="F25" s="12" t="n">
        <v>63</v>
      </c>
      <c r="G25" s="12" t="n">
        <v>104</v>
      </c>
      <c r="H25" s="12" t="n">
        <v>241</v>
      </c>
      <c r="I25" s="12" t="n">
        <v>515</v>
      </c>
      <c r="J25" s="12" t="n">
        <v>6</v>
      </c>
      <c r="K25" s="12" t="n">
        <v>56</v>
      </c>
      <c r="L25" s="12" t="n">
        <v>47</v>
      </c>
      <c r="M25" s="13" t="n">
        <f aca="false">SUM(C25:L25)</f>
        <v>1055</v>
      </c>
      <c r="N25" s="10" t="n">
        <f aca="false">(J25-I25)/I25</f>
        <v>-0.988349514563107</v>
      </c>
    </row>
    <row r="26" customFormat="false" ht="15.75" hidden="false" customHeight="true" outlineLevel="0" collapsed="false">
      <c r="B26" s="7" t="s">
        <v>37</v>
      </c>
      <c r="C26" s="8" t="n">
        <v>863</v>
      </c>
      <c r="D26" s="8" t="n">
        <v>1460</v>
      </c>
      <c r="E26" s="8" t="n">
        <v>2059</v>
      </c>
      <c r="F26" s="8" t="n">
        <v>10957</v>
      </c>
      <c r="G26" s="8" t="n">
        <v>15875</v>
      </c>
      <c r="H26" s="8" t="n">
        <v>24668</v>
      </c>
      <c r="I26" s="8" t="n">
        <v>29744</v>
      </c>
      <c r="J26" s="8" t="n">
        <v>150</v>
      </c>
      <c r="K26" s="8" t="n">
        <v>5362</v>
      </c>
      <c r="L26" s="8" t="n">
        <v>4808</v>
      </c>
      <c r="M26" s="9" t="n">
        <f aca="false">SUM(C26:L26)</f>
        <v>95946</v>
      </c>
      <c r="N26" s="10" t="n">
        <f aca="false">(J26-I26)/I26</f>
        <v>-0.994956966110812</v>
      </c>
    </row>
    <row r="27" customFormat="false" ht="15.75" hidden="false" customHeight="true" outlineLevel="0" collapsed="false">
      <c r="B27" s="11" t="s">
        <v>38</v>
      </c>
      <c r="C27" s="12" t="n">
        <v>435</v>
      </c>
      <c r="D27" s="12" t="n">
        <v>500</v>
      </c>
      <c r="E27" s="12" t="n">
        <v>1043</v>
      </c>
      <c r="F27" s="12" t="n">
        <v>7220</v>
      </c>
      <c r="G27" s="12" t="n">
        <v>13006</v>
      </c>
      <c r="H27" s="12" t="n">
        <v>11286</v>
      </c>
      <c r="I27" s="12" t="n">
        <v>28247</v>
      </c>
      <c r="J27" s="12" t="n">
        <v>74</v>
      </c>
      <c r="K27" s="12" t="n">
        <v>5865</v>
      </c>
      <c r="L27" s="12" t="n">
        <v>5749</v>
      </c>
      <c r="M27" s="13" t="n">
        <f aca="false">SUM(C27:L27)</f>
        <v>73425</v>
      </c>
      <c r="N27" s="10" t="n">
        <f aca="false">(J27-I27)/I27</f>
        <v>-0.997380252770206</v>
      </c>
    </row>
    <row r="28" customFormat="false" ht="15.75" hidden="false" customHeight="true" outlineLevel="0" collapsed="false">
      <c r="B28" s="7" t="s">
        <v>39</v>
      </c>
      <c r="C28" s="8" t="n">
        <v>55</v>
      </c>
      <c r="D28" s="8" t="n">
        <v>86</v>
      </c>
      <c r="E28" s="8" t="n">
        <v>94</v>
      </c>
      <c r="F28" s="8" t="n">
        <v>364</v>
      </c>
      <c r="G28" s="8" t="n">
        <v>619</v>
      </c>
      <c r="H28" s="8" t="n">
        <v>1003</v>
      </c>
      <c r="I28" s="8" t="n">
        <v>1048</v>
      </c>
      <c r="J28" s="8" t="n">
        <v>1</v>
      </c>
      <c r="K28" s="8" t="n">
        <v>24</v>
      </c>
      <c r="L28" s="8" t="n">
        <v>467</v>
      </c>
      <c r="M28" s="9" t="n">
        <f aca="false">SUM(C28:L28)</f>
        <v>3761</v>
      </c>
      <c r="N28" s="10" t="n">
        <f aca="false">(J28-I28)/I28</f>
        <v>-0.999045801526718</v>
      </c>
    </row>
    <row r="29" customFormat="false" ht="15.75" hidden="false" customHeight="true" outlineLevel="0" collapsed="false">
      <c r="B29" s="11" t="s">
        <v>40</v>
      </c>
      <c r="C29" s="12" t="n">
        <v>1994</v>
      </c>
      <c r="D29" s="12" t="n">
        <v>3248</v>
      </c>
      <c r="E29" s="12" t="n">
        <v>4559</v>
      </c>
      <c r="F29" s="12" t="n">
        <v>24737</v>
      </c>
      <c r="G29" s="12" t="n">
        <v>23416</v>
      </c>
      <c r="H29" s="12" t="n">
        <v>60194</v>
      </c>
      <c r="I29" s="12" t="n">
        <v>84719</v>
      </c>
      <c r="J29" s="12" t="n">
        <v>196</v>
      </c>
      <c r="K29" s="12" t="n">
        <v>27463</v>
      </c>
      <c r="L29" s="12" t="n">
        <v>22670</v>
      </c>
      <c r="M29" s="13" t="n">
        <f aca="false">SUM(C29:L29)</f>
        <v>253196</v>
      </c>
      <c r="N29" s="10" t="n">
        <f aca="false">(J29-I29)/I29</f>
        <v>-0.997686469387032</v>
      </c>
    </row>
    <row r="30" customFormat="false" ht="15.75" hidden="false" customHeight="true" outlineLevel="0" collapsed="false">
      <c r="B30" s="7" t="s">
        <v>41</v>
      </c>
      <c r="C30" s="8" t="n">
        <v>59</v>
      </c>
      <c r="D30" s="8" t="n">
        <v>58</v>
      </c>
      <c r="E30" s="8" t="n">
        <v>103</v>
      </c>
      <c r="F30" s="8" t="n">
        <v>432</v>
      </c>
      <c r="G30" s="8" t="n">
        <v>753</v>
      </c>
      <c r="H30" s="8" t="n">
        <v>1622</v>
      </c>
      <c r="I30" s="8" t="n">
        <v>3056</v>
      </c>
      <c r="J30" s="8" t="n">
        <v>5</v>
      </c>
      <c r="K30" s="8" t="n">
        <v>652</v>
      </c>
      <c r="L30" s="8" t="n">
        <v>819</v>
      </c>
      <c r="M30" s="9" t="n">
        <f aca="false">SUM(C30:L30)</f>
        <v>7559</v>
      </c>
      <c r="N30" s="10" t="n">
        <f aca="false">(J30-I30)/I30</f>
        <v>-0.99836387434555</v>
      </c>
    </row>
    <row r="31" customFormat="false" ht="18" hidden="false" customHeight="true" outlineLevel="0" collapsed="false">
      <c r="B31" s="14" t="s">
        <v>42</v>
      </c>
      <c r="C31" s="15" t="n">
        <f aca="false">SUM(C4:C30)</f>
        <v>6222</v>
      </c>
      <c r="D31" s="15" t="n">
        <f aca="false">SUM(D4:D30)</f>
        <v>10392</v>
      </c>
      <c r="E31" s="15" t="n">
        <f aca="false">SUM(E4:E30)</f>
        <v>17460</v>
      </c>
      <c r="F31" s="15" t="n">
        <f aca="false">SUM(F4:F30)</f>
        <v>80968</v>
      </c>
      <c r="G31" s="15" t="n">
        <f aca="false">SUM(G4:G30)</f>
        <v>127872</v>
      </c>
      <c r="H31" s="15" t="n">
        <f aca="false">SUM(H4:H30)</f>
        <v>232669</v>
      </c>
      <c r="I31" s="15" t="n">
        <f aca="false">SUM(I4:I30)</f>
        <v>362222</v>
      </c>
      <c r="J31" s="15" t="n">
        <f aca="false">SUM(J4:J30)</f>
        <v>1030</v>
      </c>
      <c r="K31" s="15" t="n">
        <f aca="false">SUM(K4:K30)</f>
        <v>73298</v>
      </c>
      <c r="L31" s="15" t="n">
        <f aca="false">SUM(L4:L30)</f>
        <v>84261</v>
      </c>
      <c r="M31" s="15" t="n">
        <f aca="false">SUM(B31:L31)</f>
        <v>996394</v>
      </c>
      <c r="N31" s="16" t="n">
        <f aca="false">(J31-I31)/I31</f>
        <v>-0.997156439973276</v>
      </c>
    </row>
  </sheetData>
  <mergeCells count="2">
    <mergeCell ref="B1:N1"/>
    <mergeCell ref="B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6"/>
    <col collapsed="false" customWidth="true" hidden="false" outlineLevel="0" max="7" min="4" style="1" width="14"/>
  </cols>
  <sheetData>
    <row r="1" customFormat="false" ht="21.75" hidden="false" customHeight="true" outlineLevel="0" collapsed="false">
      <c r="B1" s="17" t="s">
        <v>43</v>
      </c>
      <c r="C1" s="17"/>
      <c r="D1" s="17"/>
      <c r="E1" s="17"/>
      <c r="F1" s="17"/>
      <c r="G1" s="17"/>
    </row>
    <row r="2" customFormat="false" ht="12.75" hidden="false" customHeight="true" outlineLevel="0" collapsed="false">
      <c r="B2" s="18" t="s">
        <v>44</v>
      </c>
      <c r="C2" s="18"/>
      <c r="D2" s="18"/>
      <c r="E2" s="18"/>
      <c r="F2" s="18"/>
      <c r="G2" s="18"/>
    </row>
    <row r="3" customFormat="false" ht="19.5" hidden="false" customHeight="true" outlineLevel="0" collapsed="false"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</row>
    <row r="4" customFormat="false" ht="15.75" hidden="false" customHeight="true" outlineLevel="0" collapsed="false">
      <c r="B4" s="19" t="n">
        <v>2000</v>
      </c>
      <c r="C4" s="9" t="n">
        <v>44</v>
      </c>
      <c r="D4" s="20" t="s">
        <v>51</v>
      </c>
      <c r="E4" s="8" t="n">
        <v>44</v>
      </c>
      <c r="F4" s="8" t="n">
        <v>0</v>
      </c>
      <c r="G4" s="8" t="n">
        <v>0</v>
      </c>
    </row>
    <row r="5" customFormat="false" ht="15.75" hidden="false" customHeight="true" outlineLevel="0" collapsed="false">
      <c r="B5" s="21" t="n">
        <v>2001</v>
      </c>
      <c r="C5" s="22" t="n">
        <v>68</v>
      </c>
      <c r="D5" s="23" t="n">
        <f aca="false">(C5-C4)/C4</f>
        <v>0.545454545454545</v>
      </c>
      <c r="E5" s="12" t="n">
        <v>68</v>
      </c>
      <c r="F5" s="12" t="n">
        <v>0</v>
      </c>
      <c r="G5" s="12" t="n">
        <v>0</v>
      </c>
    </row>
    <row r="6" customFormat="false" ht="15.75" hidden="false" customHeight="true" outlineLevel="0" collapsed="false">
      <c r="B6" s="19" t="n">
        <v>2005</v>
      </c>
      <c r="C6" s="9" t="n">
        <v>501</v>
      </c>
      <c r="D6" s="24" t="n">
        <f aca="false">(C6-C5)/C5</f>
        <v>6.36764705882353</v>
      </c>
      <c r="E6" s="8" t="n">
        <v>501</v>
      </c>
      <c r="F6" s="8" t="n">
        <v>0</v>
      </c>
      <c r="G6" s="8" t="n">
        <v>0</v>
      </c>
    </row>
    <row r="7" customFormat="false" ht="15.75" hidden="false" customHeight="true" outlineLevel="0" collapsed="false">
      <c r="B7" s="21" t="n">
        <v>2010</v>
      </c>
      <c r="C7" s="22" t="n">
        <v>2500</v>
      </c>
      <c r="D7" s="23" t="n">
        <f aca="false">(C7-C6)/C6</f>
        <v>3.99001996007984</v>
      </c>
      <c r="E7" s="12" t="n">
        <v>2500</v>
      </c>
      <c r="F7" s="12" t="n">
        <v>0</v>
      </c>
      <c r="G7" s="12" t="n">
        <v>0</v>
      </c>
    </row>
    <row r="8" customFormat="false" ht="15.75" hidden="false" customHeight="true" outlineLevel="0" collapsed="false">
      <c r="B8" s="19" t="n">
        <v>2012</v>
      </c>
      <c r="C8" s="9" t="n">
        <v>4268</v>
      </c>
      <c r="D8" s="24" t="n">
        <f aca="false">(C8-C7)/C7</f>
        <v>0.7072</v>
      </c>
      <c r="E8" s="8" t="n">
        <v>4268</v>
      </c>
      <c r="F8" s="8" t="n">
        <v>0</v>
      </c>
      <c r="G8" s="8" t="n">
        <v>0</v>
      </c>
    </row>
    <row r="9" customFormat="false" ht="15.75" hidden="false" customHeight="true" outlineLevel="0" collapsed="false">
      <c r="B9" s="21" t="n">
        <v>2013</v>
      </c>
      <c r="C9" s="22" t="n">
        <v>4311</v>
      </c>
      <c r="D9" s="23" t="n">
        <f aca="false">(C9-C8)/C8</f>
        <v>0.0100749765698219</v>
      </c>
      <c r="E9" s="12" t="n">
        <v>4311</v>
      </c>
      <c r="F9" s="12" t="n">
        <v>0</v>
      </c>
      <c r="G9" s="12" t="n">
        <v>0</v>
      </c>
    </row>
    <row r="10" customFormat="false" ht="15.75" hidden="false" customHeight="true" outlineLevel="0" collapsed="false">
      <c r="B10" s="19" t="n">
        <v>2014</v>
      </c>
      <c r="C10" s="9" t="n">
        <v>5497</v>
      </c>
      <c r="D10" s="24" t="n">
        <f aca="false">(C10-C9)/C9</f>
        <v>0.275110183252146</v>
      </c>
      <c r="E10" s="8" t="n">
        <v>5497</v>
      </c>
      <c r="F10" s="8" t="n">
        <v>0</v>
      </c>
      <c r="G10" s="8" t="n">
        <v>0</v>
      </c>
    </row>
    <row r="11" customFormat="false" ht="15.75" hidden="false" customHeight="true" outlineLevel="0" collapsed="false">
      <c r="B11" s="21" t="n">
        <v>2015</v>
      </c>
      <c r="C11" s="22" t="n">
        <v>2875</v>
      </c>
      <c r="D11" s="23" t="n">
        <f aca="false">(C11-C10)/C10</f>
        <v>-0.476987447698745</v>
      </c>
      <c r="E11" s="12" t="n">
        <v>2875</v>
      </c>
      <c r="F11" s="12" t="n">
        <v>0</v>
      </c>
      <c r="G11" s="12" t="n">
        <v>0</v>
      </c>
    </row>
    <row r="12" customFormat="false" ht="15.75" hidden="false" customHeight="true" outlineLevel="0" collapsed="false">
      <c r="B12" s="19" t="n">
        <v>2016</v>
      </c>
      <c r="C12" s="9" t="n">
        <v>6222</v>
      </c>
      <c r="D12" s="24" t="n">
        <f aca="false">(C12-C11)/C11</f>
        <v>1.16417391304348</v>
      </c>
      <c r="E12" s="8" t="n">
        <v>6023</v>
      </c>
      <c r="F12" s="8" t="n">
        <v>2375</v>
      </c>
      <c r="G12" s="8" t="n">
        <v>2170</v>
      </c>
    </row>
    <row r="13" customFormat="false" ht="15.75" hidden="false" customHeight="true" outlineLevel="0" collapsed="false">
      <c r="B13" s="21" t="n">
        <v>2017</v>
      </c>
      <c r="C13" s="22" t="n">
        <v>10392</v>
      </c>
      <c r="D13" s="23" t="n">
        <f aca="false">(C13-C12)/C12</f>
        <v>0.670202507232401</v>
      </c>
      <c r="E13" s="12" t="n">
        <v>10223</v>
      </c>
      <c r="F13" s="12" t="n">
        <v>1432</v>
      </c>
      <c r="G13" s="12" t="n">
        <v>1371</v>
      </c>
    </row>
    <row r="14" customFormat="false" ht="15.75" hidden="false" customHeight="true" outlineLevel="0" collapsed="false">
      <c r="B14" s="19" t="n">
        <v>2018</v>
      </c>
      <c r="C14" s="9" t="n">
        <v>17460</v>
      </c>
      <c r="D14" s="24" t="n">
        <f aca="false">(C14-C13)/C13</f>
        <v>0.68013856812933</v>
      </c>
      <c r="E14" s="8" t="n">
        <v>17397</v>
      </c>
      <c r="F14" s="8" t="n">
        <v>444</v>
      </c>
      <c r="G14" s="8" t="n">
        <v>3</v>
      </c>
    </row>
    <row r="15" customFormat="false" ht="15.75" hidden="false" customHeight="true" outlineLevel="0" collapsed="false">
      <c r="B15" s="25" t="n">
        <v>2019</v>
      </c>
      <c r="C15" s="26" t="n">
        <v>80969</v>
      </c>
      <c r="D15" s="27" t="n">
        <f aca="false">(C15-C14)/C14</f>
        <v>3.63739977090493</v>
      </c>
      <c r="E15" s="28" t="n">
        <v>80824</v>
      </c>
      <c r="F15" s="28" t="n">
        <v>4123</v>
      </c>
      <c r="G15" s="28" t="n">
        <v>8</v>
      </c>
    </row>
    <row r="16" customFormat="false" ht="15.75" hidden="false" customHeight="true" outlineLevel="0" collapsed="false">
      <c r="B16" s="19" t="n">
        <v>2020</v>
      </c>
      <c r="C16" s="9" t="n">
        <v>127872</v>
      </c>
      <c r="D16" s="24" t="n">
        <f aca="false">(C16-C15)/C15</f>
        <v>0.579271079054947</v>
      </c>
      <c r="E16" s="8" t="n">
        <v>127751</v>
      </c>
      <c r="F16" s="8" t="n">
        <v>2325</v>
      </c>
      <c r="G16" s="8" t="n">
        <v>5</v>
      </c>
    </row>
    <row r="17" customFormat="false" ht="15.75" hidden="false" customHeight="true" outlineLevel="0" collapsed="false">
      <c r="B17" s="25" t="n">
        <v>2021</v>
      </c>
      <c r="C17" s="26" t="n">
        <v>232669</v>
      </c>
      <c r="D17" s="29" t="n">
        <f aca="false">(C17-C16)/C16</f>
        <v>0.819546108608609</v>
      </c>
      <c r="E17" s="28" t="n">
        <v>232505</v>
      </c>
      <c r="F17" s="28" t="n">
        <v>3110</v>
      </c>
      <c r="G17" s="28" t="n">
        <v>54</v>
      </c>
    </row>
    <row r="18" customFormat="false" ht="15.75" hidden="false" customHeight="true" outlineLevel="0" collapsed="false">
      <c r="B18" s="30" t="n">
        <v>2022</v>
      </c>
      <c r="C18" s="31" t="n">
        <v>362224</v>
      </c>
      <c r="D18" s="32" t="n">
        <f aca="false">(C18-C17)/C17</f>
        <v>0.556821063399078</v>
      </c>
      <c r="E18" s="33" t="n">
        <v>362072</v>
      </c>
      <c r="F18" s="33" t="n">
        <v>3574</v>
      </c>
      <c r="G18" s="33" t="n">
        <v>578</v>
      </c>
    </row>
    <row r="19" customFormat="false" ht="15.75" hidden="false" customHeight="true" outlineLevel="0" collapsed="false">
      <c r="B19" s="34" t="n">
        <v>2023</v>
      </c>
      <c r="C19" s="35" t="n">
        <v>1030</v>
      </c>
      <c r="D19" s="10" t="n">
        <f aca="false">(C19-C18)/C18</f>
        <v>-0.997156455673837</v>
      </c>
      <c r="E19" s="36" t="n">
        <v>1024</v>
      </c>
      <c r="F19" s="36" t="n">
        <v>61</v>
      </c>
      <c r="G19" s="36" t="n">
        <v>43</v>
      </c>
    </row>
    <row r="20" customFormat="false" ht="15.75" hidden="false" customHeight="true" outlineLevel="0" collapsed="false">
      <c r="B20" s="37" t="n">
        <v>2024</v>
      </c>
      <c r="C20" s="9" t="n">
        <v>73298</v>
      </c>
      <c r="D20" s="24" t="n">
        <f aca="false">(C20-C19)/C19</f>
        <v>70.1631067961165</v>
      </c>
      <c r="E20" s="8" t="n">
        <v>73243</v>
      </c>
      <c r="F20" s="8" t="n">
        <v>3</v>
      </c>
      <c r="G20" s="8" t="n">
        <v>929</v>
      </c>
    </row>
    <row r="21" customFormat="false" ht="15.75" hidden="false" customHeight="true" outlineLevel="0" collapsed="false">
      <c r="B21" s="21" t="n">
        <v>2025</v>
      </c>
      <c r="C21" s="22" t="n">
        <v>84263</v>
      </c>
      <c r="D21" s="23" t="n">
        <f aca="false">(C21-C20)/C20</f>
        <v>0.149594804769571</v>
      </c>
      <c r="E21" s="12" t="n">
        <v>84205</v>
      </c>
      <c r="F21" s="12" t="n">
        <v>0</v>
      </c>
      <c r="G21" s="12" t="n">
        <v>703</v>
      </c>
    </row>
  </sheetData>
  <mergeCells count="2">
    <mergeCell ref="B1:G1"/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"/>
    <col collapsed="false" customWidth="true" hidden="false" outlineLevel="0" max="3" min="3" style="1" width="70"/>
  </cols>
  <sheetData>
    <row r="1" customFormat="false" ht="21.75" hidden="false" customHeight="true" outlineLevel="0" collapsed="false">
      <c r="B1" s="17" t="s">
        <v>52</v>
      </c>
      <c r="C1" s="17"/>
    </row>
    <row r="2" customFormat="false" ht="36" hidden="false" customHeight="true" outlineLevel="0" collapsed="false">
      <c r="B2" s="38" t="s">
        <v>53</v>
      </c>
      <c r="C2" s="39" t="s">
        <v>54</v>
      </c>
    </row>
    <row r="3" customFormat="false" ht="36" hidden="false" customHeight="true" outlineLevel="0" collapsed="false">
      <c r="B3" s="40" t="s">
        <v>55</v>
      </c>
      <c r="C3" s="41" t="s">
        <v>56</v>
      </c>
    </row>
    <row r="4" customFormat="false" ht="36" hidden="false" customHeight="true" outlineLevel="0" collapsed="false">
      <c r="B4" s="38" t="s">
        <v>57</v>
      </c>
      <c r="C4" s="39" t="s">
        <v>58</v>
      </c>
    </row>
    <row r="5" customFormat="false" ht="36" hidden="false" customHeight="true" outlineLevel="0" collapsed="false">
      <c r="B5" s="40" t="s">
        <v>59</v>
      </c>
      <c r="C5" s="41" t="s">
        <v>60</v>
      </c>
    </row>
    <row r="6" customFormat="false" ht="36" hidden="false" customHeight="true" outlineLevel="0" collapsed="false">
      <c r="B6" s="38" t="s">
        <v>61</v>
      </c>
      <c r="C6" s="39" t="s">
        <v>62</v>
      </c>
    </row>
    <row r="7" customFormat="false" ht="36" hidden="false" customHeight="true" outlineLevel="0" collapsed="false">
      <c r="B7" s="40" t="s">
        <v>63</v>
      </c>
      <c r="C7" s="41" t="s">
        <v>64</v>
      </c>
    </row>
    <row r="8" customFormat="false" ht="36" hidden="false" customHeight="true" outlineLevel="0" collapsed="false">
      <c r="B8" s="38" t="s">
        <v>65</v>
      </c>
      <c r="C8" s="39" t="s">
        <v>66</v>
      </c>
    </row>
    <row r="9" customFormat="false" ht="36" hidden="false" customHeight="true" outlineLevel="0" collapsed="false">
      <c r="B9" s="40" t="s">
        <v>67</v>
      </c>
      <c r="C9" s="41" t="s">
        <v>68</v>
      </c>
    </row>
    <row r="10" customFormat="false" ht="36" hidden="false" customHeight="true" outlineLevel="0" collapsed="false">
      <c r="B10" s="38" t="s">
        <v>69</v>
      </c>
      <c r="C10" s="39" t="s">
        <v>70</v>
      </c>
    </row>
    <row r="11" customFormat="false" ht="36" hidden="false" customHeight="true" outlineLevel="0" collapsed="false">
      <c r="B11" s="40" t="s">
        <v>71</v>
      </c>
      <c r="C11" s="41" t="s">
        <v>72</v>
      </c>
    </row>
    <row r="12" customFormat="false" ht="39.75" hidden="false" customHeight="true" outlineLevel="0" collapsed="false">
      <c r="B12" s="38" t="s">
        <v>73</v>
      </c>
      <c r="C12" s="42" t="s">
        <v>74</v>
      </c>
    </row>
    <row r="13" customFormat="false" ht="39.75" hidden="false" customHeight="true" outlineLevel="0" collapsed="false">
      <c r="B13" s="40" t="s">
        <v>75</v>
      </c>
      <c r="C13" s="43" t="s">
        <v>76</v>
      </c>
    </row>
    <row r="14" customFormat="false" ht="39.75" hidden="false" customHeight="true" outlineLevel="0" collapsed="false">
      <c r="B14" s="38" t="s">
        <v>77</v>
      </c>
      <c r="C14" s="42" t="s">
        <v>78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6"/>
  </cols>
  <sheetData>
    <row r="1" customFormat="false" ht="21.75" hidden="false" customHeight="true" outlineLevel="0" collapsed="false">
      <c r="B1" s="17" t="s">
        <v>79</v>
      </c>
      <c r="C1" s="17"/>
      <c r="D1" s="17"/>
      <c r="E1" s="17"/>
      <c r="F1" s="17"/>
      <c r="G1" s="17"/>
      <c r="H1" s="17"/>
    </row>
    <row r="2" customFormat="false" ht="12.75" hidden="false" customHeight="true" outlineLevel="0" collapsed="false">
      <c r="B2" s="18" t="s">
        <v>80</v>
      </c>
      <c r="C2" s="18"/>
      <c r="D2" s="18"/>
      <c r="E2" s="18"/>
      <c r="F2" s="18"/>
      <c r="G2" s="18"/>
      <c r="H2" s="18"/>
    </row>
    <row r="3" customFormat="false" ht="27.75" hidden="false" customHeight="true" outlineLevel="0" collapsed="false">
      <c r="B3" s="4" t="s">
        <v>2</v>
      </c>
      <c r="C3" s="5" t="s">
        <v>81</v>
      </c>
      <c r="D3" s="44" t="s">
        <v>49</v>
      </c>
      <c r="E3" s="45" t="s">
        <v>50</v>
      </c>
      <c r="F3" s="4" t="s">
        <v>82</v>
      </c>
      <c r="G3" s="5" t="s">
        <v>83</v>
      </c>
      <c r="H3" s="46" t="s">
        <v>84</v>
      </c>
    </row>
    <row r="4" customFormat="false" ht="15.75" hidden="false" customHeight="true" outlineLevel="0" collapsed="false">
      <c r="B4" s="7" t="s">
        <v>15</v>
      </c>
      <c r="C4" s="8" t="n">
        <v>2645</v>
      </c>
      <c r="D4" s="8" t="n">
        <v>7</v>
      </c>
      <c r="E4" s="8" t="n">
        <v>27</v>
      </c>
      <c r="F4" s="9" t="n">
        <f aca="false">C4+D4+E4</f>
        <v>2679</v>
      </c>
      <c r="G4" s="24" t="n">
        <f aca="false">C4/F4</f>
        <v>0.987308697275103</v>
      </c>
      <c r="H4" s="47" t="n">
        <v>0.536394176931691</v>
      </c>
    </row>
    <row r="5" customFormat="false" ht="15.75" hidden="false" customHeight="true" outlineLevel="0" collapsed="false">
      <c r="B5" s="11" t="s">
        <v>16</v>
      </c>
      <c r="C5" s="12" t="n">
        <v>11937</v>
      </c>
      <c r="D5" s="12" t="n">
        <v>122</v>
      </c>
      <c r="E5" s="12" t="n">
        <v>183</v>
      </c>
      <c r="F5" s="13" t="n">
        <f aca="false">C5+D5+E5</f>
        <v>12242</v>
      </c>
      <c r="G5" s="23" t="n">
        <f aca="false">C5/F5</f>
        <v>0.975085770298971</v>
      </c>
      <c r="H5" s="48" t="n">
        <v>0.664760660022872</v>
      </c>
    </row>
    <row r="6" customFormat="false" ht="15.75" hidden="false" customHeight="true" outlineLevel="0" collapsed="false">
      <c r="B6" s="7" t="s">
        <v>17</v>
      </c>
      <c r="C6" s="8" t="n">
        <v>12079</v>
      </c>
      <c r="D6" s="8" t="n">
        <v>102</v>
      </c>
      <c r="E6" s="8" t="n">
        <v>395</v>
      </c>
      <c r="F6" s="9" t="n">
        <f aca="false">C6+D6+E6</f>
        <v>12576</v>
      </c>
      <c r="G6" s="24" t="n">
        <f aca="false">C6/F6</f>
        <v>0.960480279898219</v>
      </c>
      <c r="H6" s="47" t="n">
        <v>0.635337150127227</v>
      </c>
    </row>
    <row r="7" customFormat="false" ht="15.75" hidden="false" customHeight="true" outlineLevel="0" collapsed="false">
      <c r="B7" s="11" t="s">
        <v>18</v>
      </c>
      <c r="C7" s="12" t="n">
        <v>2084</v>
      </c>
      <c r="D7" s="12" t="n">
        <v>71</v>
      </c>
      <c r="E7" s="12" t="n">
        <v>104</v>
      </c>
      <c r="F7" s="13" t="n">
        <f aca="false">C7+D7+E7</f>
        <v>2259</v>
      </c>
      <c r="G7" s="23" t="n">
        <f aca="false">C7/F7</f>
        <v>0.922532093846835</v>
      </c>
      <c r="H7" s="48" t="n">
        <v>0.535192563081009</v>
      </c>
    </row>
    <row r="8" customFormat="false" ht="15.75" hidden="false" customHeight="true" outlineLevel="0" collapsed="false">
      <c r="B8" s="7" t="s">
        <v>19</v>
      </c>
      <c r="C8" s="8" t="n">
        <v>41817</v>
      </c>
      <c r="D8" s="8" t="n">
        <v>392</v>
      </c>
      <c r="E8" s="8" t="n">
        <v>1240</v>
      </c>
      <c r="F8" s="9" t="n">
        <f aca="false">C8+D8+E8</f>
        <v>43449</v>
      </c>
      <c r="G8" s="24" t="n">
        <f aca="false">C8/F8</f>
        <v>0.962438721259408</v>
      </c>
      <c r="H8" s="47" t="n">
        <v>0.568942898570738</v>
      </c>
    </row>
    <row r="9" customFormat="false" ht="15.75" hidden="false" customHeight="true" outlineLevel="0" collapsed="false">
      <c r="B9" s="11" t="s">
        <v>20</v>
      </c>
      <c r="C9" s="12" t="n">
        <v>29720</v>
      </c>
      <c r="D9" s="12" t="n">
        <v>175</v>
      </c>
      <c r="E9" s="12" t="n">
        <v>1011</v>
      </c>
      <c r="F9" s="13" t="n">
        <f aca="false">C9+D9+E9</f>
        <v>30906</v>
      </c>
      <c r="G9" s="23" t="n">
        <f aca="false">C9/F9</f>
        <v>0.961625574322138</v>
      </c>
      <c r="H9" s="48" t="n">
        <v>0.476574128001035</v>
      </c>
    </row>
    <row r="10" customFormat="false" ht="15.75" hidden="false" customHeight="true" outlineLevel="0" collapsed="false">
      <c r="B10" s="7" t="s">
        <v>21</v>
      </c>
      <c r="C10" s="8" t="n">
        <v>37541</v>
      </c>
      <c r="D10" s="8" t="n">
        <v>5153</v>
      </c>
      <c r="E10" s="8" t="n">
        <v>4828</v>
      </c>
      <c r="F10" s="9" t="n">
        <f aca="false">C10+D10+E10</f>
        <v>47522</v>
      </c>
      <c r="G10" s="24" t="n">
        <f aca="false">C10/F10</f>
        <v>0.789970960818147</v>
      </c>
      <c r="H10" s="47" t="n">
        <v>0.552796599469719</v>
      </c>
    </row>
    <row r="11" customFormat="false" ht="15.75" hidden="false" customHeight="true" outlineLevel="0" collapsed="false">
      <c r="B11" s="11" t="s">
        <v>22</v>
      </c>
      <c r="C11" s="12" t="n">
        <v>11662</v>
      </c>
      <c r="D11" s="12" t="n">
        <v>331</v>
      </c>
      <c r="E11" s="12" t="n">
        <v>601</v>
      </c>
      <c r="F11" s="13" t="n">
        <f aca="false">C11+D11+E11</f>
        <v>12594</v>
      </c>
      <c r="G11" s="23" t="n">
        <f aca="false">C11/F11</f>
        <v>0.925996506272828</v>
      </c>
      <c r="H11" s="48" t="n">
        <v>0.443385739240908</v>
      </c>
    </row>
    <row r="12" customFormat="false" ht="15.75" hidden="false" customHeight="true" outlineLevel="0" collapsed="false">
      <c r="B12" s="7" t="s">
        <v>23</v>
      </c>
      <c r="C12" s="8" t="n">
        <v>80529</v>
      </c>
      <c r="D12" s="8" t="n">
        <v>36518</v>
      </c>
      <c r="E12" s="8" t="n">
        <v>2137</v>
      </c>
      <c r="F12" s="9" t="n">
        <f aca="false">C12+D12+E12</f>
        <v>119184</v>
      </c>
      <c r="G12" s="24" t="n">
        <f aca="false">C12/F12</f>
        <v>0.675669552960129</v>
      </c>
      <c r="H12" s="47" t="n">
        <v>0.491324338837428</v>
      </c>
    </row>
    <row r="13" customFormat="false" ht="15.75" hidden="false" customHeight="true" outlineLevel="0" collapsed="false">
      <c r="B13" s="11" t="s">
        <v>24</v>
      </c>
      <c r="C13" s="12" t="n">
        <v>16677</v>
      </c>
      <c r="D13" s="12" t="n">
        <v>58</v>
      </c>
      <c r="E13" s="12" t="n">
        <v>236</v>
      </c>
      <c r="F13" s="13" t="n">
        <f aca="false">C13+D13+E13</f>
        <v>16971</v>
      </c>
      <c r="G13" s="23" t="n">
        <f aca="false">C13/F13</f>
        <v>0.982676330210359</v>
      </c>
      <c r="H13" s="48" t="n">
        <v>0.52978610570974</v>
      </c>
    </row>
    <row r="14" customFormat="false" ht="15.75" hidden="false" customHeight="true" outlineLevel="0" collapsed="false">
      <c r="B14" s="7" t="s">
        <v>25</v>
      </c>
      <c r="C14" s="8" t="n">
        <v>110024</v>
      </c>
      <c r="D14" s="8" t="n">
        <v>17798</v>
      </c>
      <c r="E14" s="8" t="n">
        <v>4143</v>
      </c>
      <c r="F14" s="9" t="n">
        <f aca="false">C14+D14+E14</f>
        <v>131965</v>
      </c>
      <c r="G14" s="24" t="n">
        <f aca="false">C14/F14</f>
        <v>0.833736217936574</v>
      </c>
      <c r="H14" s="47" t="n">
        <v>0.491834956238397</v>
      </c>
    </row>
    <row r="15" customFormat="false" ht="15.75" hidden="false" customHeight="true" outlineLevel="0" collapsed="false">
      <c r="B15" s="11" t="s">
        <v>26</v>
      </c>
      <c r="C15" s="12" t="n">
        <v>17109</v>
      </c>
      <c r="D15" s="12" t="n">
        <v>25760</v>
      </c>
      <c r="E15" s="12" t="n">
        <v>1014</v>
      </c>
      <c r="F15" s="13" t="n">
        <f aca="false">C15+D15+E15</f>
        <v>43883</v>
      </c>
      <c r="G15" s="23" t="n">
        <f aca="false">C15/F15</f>
        <v>0.38987762915024</v>
      </c>
      <c r="H15" s="48" t="n">
        <v>0.498507394663081</v>
      </c>
    </row>
    <row r="16" customFormat="false" ht="15.75" hidden="false" customHeight="true" outlineLevel="0" collapsed="false">
      <c r="B16" s="7" t="s">
        <v>27</v>
      </c>
      <c r="C16" s="8" t="n">
        <v>43213</v>
      </c>
      <c r="D16" s="8" t="n">
        <v>9465</v>
      </c>
      <c r="E16" s="8" t="n">
        <v>472</v>
      </c>
      <c r="F16" s="9" t="n">
        <f aca="false">C16+D16+E16</f>
        <v>53150</v>
      </c>
      <c r="G16" s="24" t="n">
        <f aca="false">C16/F16</f>
        <v>0.813038570084666</v>
      </c>
      <c r="H16" s="47" t="n">
        <v>0.443574788334901</v>
      </c>
    </row>
    <row r="17" customFormat="false" ht="15.75" hidden="false" customHeight="true" outlineLevel="0" collapsed="false">
      <c r="B17" s="11" t="s">
        <v>28</v>
      </c>
      <c r="C17" s="12" t="n">
        <v>24060</v>
      </c>
      <c r="D17" s="12" t="n">
        <v>1003</v>
      </c>
      <c r="E17" s="12" t="n">
        <v>712</v>
      </c>
      <c r="F17" s="13" t="n">
        <f aca="false">C17+D17+E17</f>
        <v>25775</v>
      </c>
      <c r="G17" s="23" t="n">
        <f aca="false">C17/F17</f>
        <v>0.933462657613967</v>
      </c>
      <c r="H17" s="48" t="n">
        <v>0.540484966052376</v>
      </c>
    </row>
    <row r="18" customFormat="false" ht="15.75" hidden="false" customHeight="true" outlineLevel="0" collapsed="false">
      <c r="B18" s="7" t="s">
        <v>29</v>
      </c>
      <c r="C18" s="8" t="n">
        <v>13239</v>
      </c>
      <c r="D18" s="8" t="n">
        <v>79</v>
      </c>
      <c r="E18" s="8" t="n">
        <v>87</v>
      </c>
      <c r="F18" s="9" t="n">
        <f aca="false">C18+D18+E18</f>
        <v>13405</v>
      </c>
      <c r="G18" s="24" t="n">
        <f aca="false">C18/F18</f>
        <v>0.987616560984707</v>
      </c>
      <c r="H18" s="47" t="n">
        <v>0.671316672883253</v>
      </c>
    </row>
    <row r="19" customFormat="false" ht="15.75" hidden="false" customHeight="true" outlineLevel="0" collapsed="false">
      <c r="B19" s="11" t="s">
        <v>30</v>
      </c>
      <c r="C19" s="12" t="n">
        <v>25776</v>
      </c>
      <c r="D19" s="12" t="n">
        <v>215</v>
      </c>
      <c r="E19" s="12" t="n">
        <v>2577</v>
      </c>
      <c r="F19" s="13" t="n">
        <f aca="false">C19+D19+E19</f>
        <v>28568</v>
      </c>
      <c r="G19" s="23" t="n">
        <f aca="false">C19/F19</f>
        <v>0.902268272192663</v>
      </c>
      <c r="H19" s="48" t="n">
        <v>0.657973956874825</v>
      </c>
    </row>
    <row r="20" customFormat="false" ht="15.75" hidden="false" customHeight="true" outlineLevel="0" collapsed="false">
      <c r="B20" s="7" t="s">
        <v>31</v>
      </c>
      <c r="C20" s="8" t="n">
        <v>5040</v>
      </c>
      <c r="D20" s="8" t="n">
        <v>16</v>
      </c>
      <c r="E20" s="8" t="n">
        <v>72</v>
      </c>
      <c r="F20" s="9" t="n">
        <f aca="false">C20+D20+E20</f>
        <v>5128</v>
      </c>
      <c r="G20" s="24" t="n">
        <f aca="false">C20/F20</f>
        <v>0.982839313572543</v>
      </c>
      <c r="H20" s="47" t="n">
        <v>0.533346333853354</v>
      </c>
    </row>
    <row r="21" customFormat="false" ht="15.75" hidden="false" customHeight="true" outlineLevel="0" collapsed="false">
      <c r="B21" s="11" t="s">
        <v>32</v>
      </c>
      <c r="C21" s="12" t="n">
        <v>133795</v>
      </c>
      <c r="D21" s="12" t="n">
        <v>21244</v>
      </c>
      <c r="E21" s="12" t="n">
        <v>3578</v>
      </c>
      <c r="F21" s="13" t="n">
        <f aca="false">C21+D21+E21</f>
        <v>158617</v>
      </c>
      <c r="G21" s="23" t="n">
        <f aca="false">C21/F21</f>
        <v>0.843509838163627</v>
      </c>
      <c r="H21" s="48" t="n">
        <v>0.483523203691912</v>
      </c>
    </row>
    <row r="22" customFormat="false" ht="15.75" hidden="false" customHeight="true" outlineLevel="0" collapsed="false">
      <c r="B22" s="7" t="s">
        <v>33</v>
      </c>
      <c r="C22" s="8" t="n">
        <v>53764</v>
      </c>
      <c r="D22" s="8" t="n">
        <v>1579</v>
      </c>
      <c r="E22" s="8" t="n">
        <v>9030</v>
      </c>
      <c r="F22" s="9" t="n">
        <f aca="false">C22+D22+E22</f>
        <v>64373</v>
      </c>
      <c r="G22" s="24" t="n">
        <f aca="false">C22/F22</f>
        <v>0.835194879840927</v>
      </c>
      <c r="H22" s="47" t="n">
        <v>0.528855265406304</v>
      </c>
    </row>
    <row r="23" customFormat="false" ht="15.75" hidden="false" customHeight="true" outlineLevel="0" collapsed="false">
      <c r="B23" s="11" t="s">
        <v>34</v>
      </c>
      <c r="C23" s="12" t="n">
        <v>11027</v>
      </c>
      <c r="D23" s="12" t="n">
        <v>63</v>
      </c>
      <c r="E23" s="12" t="n">
        <v>273</v>
      </c>
      <c r="F23" s="13" t="n">
        <f aca="false">C23+D23+E23</f>
        <v>11363</v>
      </c>
      <c r="G23" s="23" t="n">
        <f aca="false">C23/F23</f>
        <v>0.97043034409927</v>
      </c>
      <c r="H23" s="48" t="n">
        <v>0.63037930124087</v>
      </c>
    </row>
    <row r="24" customFormat="false" ht="15.75" hidden="false" customHeight="true" outlineLevel="0" collapsed="false">
      <c r="B24" s="7" t="s">
        <v>35</v>
      </c>
      <c r="C24" s="8" t="n">
        <v>21523</v>
      </c>
      <c r="D24" s="8" t="n">
        <v>248</v>
      </c>
      <c r="E24" s="8" t="n">
        <v>22</v>
      </c>
      <c r="F24" s="9" t="n">
        <f aca="false">C24+D24+E24</f>
        <v>21793</v>
      </c>
      <c r="G24" s="24" t="n">
        <f aca="false">C24/F24</f>
        <v>0.987610700683706</v>
      </c>
      <c r="H24" s="47" t="n">
        <v>0.495067223420364</v>
      </c>
    </row>
    <row r="25" customFormat="false" ht="15.75" hidden="false" customHeight="true" outlineLevel="0" collapsed="false">
      <c r="B25" s="11" t="s">
        <v>36</v>
      </c>
      <c r="C25" s="12" t="n">
        <v>1826</v>
      </c>
      <c r="D25" s="12" t="n">
        <v>87</v>
      </c>
      <c r="E25" s="12" t="n">
        <v>7</v>
      </c>
      <c r="F25" s="13" t="n">
        <f aca="false">C25+D25+E25</f>
        <v>1920</v>
      </c>
      <c r="G25" s="23" t="n">
        <f aca="false">C25/F25</f>
        <v>0.951041666666667</v>
      </c>
      <c r="H25" s="48" t="n">
        <v>0.533854166666667</v>
      </c>
    </row>
    <row r="26" customFormat="false" ht="15.75" hidden="false" customHeight="true" outlineLevel="0" collapsed="false">
      <c r="B26" s="7" t="s">
        <v>37</v>
      </c>
      <c r="C26" s="8" t="n">
        <v>121404</v>
      </c>
      <c r="D26" s="8" t="n">
        <v>78014</v>
      </c>
      <c r="E26" s="8" t="n">
        <v>6829</v>
      </c>
      <c r="F26" s="9" t="n">
        <f aca="false">C26+D26+E26</f>
        <v>206247</v>
      </c>
      <c r="G26" s="24" t="n">
        <f aca="false">C26/F26</f>
        <v>0.588634016494785</v>
      </c>
      <c r="H26" s="47" t="n">
        <v>0.385494092035278</v>
      </c>
    </row>
    <row r="27" customFormat="false" ht="15.75" hidden="false" customHeight="true" outlineLevel="0" collapsed="false">
      <c r="B27" s="11" t="s">
        <v>38</v>
      </c>
      <c r="C27" s="12" t="n">
        <v>103995</v>
      </c>
      <c r="D27" s="12" t="n">
        <v>26462</v>
      </c>
      <c r="E27" s="12" t="n">
        <v>1557</v>
      </c>
      <c r="F27" s="13" t="n">
        <f aca="false">C27+D27+E27</f>
        <v>132014</v>
      </c>
      <c r="G27" s="23" t="n">
        <f aca="false">C27/F27</f>
        <v>0.787757359067978</v>
      </c>
      <c r="H27" s="48" t="n">
        <v>0.456853061038981</v>
      </c>
    </row>
    <row r="28" customFormat="false" ht="15.75" hidden="false" customHeight="true" outlineLevel="0" collapsed="false">
      <c r="B28" s="7" t="s">
        <v>39</v>
      </c>
      <c r="C28" s="8" t="n">
        <v>3224</v>
      </c>
      <c r="D28" s="8" t="n">
        <v>15</v>
      </c>
      <c r="E28" s="8" t="n">
        <v>62</v>
      </c>
      <c r="F28" s="9" t="n">
        <f aca="false">C28+D28+E28</f>
        <v>3301</v>
      </c>
      <c r="G28" s="24" t="n">
        <f aca="false">C28/F28</f>
        <v>0.976673735231748</v>
      </c>
      <c r="H28" s="47" t="n">
        <v>0.657982429566798</v>
      </c>
    </row>
    <row r="29" customFormat="false" ht="15.75" hidden="false" customHeight="true" outlineLevel="0" collapsed="false">
      <c r="B29" s="11" t="s">
        <v>40</v>
      </c>
      <c r="C29" s="12" t="n">
        <v>352432</v>
      </c>
      <c r="D29" s="12" t="n">
        <v>41290</v>
      </c>
      <c r="E29" s="12" t="n">
        <v>34665</v>
      </c>
      <c r="F29" s="13" t="n">
        <f aca="false">C29+D29+E29</f>
        <v>428387</v>
      </c>
      <c r="G29" s="23" t="n">
        <f aca="false">C29/F29</f>
        <v>0.822695366572748</v>
      </c>
      <c r="H29" s="48" t="n">
        <v>0.514319995704818</v>
      </c>
    </row>
    <row r="30" customFormat="false" ht="15.75" hidden="false" customHeight="true" outlineLevel="0" collapsed="false">
      <c r="B30" s="7" t="s">
        <v>41</v>
      </c>
      <c r="C30" s="8" t="n">
        <v>12472</v>
      </c>
      <c r="D30" s="8" t="n">
        <v>994</v>
      </c>
      <c r="E30" s="8" t="n">
        <v>331</v>
      </c>
      <c r="F30" s="9" t="n">
        <f aca="false">C30+D30+E30</f>
        <v>13797</v>
      </c>
      <c r="G30" s="24" t="n">
        <f aca="false">C30/F30</f>
        <v>0.903964629992027</v>
      </c>
      <c r="H30" s="47" t="n">
        <v>0.450677683554396</v>
      </c>
    </row>
    <row r="31" customFormat="false" ht="18" hidden="false" customHeight="true" outlineLevel="0" collapsed="false">
      <c r="B31" s="14" t="s">
        <v>42</v>
      </c>
      <c r="C31" s="15" t="n">
        <f aca="false">SUM(C4:C30)</f>
        <v>1300614</v>
      </c>
      <c r="D31" s="15" t="n">
        <f aca="false">SUM(D4:D30)</f>
        <v>267261</v>
      </c>
      <c r="E31" s="15" t="n">
        <f aca="false">SUM(E4:E30)</f>
        <v>76193</v>
      </c>
      <c r="F31" s="15" t="n">
        <f aca="false">SUM(F4:F30)</f>
        <v>1644068</v>
      </c>
      <c r="G31" s="49" t="n">
        <f aca="false">C31/F31</f>
        <v>0.791095015534637</v>
      </c>
      <c r="H31" s="16" t="n">
        <f aca="false">SUM(H4:H30)/27</f>
        <v>0.53364962411922</v>
      </c>
    </row>
    <row r="32" customFormat="false" ht="27.75" hidden="false" customHeight="true" outlineLevel="0" collapsed="false">
      <c r="B32" s="50" t="s">
        <v>85</v>
      </c>
      <c r="C32" s="50"/>
      <c r="D32" s="50"/>
      <c r="E32" s="50"/>
      <c r="F32" s="50"/>
      <c r="G32" s="50"/>
      <c r="H32" s="50"/>
    </row>
  </sheetData>
  <mergeCells count="3">
    <mergeCell ref="B1:H1"/>
    <mergeCell ref="B2:H2"/>
    <mergeCell ref="B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6"/>
  </cols>
  <sheetData>
    <row r="1" customFormat="false" ht="21.75" hidden="false" customHeight="true" outlineLevel="0" collapsed="false">
      <c r="B1" s="17" t="s">
        <v>86</v>
      </c>
      <c r="C1" s="17"/>
      <c r="D1" s="17"/>
      <c r="E1" s="17"/>
      <c r="F1" s="17"/>
      <c r="G1" s="17"/>
      <c r="H1" s="17"/>
    </row>
    <row r="2" customFormat="false" ht="12.75" hidden="false" customHeight="true" outlineLevel="0" collapsed="false">
      <c r="B2" s="18" t="s">
        <v>87</v>
      </c>
      <c r="C2" s="18"/>
      <c r="D2" s="18"/>
      <c r="E2" s="18"/>
      <c r="F2" s="18"/>
      <c r="G2" s="18"/>
      <c r="H2" s="18"/>
    </row>
    <row r="3" customFormat="false" ht="27.75" hidden="false" customHeight="true" outlineLevel="0" collapsed="false">
      <c r="B3" s="4" t="s">
        <v>2</v>
      </c>
      <c r="C3" s="5" t="s">
        <v>81</v>
      </c>
      <c r="D3" s="44" t="s">
        <v>49</v>
      </c>
      <c r="E3" s="45" t="s">
        <v>50</v>
      </c>
      <c r="F3" s="4" t="s">
        <v>82</v>
      </c>
      <c r="G3" s="5" t="s">
        <v>83</v>
      </c>
      <c r="H3" s="46" t="s">
        <v>84</v>
      </c>
    </row>
    <row r="4" customFormat="false" ht="15.75" hidden="false" customHeight="true" outlineLevel="0" collapsed="false">
      <c r="B4" s="7" t="s">
        <v>15</v>
      </c>
      <c r="C4" s="8" t="n">
        <v>1417</v>
      </c>
      <c r="D4" s="8" t="n">
        <v>3</v>
      </c>
      <c r="E4" s="8" t="n">
        <v>17</v>
      </c>
      <c r="F4" s="9" t="n">
        <f aca="false">C4+D4+E4</f>
        <v>1437</v>
      </c>
      <c r="G4" s="24" t="n">
        <f aca="false">C4/F4</f>
        <v>0.986082115518441</v>
      </c>
      <c r="H4" s="20" t="s">
        <v>51</v>
      </c>
    </row>
    <row r="5" customFormat="false" ht="15.75" hidden="false" customHeight="true" outlineLevel="0" collapsed="false">
      <c r="B5" s="11" t="s">
        <v>16</v>
      </c>
      <c r="C5" s="12" t="n">
        <v>7966</v>
      </c>
      <c r="D5" s="12" t="n">
        <v>80</v>
      </c>
      <c r="E5" s="12" t="n">
        <v>92</v>
      </c>
      <c r="F5" s="13" t="n">
        <f aca="false">C5+D5+E5</f>
        <v>8138</v>
      </c>
      <c r="G5" s="23" t="n">
        <f aca="false">C5/F5</f>
        <v>0.97886458589334</v>
      </c>
      <c r="H5" s="51" t="s">
        <v>51</v>
      </c>
    </row>
    <row r="6" customFormat="false" ht="15.75" hidden="false" customHeight="true" outlineLevel="0" collapsed="false">
      <c r="B6" s="7" t="s">
        <v>17</v>
      </c>
      <c r="C6" s="8" t="n">
        <v>7784</v>
      </c>
      <c r="D6" s="8" t="n">
        <v>40</v>
      </c>
      <c r="E6" s="8" t="n">
        <v>166</v>
      </c>
      <c r="F6" s="9" t="n">
        <f aca="false">C6+D6+E6</f>
        <v>7990</v>
      </c>
      <c r="G6" s="24" t="n">
        <f aca="false">C6/F6</f>
        <v>0.974217772215269</v>
      </c>
      <c r="H6" s="20" t="s">
        <v>51</v>
      </c>
    </row>
    <row r="7" customFormat="false" ht="15.75" hidden="false" customHeight="true" outlineLevel="0" collapsed="false">
      <c r="B7" s="11" t="s">
        <v>18</v>
      </c>
      <c r="C7" s="12" t="n">
        <v>1109</v>
      </c>
      <c r="D7" s="12" t="n">
        <v>42</v>
      </c>
      <c r="E7" s="12" t="n">
        <v>58</v>
      </c>
      <c r="F7" s="13" t="n">
        <f aca="false">C7+D7+E7</f>
        <v>1209</v>
      </c>
      <c r="G7" s="23" t="n">
        <f aca="false">C7/F7</f>
        <v>0.917287014061208</v>
      </c>
      <c r="H7" s="51" t="s">
        <v>51</v>
      </c>
    </row>
    <row r="8" customFormat="false" ht="15.75" hidden="false" customHeight="true" outlineLevel="0" collapsed="false">
      <c r="B8" s="7" t="s">
        <v>19</v>
      </c>
      <c r="C8" s="8" t="n">
        <v>24085</v>
      </c>
      <c r="D8" s="8" t="n">
        <v>179</v>
      </c>
      <c r="E8" s="8" t="n">
        <v>456</v>
      </c>
      <c r="F8" s="9" t="n">
        <f aca="false">C8+D8+E8</f>
        <v>24720</v>
      </c>
      <c r="G8" s="24" t="n">
        <f aca="false">C8/F8</f>
        <v>0.974312297734628</v>
      </c>
      <c r="H8" s="20" t="s">
        <v>51</v>
      </c>
    </row>
    <row r="9" customFormat="false" ht="15.75" hidden="false" customHeight="true" outlineLevel="0" collapsed="false">
      <c r="B9" s="11" t="s">
        <v>20</v>
      </c>
      <c r="C9" s="12" t="n">
        <v>14146</v>
      </c>
      <c r="D9" s="12" t="n">
        <v>93</v>
      </c>
      <c r="E9" s="12" t="n">
        <v>490</v>
      </c>
      <c r="F9" s="13" t="n">
        <f aca="false">C9+D9+E9</f>
        <v>14729</v>
      </c>
      <c r="G9" s="23" t="n">
        <f aca="false">C9/F9</f>
        <v>0.960418222554145</v>
      </c>
      <c r="H9" s="51" t="s">
        <v>51</v>
      </c>
    </row>
    <row r="10" customFormat="false" ht="15.75" hidden="false" customHeight="true" outlineLevel="0" collapsed="false">
      <c r="B10" s="7" t="s">
        <v>21</v>
      </c>
      <c r="C10" s="8" t="n">
        <v>21400</v>
      </c>
      <c r="D10" s="8" t="n">
        <v>2260</v>
      </c>
      <c r="E10" s="8" t="n">
        <v>2610</v>
      </c>
      <c r="F10" s="9" t="n">
        <f aca="false">C10+D10+E10</f>
        <v>26270</v>
      </c>
      <c r="G10" s="24" t="n">
        <f aca="false">C10/F10</f>
        <v>0.814617434335744</v>
      </c>
      <c r="H10" s="20" t="s">
        <v>51</v>
      </c>
    </row>
    <row r="11" customFormat="false" ht="15.75" hidden="false" customHeight="true" outlineLevel="0" collapsed="false">
      <c r="B11" s="11" t="s">
        <v>22</v>
      </c>
      <c r="C11" s="12" t="n">
        <v>5226</v>
      </c>
      <c r="D11" s="12" t="n">
        <v>172</v>
      </c>
      <c r="E11" s="12" t="n">
        <v>186</v>
      </c>
      <c r="F11" s="13" t="n">
        <f aca="false">C11+D11+E11</f>
        <v>5584</v>
      </c>
      <c r="G11" s="23" t="n">
        <f aca="false">C11/F11</f>
        <v>0.935888252148997</v>
      </c>
      <c r="H11" s="51" t="s">
        <v>51</v>
      </c>
    </row>
    <row r="12" customFormat="false" ht="15.75" hidden="false" customHeight="true" outlineLevel="0" collapsed="false">
      <c r="B12" s="7" t="s">
        <v>23</v>
      </c>
      <c r="C12" s="8" t="n">
        <v>41909</v>
      </c>
      <c r="D12" s="8" t="n">
        <v>15759</v>
      </c>
      <c r="E12" s="8" t="n">
        <v>890</v>
      </c>
      <c r="F12" s="9" t="n">
        <f aca="false">C12+D12+E12</f>
        <v>58558</v>
      </c>
      <c r="G12" s="24" t="n">
        <f aca="false">C12/F12</f>
        <v>0.715683595751221</v>
      </c>
      <c r="H12" s="20" t="s">
        <v>51</v>
      </c>
    </row>
    <row r="13" customFormat="false" ht="15.75" hidden="false" customHeight="true" outlineLevel="0" collapsed="false">
      <c r="B13" s="11" t="s">
        <v>24</v>
      </c>
      <c r="C13" s="12" t="n">
        <v>8871</v>
      </c>
      <c r="D13" s="12" t="n">
        <v>31</v>
      </c>
      <c r="E13" s="12" t="n">
        <v>89</v>
      </c>
      <c r="F13" s="13" t="n">
        <f aca="false">C13+D13+E13</f>
        <v>8991</v>
      </c>
      <c r="G13" s="23" t="n">
        <f aca="false">C13/F13</f>
        <v>0.986653319986653</v>
      </c>
      <c r="H13" s="51" t="s">
        <v>51</v>
      </c>
    </row>
    <row r="14" customFormat="false" ht="15.75" hidden="false" customHeight="true" outlineLevel="0" collapsed="false">
      <c r="B14" s="7" t="s">
        <v>25</v>
      </c>
      <c r="C14" s="8" t="n">
        <v>56404</v>
      </c>
      <c r="D14" s="8" t="n">
        <v>6935</v>
      </c>
      <c r="E14" s="8" t="n">
        <v>1566</v>
      </c>
      <c r="F14" s="9" t="n">
        <f aca="false">C14+D14+E14</f>
        <v>64905</v>
      </c>
      <c r="G14" s="24" t="n">
        <f aca="false">C14/F14</f>
        <v>0.869023958092597</v>
      </c>
      <c r="H14" s="20" t="s">
        <v>51</v>
      </c>
    </row>
    <row r="15" customFormat="false" ht="15.75" hidden="false" customHeight="true" outlineLevel="0" collapsed="false">
      <c r="B15" s="11" t="s">
        <v>26</v>
      </c>
      <c r="C15" s="12" t="n">
        <v>8595</v>
      </c>
      <c r="D15" s="12" t="n">
        <v>12980</v>
      </c>
      <c r="E15" s="12" t="n">
        <v>301</v>
      </c>
      <c r="F15" s="13" t="n">
        <f aca="false">C15+D15+E15</f>
        <v>21876</v>
      </c>
      <c r="G15" s="23" t="n">
        <f aca="false">C15/F15</f>
        <v>0.392896324739441</v>
      </c>
      <c r="H15" s="51" t="s">
        <v>51</v>
      </c>
    </row>
    <row r="16" customFormat="false" ht="15.75" hidden="false" customHeight="true" outlineLevel="0" collapsed="false">
      <c r="B16" s="7" t="s">
        <v>27</v>
      </c>
      <c r="C16" s="8" t="n">
        <v>19159</v>
      </c>
      <c r="D16" s="8" t="n">
        <v>4255</v>
      </c>
      <c r="E16" s="8" t="n">
        <v>162</v>
      </c>
      <c r="F16" s="9" t="n">
        <f aca="false">C16+D16+E16</f>
        <v>23576</v>
      </c>
      <c r="G16" s="24" t="n">
        <f aca="false">C16/F16</f>
        <v>0.812648456057007</v>
      </c>
      <c r="H16" s="20" t="s">
        <v>51</v>
      </c>
    </row>
    <row r="17" customFormat="false" ht="15.75" hidden="false" customHeight="true" outlineLevel="0" collapsed="false">
      <c r="B17" s="11" t="s">
        <v>28</v>
      </c>
      <c r="C17" s="12" t="n">
        <v>13161</v>
      </c>
      <c r="D17" s="12" t="n">
        <v>431</v>
      </c>
      <c r="E17" s="12" t="n">
        <v>339</v>
      </c>
      <c r="F17" s="13" t="n">
        <f aca="false">C17+D17+E17</f>
        <v>13931</v>
      </c>
      <c r="G17" s="23" t="n">
        <f aca="false">C17/F17</f>
        <v>0.944727585959371</v>
      </c>
      <c r="H17" s="51" t="s">
        <v>51</v>
      </c>
    </row>
    <row r="18" customFormat="false" ht="15.75" hidden="false" customHeight="true" outlineLevel="0" collapsed="false">
      <c r="B18" s="7" t="s">
        <v>29</v>
      </c>
      <c r="C18" s="8" t="n">
        <v>8914</v>
      </c>
      <c r="D18" s="8" t="n">
        <v>43</v>
      </c>
      <c r="E18" s="8" t="n">
        <v>42</v>
      </c>
      <c r="F18" s="9" t="n">
        <f aca="false">C18+D18+E18</f>
        <v>8999</v>
      </c>
      <c r="G18" s="24" t="n">
        <f aca="false">C18/F18</f>
        <v>0.990554506056229</v>
      </c>
      <c r="H18" s="20" t="s">
        <v>51</v>
      </c>
    </row>
    <row r="19" customFormat="false" ht="15.75" hidden="false" customHeight="true" outlineLevel="0" collapsed="false">
      <c r="B19" s="11" t="s">
        <v>30</v>
      </c>
      <c r="C19" s="12" t="n">
        <v>17801</v>
      </c>
      <c r="D19" s="12" t="n">
        <v>79</v>
      </c>
      <c r="E19" s="12" t="n">
        <v>917</v>
      </c>
      <c r="F19" s="13" t="n">
        <f aca="false">C19+D19+E19</f>
        <v>18797</v>
      </c>
      <c r="G19" s="23" t="n">
        <f aca="false">C19/F19</f>
        <v>0.947012821194872</v>
      </c>
      <c r="H19" s="51" t="s">
        <v>51</v>
      </c>
    </row>
    <row r="20" customFormat="false" ht="15.75" hidden="false" customHeight="true" outlineLevel="0" collapsed="false">
      <c r="B20" s="7" t="s">
        <v>31</v>
      </c>
      <c r="C20" s="8" t="n">
        <v>2704</v>
      </c>
      <c r="D20" s="8" t="n">
        <v>9</v>
      </c>
      <c r="E20" s="8" t="n">
        <v>22</v>
      </c>
      <c r="F20" s="9" t="n">
        <f aca="false">C20+D20+E20</f>
        <v>2735</v>
      </c>
      <c r="G20" s="24" t="n">
        <f aca="false">C20/F20</f>
        <v>0.988665447897624</v>
      </c>
      <c r="H20" s="20" t="s">
        <v>51</v>
      </c>
    </row>
    <row r="21" customFormat="false" ht="15.75" hidden="false" customHeight="true" outlineLevel="0" collapsed="false">
      <c r="B21" s="11" t="s">
        <v>32</v>
      </c>
      <c r="C21" s="12" t="n">
        <v>66489</v>
      </c>
      <c r="D21" s="12" t="n">
        <v>8818</v>
      </c>
      <c r="E21" s="12" t="n">
        <v>1388</v>
      </c>
      <c r="F21" s="13" t="n">
        <f aca="false">C21+D21+E21</f>
        <v>76695</v>
      </c>
      <c r="G21" s="23" t="n">
        <f aca="false">C21/F21</f>
        <v>0.866927439859183</v>
      </c>
      <c r="H21" s="51" t="s">
        <v>51</v>
      </c>
    </row>
    <row r="22" customFormat="false" ht="15.75" hidden="false" customHeight="true" outlineLevel="0" collapsed="false">
      <c r="B22" s="7" t="s">
        <v>33</v>
      </c>
      <c r="C22" s="8" t="n">
        <v>29133</v>
      </c>
      <c r="D22" s="8" t="n">
        <v>867</v>
      </c>
      <c r="E22" s="8" t="n">
        <v>4044</v>
      </c>
      <c r="F22" s="9" t="n">
        <f aca="false">C22+D22+E22</f>
        <v>34044</v>
      </c>
      <c r="G22" s="24" t="n">
        <f aca="false">C22/F22</f>
        <v>0.855745505816003</v>
      </c>
      <c r="H22" s="20" t="s">
        <v>51</v>
      </c>
    </row>
    <row r="23" customFormat="false" ht="15.75" hidden="false" customHeight="true" outlineLevel="0" collapsed="false">
      <c r="B23" s="11" t="s">
        <v>34</v>
      </c>
      <c r="C23" s="12" t="n">
        <v>6959</v>
      </c>
      <c r="D23" s="12" t="n">
        <v>38</v>
      </c>
      <c r="E23" s="12" t="n">
        <v>166</v>
      </c>
      <c r="F23" s="13" t="n">
        <f aca="false">C23+D23+E23</f>
        <v>7163</v>
      </c>
      <c r="G23" s="23" t="n">
        <f aca="false">C23/F23</f>
        <v>0.971520312718135</v>
      </c>
      <c r="H23" s="51" t="s">
        <v>51</v>
      </c>
    </row>
    <row r="24" customFormat="false" ht="15.75" hidden="false" customHeight="true" outlineLevel="0" collapsed="false">
      <c r="B24" s="7" t="s">
        <v>35</v>
      </c>
      <c r="C24" s="8" t="n">
        <v>10637</v>
      </c>
      <c r="D24" s="8" t="n">
        <v>142</v>
      </c>
      <c r="E24" s="8" t="n">
        <v>10</v>
      </c>
      <c r="F24" s="9" t="n">
        <f aca="false">C24+D24+E24</f>
        <v>10789</v>
      </c>
      <c r="G24" s="24" t="n">
        <f aca="false">C24/F24</f>
        <v>0.985911576605802</v>
      </c>
      <c r="H24" s="20" t="s">
        <v>51</v>
      </c>
    </row>
    <row r="25" customFormat="false" ht="15.75" hidden="false" customHeight="true" outlineLevel="0" collapsed="false">
      <c r="B25" s="11" t="s">
        <v>36</v>
      </c>
      <c r="C25" s="12" t="n">
        <v>980</v>
      </c>
      <c r="D25" s="12" t="n">
        <v>39</v>
      </c>
      <c r="E25" s="12" t="n">
        <v>6</v>
      </c>
      <c r="F25" s="13" t="n">
        <f aca="false">C25+D25+E25</f>
        <v>1025</v>
      </c>
      <c r="G25" s="23" t="n">
        <f aca="false">C25/F25</f>
        <v>0.95609756097561</v>
      </c>
      <c r="H25" s="51" t="s">
        <v>51</v>
      </c>
    </row>
    <row r="26" customFormat="false" ht="15.75" hidden="false" customHeight="true" outlineLevel="0" collapsed="false">
      <c r="B26" s="7" t="s">
        <v>37</v>
      </c>
      <c r="C26" s="8" t="n">
        <v>50728</v>
      </c>
      <c r="D26" s="8" t="n">
        <v>26124</v>
      </c>
      <c r="E26" s="8" t="n">
        <v>2655</v>
      </c>
      <c r="F26" s="9" t="n">
        <f aca="false">C26+D26+E26</f>
        <v>79507</v>
      </c>
      <c r="G26" s="24" t="n">
        <f aca="false">C26/F26</f>
        <v>0.638031871407549</v>
      </c>
      <c r="H26" s="20" t="s">
        <v>51</v>
      </c>
    </row>
    <row r="27" customFormat="false" ht="15.75" hidden="false" customHeight="true" outlineLevel="0" collapsed="false">
      <c r="B27" s="11" t="s">
        <v>38</v>
      </c>
      <c r="C27" s="12" t="n">
        <v>48410</v>
      </c>
      <c r="D27" s="12" t="n">
        <v>11295</v>
      </c>
      <c r="E27" s="12" t="n">
        <v>606</v>
      </c>
      <c r="F27" s="13" t="n">
        <f aca="false">C27+D27+E27</f>
        <v>60311</v>
      </c>
      <c r="G27" s="23" t="n">
        <f aca="false">C27/F27</f>
        <v>0.802672812588085</v>
      </c>
      <c r="H27" s="51" t="s">
        <v>51</v>
      </c>
    </row>
    <row r="28" customFormat="false" ht="15.75" hidden="false" customHeight="true" outlineLevel="0" collapsed="false">
      <c r="B28" s="7" t="s">
        <v>39</v>
      </c>
      <c r="C28" s="8" t="n">
        <v>2141</v>
      </c>
      <c r="D28" s="8" t="n">
        <v>10</v>
      </c>
      <c r="E28" s="8" t="n">
        <v>21</v>
      </c>
      <c r="F28" s="9" t="n">
        <f aca="false">C28+D28+E28</f>
        <v>2172</v>
      </c>
      <c r="G28" s="24" t="n">
        <f aca="false">C28/F28</f>
        <v>0.98572744014733</v>
      </c>
      <c r="H28" s="20" t="s">
        <v>51</v>
      </c>
    </row>
    <row r="29" customFormat="false" ht="15.75" hidden="false" customHeight="true" outlineLevel="0" collapsed="false">
      <c r="B29" s="11" t="s">
        <v>40</v>
      </c>
      <c r="C29" s="12" t="n">
        <v>186530</v>
      </c>
      <c r="D29" s="12" t="n">
        <v>20144</v>
      </c>
      <c r="E29" s="12" t="n">
        <v>13654</v>
      </c>
      <c r="F29" s="13" t="n">
        <f aca="false">C29+D29+E29</f>
        <v>220328</v>
      </c>
      <c r="G29" s="23" t="n">
        <f aca="false">C29/F29</f>
        <v>0.846601430594387</v>
      </c>
      <c r="H29" s="51" t="s">
        <v>51</v>
      </c>
    </row>
    <row r="30" customFormat="false" ht="15.75" hidden="false" customHeight="true" outlineLevel="0" collapsed="false">
      <c r="B30" s="7" t="s">
        <v>41</v>
      </c>
      <c r="C30" s="8" t="n">
        <v>5615</v>
      </c>
      <c r="D30" s="8" t="n">
        <v>480</v>
      </c>
      <c r="E30" s="8" t="n">
        <v>123</v>
      </c>
      <c r="F30" s="9" t="n">
        <f aca="false">C30+D30+E30</f>
        <v>6218</v>
      </c>
      <c r="G30" s="24" t="n">
        <f aca="false">C30/F30</f>
        <v>0.90302348021872</v>
      </c>
      <c r="H30" s="20" t="s">
        <v>51</v>
      </c>
    </row>
    <row r="31" customFormat="false" ht="18" hidden="false" customHeight="true" outlineLevel="0" collapsed="false">
      <c r="B31" s="14" t="s">
        <v>42</v>
      </c>
      <c r="C31" s="15" t="n">
        <f aca="false">SUM(C4:C30)</f>
        <v>668273</v>
      </c>
      <c r="D31" s="15" t="n">
        <f aca="false">SUM(D4:D30)</f>
        <v>111348</v>
      </c>
      <c r="E31" s="15" t="n">
        <f aca="false">SUM(E4:E30)</f>
        <v>31076</v>
      </c>
      <c r="F31" s="15" t="n">
        <f aca="false">SUM(F4:F30)</f>
        <v>810697</v>
      </c>
      <c r="G31" s="49" t="n">
        <f aca="false">C31/F31</f>
        <v>0.824319073587296</v>
      </c>
      <c r="H31" s="14" t="s">
        <v>51</v>
      </c>
    </row>
    <row r="32" customFormat="false" ht="27.75" hidden="false" customHeight="true" outlineLevel="0" collapsed="false">
      <c r="B32" s="50" t="s">
        <v>85</v>
      </c>
      <c r="C32" s="50"/>
      <c r="D32" s="50"/>
      <c r="E32" s="50"/>
      <c r="F32" s="50"/>
      <c r="G32" s="50"/>
      <c r="H32" s="50"/>
    </row>
  </sheetData>
  <mergeCells count="3">
    <mergeCell ref="B1:H1"/>
    <mergeCell ref="B2:H2"/>
    <mergeCell ref="B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6"/>
  </cols>
  <sheetData>
    <row r="1" customFormat="false" ht="21.75" hidden="false" customHeight="true" outlineLevel="0" collapsed="false">
      <c r="B1" s="17" t="s">
        <v>88</v>
      </c>
      <c r="C1" s="17"/>
      <c r="D1" s="17"/>
      <c r="E1" s="17"/>
      <c r="F1" s="17"/>
      <c r="G1" s="17"/>
      <c r="H1" s="17"/>
    </row>
    <row r="2" customFormat="false" ht="12.75" hidden="false" customHeight="true" outlineLevel="0" collapsed="false">
      <c r="B2" s="18" t="s">
        <v>89</v>
      </c>
      <c r="C2" s="18"/>
      <c r="D2" s="18"/>
      <c r="E2" s="18"/>
      <c r="F2" s="18"/>
      <c r="G2" s="18"/>
      <c r="H2" s="18"/>
    </row>
    <row r="3" customFormat="false" ht="27.75" hidden="false" customHeight="true" outlineLevel="0" collapsed="false">
      <c r="B3" s="4" t="s">
        <v>2</v>
      </c>
      <c r="C3" s="5" t="s">
        <v>81</v>
      </c>
      <c r="D3" s="44" t="s">
        <v>49</v>
      </c>
      <c r="E3" s="45" t="s">
        <v>50</v>
      </c>
      <c r="F3" s="4" t="s">
        <v>82</v>
      </c>
      <c r="G3" s="5" t="s">
        <v>83</v>
      </c>
      <c r="H3" s="46" t="s">
        <v>84</v>
      </c>
    </row>
    <row r="4" customFormat="false" ht="15.75" hidden="false" customHeight="true" outlineLevel="0" collapsed="false">
      <c r="B4" s="7" t="s">
        <v>15</v>
      </c>
      <c r="C4" s="8" t="n">
        <v>1228</v>
      </c>
      <c r="D4" s="8" t="n">
        <v>4</v>
      </c>
      <c r="E4" s="8" t="n">
        <v>10</v>
      </c>
      <c r="F4" s="9" t="n">
        <f aca="false">C4+D4+E4</f>
        <v>1242</v>
      </c>
      <c r="G4" s="24" t="n">
        <f aca="false">C4/F4</f>
        <v>0.988727858293076</v>
      </c>
      <c r="H4" s="20" t="s">
        <v>51</v>
      </c>
    </row>
    <row r="5" customFormat="false" ht="15.75" hidden="false" customHeight="true" outlineLevel="0" collapsed="false">
      <c r="B5" s="11" t="s">
        <v>16</v>
      </c>
      <c r="C5" s="12" t="n">
        <v>3971</v>
      </c>
      <c r="D5" s="12" t="n">
        <v>42</v>
      </c>
      <c r="E5" s="12" t="n">
        <v>91</v>
      </c>
      <c r="F5" s="13" t="n">
        <f aca="false">C5+D5+E5</f>
        <v>4104</v>
      </c>
      <c r="G5" s="23" t="n">
        <f aca="false">C5/F5</f>
        <v>0.967592592592593</v>
      </c>
      <c r="H5" s="51" t="s">
        <v>51</v>
      </c>
    </row>
    <row r="6" customFormat="false" ht="15.75" hidden="false" customHeight="true" outlineLevel="0" collapsed="false">
      <c r="B6" s="7" t="s">
        <v>17</v>
      </c>
      <c r="C6" s="8" t="n">
        <v>4295</v>
      </c>
      <c r="D6" s="8" t="n">
        <v>62</v>
      </c>
      <c r="E6" s="8" t="n">
        <v>229</v>
      </c>
      <c r="F6" s="9" t="n">
        <f aca="false">C6+D6+E6</f>
        <v>4586</v>
      </c>
      <c r="G6" s="24" t="n">
        <f aca="false">C6/F6</f>
        <v>0.936546009594418</v>
      </c>
      <c r="H6" s="20" t="s">
        <v>51</v>
      </c>
    </row>
    <row r="7" customFormat="false" ht="15.75" hidden="false" customHeight="true" outlineLevel="0" collapsed="false">
      <c r="B7" s="11" t="s">
        <v>18</v>
      </c>
      <c r="C7" s="12" t="n">
        <v>975</v>
      </c>
      <c r="D7" s="12" t="n">
        <v>29</v>
      </c>
      <c r="E7" s="12" t="n">
        <v>46</v>
      </c>
      <c r="F7" s="13" t="n">
        <f aca="false">C7+D7+E7</f>
        <v>1050</v>
      </c>
      <c r="G7" s="23" t="n">
        <f aca="false">C7/F7</f>
        <v>0.928571428571429</v>
      </c>
      <c r="H7" s="51" t="s">
        <v>51</v>
      </c>
    </row>
    <row r="8" customFormat="false" ht="15.75" hidden="false" customHeight="true" outlineLevel="0" collapsed="false">
      <c r="B8" s="7" t="s">
        <v>19</v>
      </c>
      <c r="C8" s="8" t="n">
        <v>17732</v>
      </c>
      <c r="D8" s="8" t="n">
        <v>213</v>
      </c>
      <c r="E8" s="8" t="n">
        <v>784</v>
      </c>
      <c r="F8" s="9" t="n">
        <f aca="false">C8+D8+E8</f>
        <v>18729</v>
      </c>
      <c r="G8" s="24" t="n">
        <f aca="false">C8/F8</f>
        <v>0.946767045757916</v>
      </c>
      <c r="H8" s="20" t="s">
        <v>51</v>
      </c>
    </row>
    <row r="9" customFormat="false" ht="15.75" hidden="false" customHeight="true" outlineLevel="0" collapsed="false">
      <c r="B9" s="11" t="s">
        <v>20</v>
      </c>
      <c r="C9" s="12" t="n">
        <v>15574</v>
      </c>
      <c r="D9" s="12" t="n">
        <v>82</v>
      </c>
      <c r="E9" s="12" t="n">
        <v>521</v>
      </c>
      <c r="F9" s="13" t="n">
        <f aca="false">C9+D9+E9</f>
        <v>16177</v>
      </c>
      <c r="G9" s="23" t="n">
        <f aca="false">C9/F9</f>
        <v>0.962724856277431</v>
      </c>
      <c r="H9" s="51" t="s">
        <v>51</v>
      </c>
    </row>
    <row r="10" customFormat="false" ht="15.75" hidden="false" customHeight="true" outlineLevel="0" collapsed="false">
      <c r="B10" s="7" t="s">
        <v>21</v>
      </c>
      <c r="C10" s="8" t="n">
        <v>16141</v>
      </c>
      <c r="D10" s="8" t="n">
        <v>2893</v>
      </c>
      <c r="E10" s="8" t="n">
        <v>2218</v>
      </c>
      <c r="F10" s="9" t="n">
        <f aca="false">C10+D10+E10</f>
        <v>21252</v>
      </c>
      <c r="G10" s="24" t="n">
        <f aca="false">C10/F10</f>
        <v>0.759504987765857</v>
      </c>
      <c r="H10" s="20" t="s">
        <v>51</v>
      </c>
    </row>
    <row r="11" customFormat="false" ht="15.75" hidden="false" customHeight="true" outlineLevel="0" collapsed="false">
      <c r="B11" s="11" t="s">
        <v>22</v>
      </c>
      <c r="C11" s="12" t="n">
        <v>6436</v>
      </c>
      <c r="D11" s="12" t="n">
        <v>159</v>
      </c>
      <c r="E11" s="12" t="n">
        <v>415</v>
      </c>
      <c r="F11" s="13" t="n">
        <f aca="false">C11+D11+E11</f>
        <v>7010</v>
      </c>
      <c r="G11" s="23" t="n">
        <f aca="false">C11/F11</f>
        <v>0.91811697574893</v>
      </c>
      <c r="H11" s="51" t="s">
        <v>51</v>
      </c>
    </row>
    <row r="12" customFormat="false" ht="15.75" hidden="false" customHeight="true" outlineLevel="0" collapsed="false">
      <c r="B12" s="7" t="s">
        <v>23</v>
      </c>
      <c r="C12" s="8" t="n">
        <v>38620</v>
      </c>
      <c r="D12" s="8" t="n">
        <v>20759</v>
      </c>
      <c r="E12" s="8" t="n">
        <v>1247</v>
      </c>
      <c r="F12" s="9" t="n">
        <f aca="false">C12+D12+E12</f>
        <v>60626</v>
      </c>
      <c r="G12" s="24" t="n">
        <f aca="false">C12/F12</f>
        <v>0.637020420281727</v>
      </c>
      <c r="H12" s="20" t="s">
        <v>51</v>
      </c>
    </row>
    <row r="13" customFormat="false" ht="15.75" hidden="false" customHeight="true" outlineLevel="0" collapsed="false">
      <c r="B13" s="11" t="s">
        <v>24</v>
      </c>
      <c r="C13" s="12" t="n">
        <v>7806</v>
      </c>
      <c r="D13" s="12" t="n">
        <v>27</v>
      </c>
      <c r="E13" s="12" t="n">
        <v>147</v>
      </c>
      <c r="F13" s="13" t="n">
        <f aca="false">C13+D13+E13</f>
        <v>7980</v>
      </c>
      <c r="G13" s="23" t="n">
        <f aca="false">C13/F13</f>
        <v>0.978195488721805</v>
      </c>
      <c r="H13" s="51" t="s">
        <v>51</v>
      </c>
    </row>
    <row r="14" customFormat="false" ht="15.75" hidden="false" customHeight="true" outlineLevel="0" collapsed="false">
      <c r="B14" s="7" t="s">
        <v>25</v>
      </c>
      <c r="C14" s="8" t="n">
        <v>53620</v>
      </c>
      <c r="D14" s="8" t="n">
        <v>10863</v>
      </c>
      <c r="E14" s="8" t="n">
        <v>2577</v>
      </c>
      <c r="F14" s="9" t="n">
        <f aca="false">C14+D14+E14</f>
        <v>67060</v>
      </c>
      <c r="G14" s="24" t="n">
        <f aca="false">C14/F14</f>
        <v>0.799582463465553</v>
      </c>
      <c r="H14" s="20" t="s">
        <v>51</v>
      </c>
    </row>
    <row r="15" customFormat="false" ht="15.75" hidden="false" customHeight="true" outlineLevel="0" collapsed="false">
      <c r="B15" s="11" t="s">
        <v>26</v>
      </c>
      <c r="C15" s="12" t="n">
        <v>8514</v>
      </c>
      <c r="D15" s="12" t="n">
        <v>12780</v>
      </c>
      <c r="E15" s="12" t="n">
        <v>713</v>
      </c>
      <c r="F15" s="13" t="n">
        <f aca="false">C15+D15+E15</f>
        <v>22007</v>
      </c>
      <c r="G15" s="23" t="n">
        <f aca="false">C15/F15</f>
        <v>0.386876902803653</v>
      </c>
      <c r="H15" s="51" t="s">
        <v>51</v>
      </c>
    </row>
    <row r="16" customFormat="false" ht="15.75" hidden="false" customHeight="true" outlineLevel="0" collapsed="false">
      <c r="B16" s="7" t="s">
        <v>27</v>
      </c>
      <c r="C16" s="8" t="n">
        <v>24054</v>
      </c>
      <c r="D16" s="8" t="n">
        <v>5210</v>
      </c>
      <c r="E16" s="8" t="n">
        <v>310</v>
      </c>
      <c r="F16" s="9" t="n">
        <f aca="false">C16+D16+E16</f>
        <v>29574</v>
      </c>
      <c r="G16" s="24" t="n">
        <f aca="false">C16/F16</f>
        <v>0.813349563806046</v>
      </c>
      <c r="H16" s="20" t="s">
        <v>51</v>
      </c>
    </row>
    <row r="17" customFormat="false" ht="15.75" hidden="false" customHeight="true" outlineLevel="0" collapsed="false">
      <c r="B17" s="11" t="s">
        <v>28</v>
      </c>
      <c r="C17" s="12" t="n">
        <v>10899</v>
      </c>
      <c r="D17" s="12" t="n">
        <v>572</v>
      </c>
      <c r="E17" s="12" t="n">
        <v>373</v>
      </c>
      <c r="F17" s="13" t="n">
        <f aca="false">C17+D17+E17</f>
        <v>11844</v>
      </c>
      <c r="G17" s="23" t="n">
        <f aca="false">C17/F17</f>
        <v>0.920212765957447</v>
      </c>
      <c r="H17" s="51" t="s">
        <v>51</v>
      </c>
    </row>
    <row r="18" customFormat="false" ht="15.75" hidden="false" customHeight="true" outlineLevel="0" collapsed="false">
      <c r="B18" s="7" t="s">
        <v>29</v>
      </c>
      <c r="C18" s="8" t="n">
        <v>4325</v>
      </c>
      <c r="D18" s="8" t="n">
        <v>36</v>
      </c>
      <c r="E18" s="8" t="n">
        <v>45</v>
      </c>
      <c r="F18" s="9" t="n">
        <f aca="false">C18+D18+E18</f>
        <v>4406</v>
      </c>
      <c r="G18" s="24" t="n">
        <f aca="false">C18/F18</f>
        <v>0.98161597821153</v>
      </c>
      <c r="H18" s="20" t="s">
        <v>51</v>
      </c>
    </row>
    <row r="19" customFormat="false" ht="15.75" hidden="false" customHeight="true" outlineLevel="0" collapsed="false">
      <c r="B19" s="11" t="s">
        <v>30</v>
      </c>
      <c r="C19" s="12" t="n">
        <v>7975</v>
      </c>
      <c r="D19" s="12" t="n">
        <v>136</v>
      </c>
      <c r="E19" s="12" t="n">
        <v>1660</v>
      </c>
      <c r="F19" s="13" t="n">
        <f aca="false">C19+D19+E19</f>
        <v>9771</v>
      </c>
      <c r="G19" s="23" t="n">
        <f aca="false">C19/F19</f>
        <v>0.816190768600962</v>
      </c>
      <c r="H19" s="51" t="s">
        <v>51</v>
      </c>
    </row>
    <row r="20" customFormat="false" ht="15.75" hidden="false" customHeight="true" outlineLevel="0" collapsed="false">
      <c r="B20" s="7" t="s">
        <v>31</v>
      </c>
      <c r="C20" s="8" t="n">
        <v>2336</v>
      </c>
      <c r="D20" s="8" t="n">
        <v>7</v>
      </c>
      <c r="E20" s="8" t="n">
        <v>50</v>
      </c>
      <c r="F20" s="9" t="n">
        <f aca="false">C20+D20+E20</f>
        <v>2393</v>
      </c>
      <c r="G20" s="24" t="n">
        <f aca="false">C20/F20</f>
        <v>0.976180526535729</v>
      </c>
      <c r="H20" s="20" t="s">
        <v>51</v>
      </c>
    </row>
    <row r="21" customFormat="false" ht="15.75" hidden="false" customHeight="true" outlineLevel="0" collapsed="false">
      <c r="B21" s="11" t="s">
        <v>32</v>
      </c>
      <c r="C21" s="12" t="n">
        <v>67306</v>
      </c>
      <c r="D21" s="12" t="n">
        <v>12426</v>
      </c>
      <c r="E21" s="12" t="n">
        <v>2190</v>
      </c>
      <c r="F21" s="13" t="n">
        <f aca="false">C21+D21+E21</f>
        <v>81922</v>
      </c>
      <c r="G21" s="23" t="n">
        <f aca="false">C21/F21</f>
        <v>0.821586387051097</v>
      </c>
      <c r="H21" s="51" t="s">
        <v>51</v>
      </c>
    </row>
    <row r="22" customFormat="false" ht="15.75" hidden="false" customHeight="true" outlineLevel="0" collapsed="false">
      <c r="B22" s="7" t="s">
        <v>33</v>
      </c>
      <c r="C22" s="8" t="n">
        <v>24631</v>
      </c>
      <c r="D22" s="8" t="n">
        <v>712</v>
      </c>
      <c r="E22" s="8" t="n">
        <v>4986</v>
      </c>
      <c r="F22" s="9" t="n">
        <f aca="false">C22+D22+E22</f>
        <v>30329</v>
      </c>
      <c r="G22" s="24" t="n">
        <f aca="false">C22/F22</f>
        <v>0.812127007154868</v>
      </c>
      <c r="H22" s="20" t="s">
        <v>51</v>
      </c>
    </row>
    <row r="23" customFormat="false" ht="15.75" hidden="false" customHeight="true" outlineLevel="0" collapsed="false">
      <c r="B23" s="11" t="s">
        <v>34</v>
      </c>
      <c r="C23" s="12" t="n">
        <v>4068</v>
      </c>
      <c r="D23" s="12" t="n">
        <v>25</v>
      </c>
      <c r="E23" s="12" t="n">
        <v>107</v>
      </c>
      <c r="F23" s="13" t="n">
        <f aca="false">C23+D23+E23</f>
        <v>4200</v>
      </c>
      <c r="G23" s="23" t="n">
        <f aca="false">C23/F23</f>
        <v>0.968571428571429</v>
      </c>
      <c r="H23" s="51" t="s">
        <v>51</v>
      </c>
    </row>
    <row r="24" customFormat="false" ht="15.75" hidden="false" customHeight="true" outlineLevel="0" collapsed="false">
      <c r="B24" s="7" t="s">
        <v>35</v>
      </c>
      <c r="C24" s="8" t="n">
        <v>10886</v>
      </c>
      <c r="D24" s="8" t="n">
        <v>106</v>
      </c>
      <c r="E24" s="8" t="n">
        <v>12</v>
      </c>
      <c r="F24" s="9" t="n">
        <f aca="false">C24+D24+E24</f>
        <v>11004</v>
      </c>
      <c r="G24" s="24" t="n">
        <f aca="false">C24/F24</f>
        <v>0.989276626681207</v>
      </c>
      <c r="H24" s="20" t="s">
        <v>51</v>
      </c>
    </row>
    <row r="25" customFormat="false" ht="15.75" hidden="false" customHeight="true" outlineLevel="0" collapsed="false">
      <c r="B25" s="11" t="s">
        <v>36</v>
      </c>
      <c r="C25" s="12" t="n">
        <v>846</v>
      </c>
      <c r="D25" s="12" t="n">
        <v>48</v>
      </c>
      <c r="E25" s="12" t="n">
        <v>1</v>
      </c>
      <c r="F25" s="13" t="n">
        <f aca="false">C25+D25+E25</f>
        <v>895</v>
      </c>
      <c r="G25" s="23" t="n">
        <f aca="false">C25/F25</f>
        <v>0.945251396648045</v>
      </c>
      <c r="H25" s="51" t="s">
        <v>51</v>
      </c>
    </row>
    <row r="26" customFormat="false" ht="15.75" hidden="false" customHeight="true" outlineLevel="0" collapsed="false">
      <c r="B26" s="7" t="s">
        <v>37</v>
      </c>
      <c r="C26" s="8" t="n">
        <v>70676</v>
      </c>
      <c r="D26" s="8" t="n">
        <v>51890</v>
      </c>
      <c r="E26" s="8" t="n">
        <v>4174</v>
      </c>
      <c r="F26" s="9" t="n">
        <f aca="false">C26+D26+E26</f>
        <v>126740</v>
      </c>
      <c r="G26" s="24" t="n">
        <f aca="false">C26/F26</f>
        <v>0.557645573615275</v>
      </c>
      <c r="H26" s="20" t="s">
        <v>51</v>
      </c>
    </row>
    <row r="27" customFormat="false" ht="15.75" hidden="false" customHeight="true" outlineLevel="0" collapsed="false">
      <c r="B27" s="11" t="s">
        <v>38</v>
      </c>
      <c r="C27" s="12" t="n">
        <v>55585</v>
      </c>
      <c r="D27" s="12" t="n">
        <v>15167</v>
      </c>
      <c r="E27" s="12" t="n">
        <v>951</v>
      </c>
      <c r="F27" s="13" t="n">
        <f aca="false">C27+D27+E27</f>
        <v>71703</v>
      </c>
      <c r="G27" s="23" t="n">
        <f aca="false">C27/F27</f>
        <v>0.775211636891065</v>
      </c>
      <c r="H27" s="51" t="s">
        <v>51</v>
      </c>
    </row>
    <row r="28" customFormat="false" ht="15.75" hidden="false" customHeight="true" outlineLevel="0" collapsed="false">
      <c r="B28" s="7" t="s">
        <v>39</v>
      </c>
      <c r="C28" s="8" t="n">
        <v>1083</v>
      </c>
      <c r="D28" s="8" t="n">
        <v>5</v>
      </c>
      <c r="E28" s="8" t="n">
        <v>41</v>
      </c>
      <c r="F28" s="9" t="n">
        <f aca="false">C28+D28+E28</f>
        <v>1129</v>
      </c>
      <c r="G28" s="24" t="n">
        <f aca="false">C28/F28</f>
        <v>0.95925597874225</v>
      </c>
      <c r="H28" s="20" t="s">
        <v>51</v>
      </c>
    </row>
    <row r="29" customFormat="false" ht="15.75" hidden="false" customHeight="true" outlineLevel="0" collapsed="false">
      <c r="B29" s="11" t="s">
        <v>40</v>
      </c>
      <c r="C29" s="12" t="n">
        <v>165902</v>
      </c>
      <c r="D29" s="12" t="n">
        <v>21146</v>
      </c>
      <c r="E29" s="12" t="n">
        <v>21011</v>
      </c>
      <c r="F29" s="13" t="n">
        <f aca="false">C29+D29+E29</f>
        <v>208059</v>
      </c>
      <c r="G29" s="23" t="n">
        <f aca="false">C29/F29</f>
        <v>0.797379589443379</v>
      </c>
      <c r="H29" s="51" t="s">
        <v>51</v>
      </c>
    </row>
    <row r="30" customFormat="false" ht="15.75" hidden="false" customHeight="true" outlineLevel="0" collapsed="false">
      <c r="B30" s="7" t="s">
        <v>41</v>
      </c>
      <c r="C30" s="8" t="n">
        <v>6857</v>
      </c>
      <c r="D30" s="8" t="n">
        <v>514</v>
      </c>
      <c r="E30" s="8" t="n">
        <v>208</v>
      </c>
      <c r="F30" s="9" t="n">
        <f aca="false">C30+D30+E30</f>
        <v>7579</v>
      </c>
      <c r="G30" s="24" t="n">
        <f aca="false">C30/F30</f>
        <v>0.904736772661301</v>
      </c>
      <c r="H30" s="20" t="s">
        <v>51</v>
      </c>
    </row>
    <row r="31" customFormat="false" ht="18" hidden="false" customHeight="true" outlineLevel="0" collapsed="false">
      <c r="B31" s="14" t="s">
        <v>42</v>
      </c>
      <c r="C31" s="15" t="n">
        <f aca="false">SUM(C4:C30)</f>
        <v>632341</v>
      </c>
      <c r="D31" s="15" t="n">
        <f aca="false">SUM(D4:D30)</f>
        <v>155913</v>
      </c>
      <c r="E31" s="15" t="n">
        <f aca="false">SUM(E4:E30)</f>
        <v>45117</v>
      </c>
      <c r="F31" s="15" t="n">
        <f aca="false">SUM(F4:F30)</f>
        <v>833371</v>
      </c>
      <c r="G31" s="49" t="n">
        <f aca="false">C31/F31</f>
        <v>0.758774903374368</v>
      </c>
      <c r="H31" s="14" t="s">
        <v>51</v>
      </c>
    </row>
    <row r="32" customFormat="false" ht="27.75" hidden="false" customHeight="true" outlineLevel="0" collapsed="false">
      <c r="B32" s="50" t="s">
        <v>85</v>
      </c>
      <c r="C32" s="50"/>
      <c r="D32" s="50"/>
      <c r="E32" s="50"/>
      <c r="F32" s="50"/>
      <c r="G32" s="50"/>
      <c r="H32" s="50"/>
    </row>
  </sheetData>
  <mergeCells count="3">
    <mergeCell ref="B1:H1"/>
    <mergeCell ref="B2:H2"/>
    <mergeCell ref="B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7" min="3" style="1" width="16"/>
    <col collapsed="false" customWidth="true" hidden="false" outlineLevel="0" max="8" min="8" style="1" width="18"/>
  </cols>
  <sheetData>
    <row r="1" customFormat="false" ht="21.75" hidden="false" customHeight="true" outlineLevel="0" collapsed="false">
      <c r="B1" s="17" t="s">
        <v>90</v>
      </c>
      <c r="C1" s="17"/>
      <c r="D1" s="17"/>
      <c r="E1" s="17"/>
      <c r="F1" s="17"/>
      <c r="G1" s="17"/>
      <c r="H1" s="17"/>
    </row>
    <row r="2" customFormat="false" ht="19.5" hidden="false" customHeight="true" outlineLevel="0" collapsed="false">
      <c r="B2" s="18" t="s">
        <v>91</v>
      </c>
      <c r="C2" s="18"/>
      <c r="D2" s="18"/>
      <c r="E2" s="18"/>
      <c r="F2" s="18"/>
      <c r="G2" s="18"/>
      <c r="H2" s="18"/>
    </row>
    <row r="3" customFormat="false" ht="27.75" hidden="false" customHeight="true" outlineLevel="0" collapsed="false">
      <c r="B3" s="4" t="s">
        <v>2</v>
      </c>
      <c r="C3" s="5" t="s">
        <v>92</v>
      </c>
      <c r="D3" s="46" t="s">
        <v>93</v>
      </c>
      <c r="E3" s="46" t="s">
        <v>14</v>
      </c>
      <c r="F3" s="44" t="s">
        <v>94</v>
      </c>
      <c r="G3" s="46" t="s">
        <v>95</v>
      </c>
      <c r="H3" s="4" t="s">
        <v>96</v>
      </c>
    </row>
    <row r="4" customFormat="false" ht="15.75" hidden="false" customHeight="true" outlineLevel="0" collapsed="false">
      <c r="B4" s="52" t="s">
        <v>15</v>
      </c>
      <c r="C4" s="53" t="n">
        <v>605</v>
      </c>
      <c r="D4" s="36" t="n">
        <v>1</v>
      </c>
      <c r="E4" s="54" t="n">
        <v>-0.998347107438017</v>
      </c>
      <c r="F4" s="36" t="n">
        <v>2679</v>
      </c>
      <c r="G4" s="55" t="n">
        <v>0.536394176931691</v>
      </c>
      <c r="H4" s="46" t="s">
        <v>97</v>
      </c>
    </row>
    <row r="5" customFormat="false" ht="15.75" hidden="false" customHeight="true" outlineLevel="0" collapsed="false">
      <c r="B5" s="52" t="s">
        <v>16</v>
      </c>
      <c r="C5" s="53" t="n">
        <v>3488</v>
      </c>
      <c r="D5" s="36" t="n">
        <v>4</v>
      </c>
      <c r="E5" s="54" t="n">
        <v>-0.998853211009174</v>
      </c>
      <c r="F5" s="36" t="n">
        <v>12242</v>
      </c>
      <c r="G5" s="55" t="n">
        <v>0.664760660022872</v>
      </c>
      <c r="H5" s="46" t="s">
        <v>97</v>
      </c>
    </row>
    <row r="6" customFormat="false" ht="15.75" hidden="false" customHeight="true" outlineLevel="0" collapsed="false">
      <c r="B6" s="52" t="s">
        <v>17</v>
      </c>
      <c r="C6" s="53" t="n">
        <v>4005</v>
      </c>
      <c r="D6" s="36" t="n">
        <v>16</v>
      </c>
      <c r="E6" s="54" t="n">
        <v>-0.996004993757803</v>
      </c>
      <c r="F6" s="36" t="n">
        <v>12576</v>
      </c>
      <c r="G6" s="55" t="n">
        <v>0.635337150127227</v>
      </c>
      <c r="H6" s="46" t="s">
        <v>97</v>
      </c>
    </row>
    <row r="7" customFormat="false" ht="15.75" hidden="false" customHeight="true" outlineLevel="0" collapsed="false">
      <c r="B7" s="52" t="s">
        <v>18</v>
      </c>
      <c r="C7" s="53" t="n">
        <v>551</v>
      </c>
      <c r="D7" s="36" t="n">
        <v>41</v>
      </c>
      <c r="E7" s="54" t="n">
        <v>-0.925589836660617</v>
      </c>
      <c r="F7" s="36" t="n">
        <v>2259</v>
      </c>
      <c r="G7" s="55" t="n">
        <v>0.535192563081009</v>
      </c>
      <c r="H7" s="46" t="s">
        <v>97</v>
      </c>
    </row>
    <row r="8" customFormat="false" ht="15.75" hidden="false" customHeight="true" outlineLevel="0" collapsed="false">
      <c r="B8" s="56" t="s">
        <v>19</v>
      </c>
      <c r="C8" s="57" t="n">
        <v>11821</v>
      </c>
      <c r="D8" s="33" t="n">
        <v>72</v>
      </c>
      <c r="E8" s="54" t="n">
        <v>-0.993909144742408</v>
      </c>
      <c r="F8" s="33" t="n">
        <v>43449</v>
      </c>
      <c r="G8" s="58" t="n">
        <v>0.568942898570738</v>
      </c>
      <c r="H8" s="59" t="s">
        <v>98</v>
      </c>
    </row>
    <row r="9" customFormat="false" ht="15.75" hidden="false" customHeight="true" outlineLevel="0" collapsed="false">
      <c r="B9" s="56" t="s">
        <v>20</v>
      </c>
      <c r="C9" s="57" t="n">
        <v>6438</v>
      </c>
      <c r="D9" s="33" t="n">
        <v>18</v>
      </c>
      <c r="E9" s="54" t="n">
        <v>-0.997204100652377</v>
      </c>
      <c r="F9" s="33" t="n">
        <v>30906</v>
      </c>
      <c r="G9" s="58" t="n">
        <v>0.476574128001035</v>
      </c>
      <c r="H9" s="59" t="s">
        <v>98</v>
      </c>
    </row>
    <row r="10" customFormat="false" ht="15.75" hidden="false" customHeight="true" outlineLevel="0" collapsed="false">
      <c r="B10" s="56" t="s">
        <v>21</v>
      </c>
      <c r="C10" s="57" t="n">
        <v>10861</v>
      </c>
      <c r="D10" s="33" t="n">
        <v>18</v>
      </c>
      <c r="E10" s="54" t="n">
        <v>-0.998342694042906</v>
      </c>
      <c r="F10" s="33" t="n">
        <v>47522</v>
      </c>
      <c r="G10" s="58" t="n">
        <v>0.552796599469719</v>
      </c>
      <c r="H10" s="59" t="s">
        <v>98</v>
      </c>
    </row>
    <row r="11" customFormat="false" ht="15.75" hidden="false" customHeight="true" outlineLevel="0" collapsed="false">
      <c r="B11" s="52" t="s">
        <v>22</v>
      </c>
      <c r="C11" s="53" t="n">
        <v>3015</v>
      </c>
      <c r="D11" s="36" t="n">
        <v>39</v>
      </c>
      <c r="E11" s="54" t="n">
        <v>-0.987064676616915</v>
      </c>
      <c r="F11" s="36" t="n">
        <v>12594</v>
      </c>
      <c r="G11" s="55" t="n">
        <v>0.443385739240908</v>
      </c>
      <c r="H11" s="46" t="s">
        <v>97</v>
      </c>
    </row>
    <row r="12" customFormat="false" ht="15.75" hidden="false" customHeight="true" outlineLevel="0" collapsed="false">
      <c r="B12" s="56" t="s">
        <v>23</v>
      </c>
      <c r="C12" s="57" t="n">
        <v>29119</v>
      </c>
      <c r="D12" s="33" t="n">
        <v>52</v>
      </c>
      <c r="E12" s="54" t="n">
        <v>-0.998214224389574</v>
      </c>
      <c r="F12" s="33" t="n">
        <v>119184</v>
      </c>
      <c r="G12" s="58" t="n">
        <v>0.491324338837428</v>
      </c>
      <c r="H12" s="59" t="s">
        <v>98</v>
      </c>
    </row>
    <row r="13" customFormat="false" ht="15.75" hidden="false" customHeight="true" outlineLevel="0" collapsed="false">
      <c r="B13" s="52" t="s">
        <v>24</v>
      </c>
      <c r="C13" s="53" t="n">
        <v>4983</v>
      </c>
      <c r="D13" s="36" t="n">
        <v>2</v>
      </c>
      <c r="E13" s="54" t="n">
        <v>-0.999598635360225</v>
      </c>
      <c r="F13" s="36" t="n">
        <v>16971</v>
      </c>
      <c r="G13" s="55" t="n">
        <v>0.52978610570974</v>
      </c>
      <c r="H13" s="46" t="s">
        <v>97</v>
      </c>
    </row>
    <row r="14" customFormat="false" ht="15.75" hidden="false" customHeight="true" outlineLevel="0" collapsed="false">
      <c r="B14" s="56" t="s">
        <v>25</v>
      </c>
      <c r="C14" s="57" t="n">
        <v>36600</v>
      </c>
      <c r="D14" s="33" t="n">
        <v>101</v>
      </c>
      <c r="E14" s="54" t="n">
        <v>-0.99724043715847</v>
      </c>
      <c r="F14" s="33" t="n">
        <v>131965</v>
      </c>
      <c r="G14" s="58" t="n">
        <v>0.491834956238397</v>
      </c>
      <c r="H14" s="59" t="s">
        <v>98</v>
      </c>
    </row>
    <row r="15" customFormat="false" ht="15.75" hidden="false" customHeight="true" outlineLevel="0" collapsed="false">
      <c r="B15" s="56" t="s">
        <v>26</v>
      </c>
      <c r="C15" s="57" t="n">
        <v>8979</v>
      </c>
      <c r="D15" s="33" t="n">
        <v>18</v>
      </c>
      <c r="E15" s="54" t="n">
        <v>-0.997995322418978</v>
      </c>
      <c r="F15" s="33" t="n">
        <v>43883</v>
      </c>
      <c r="G15" s="58" t="n">
        <v>0.498507394663081</v>
      </c>
      <c r="H15" s="59" t="s">
        <v>98</v>
      </c>
    </row>
    <row r="16" customFormat="false" ht="15.75" hidden="false" customHeight="true" outlineLevel="0" collapsed="false">
      <c r="B16" s="56" t="s">
        <v>27</v>
      </c>
      <c r="C16" s="57" t="n">
        <v>13272</v>
      </c>
      <c r="D16" s="33" t="n">
        <v>37</v>
      </c>
      <c r="E16" s="54" t="n">
        <v>-0.997212176009644</v>
      </c>
      <c r="F16" s="33" t="n">
        <v>53150</v>
      </c>
      <c r="G16" s="58" t="n">
        <v>0.443574788334901</v>
      </c>
      <c r="H16" s="59" t="s">
        <v>98</v>
      </c>
    </row>
    <row r="17" customFormat="false" ht="15.75" hidden="false" customHeight="true" outlineLevel="0" collapsed="false">
      <c r="B17" s="56" t="s">
        <v>28</v>
      </c>
      <c r="C17" s="57" t="n">
        <v>6128</v>
      </c>
      <c r="D17" s="33" t="n">
        <v>18</v>
      </c>
      <c r="E17" s="54" t="n">
        <v>-0.997062663185379</v>
      </c>
      <c r="F17" s="33" t="n">
        <v>25775</v>
      </c>
      <c r="G17" s="58" t="n">
        <v>0.540484966052376</v>
      </c>
      <c r="H17" s="59" t="s">
        <v>98</v>
      </c>
    </row>
    <row r="18" customFormat="false" ht="15.75" hidden="false" customHeight="true" outlineLevel="0" collapsed="false">
      <c r="B18" s="52" t="s">
        <v>29</v>
      </c>
      <c r="C18" s="53" t="n">
        <v>3712</v>
      </c>
      <c r="D18" s="36" t="n">
        <v>4</v>
      </c>
      <c r="E18" s="54" t="n">
        <v>-0.998922413793103</v>
      </c>
      <c r="F18" s="36" t="n">
        <v>13405</v>
      </c>
      <c r="G18" s="55" t="n">
        <v>0.671316672883253</v>
      </c>
      <c r="H18" s="46" t="s">
        <v>97</v>
      </c>
    </row>
    <row r="19" customFormat="false" ht="15.75" hidden="false" customHeight="true" outlineLevel="0" collapsed="false">
      <c r="B19" s="56" t="s">
        <v>30</v>
      </c>
      <c r="C19" s="57" t="n">
        <v>8307</v>
      </c>
      <c r="D19" s="33" t="n">
        <v>10</v>
      </c>
      <c r="E19" s="54" t="n">
        <v>-0.998796195979295</v>
      </c>
      <c r="F19" s="33" t="n">
        <v>28568</v>
      </c>
      <c r="G19" s="58" t="n">
        <v>0.657973956874825</v>
      </c>
      <c r="H19" s="59" t="s">
        <v>98</v>
      </c>
    </row>
    <row r="20" customFormat="false" ht="15.75" hidden="false" customHeight="true" outlineLevel="0" collapsed="false">
      <c r="B20" s="52" t="s">
        <v>31</v>
      </c>
      <c r="C20" s="53" t="n">
        <v>1426</v>
      </c>
      <c r="D20" s="36" t="n">
        <v>0</v>
      </c>
      <c r="E20" s="54" t="n">
        <v>-1</v>
      </c>
      <c r="F20" s="36" t="n">
        <v>5128</v>
      </c>
      <c r="G20" s="55" t="n">
        <v>0.533346333853354</v>
      </c>
      <c r="H20" s="46" t="s">
        <v>97</v>
      </c>
    </row>
    <row r="21" customFormat="false" ht="15.75" hidden="false" customHeight="true" outlineLevel="0" collapsed="false">
      <c r="B21" s="56" t="s">
        <v>32</v>
      </c>
      <c r="C21" s="57" t="n">
        <v>38850</v>
      </c>
      <c r="D21" s="33" t="n">
        <v>87</v>
      </c>
      <c r="E21" s="54" t="n">
        <v>-0.997760617760618</v>
      </c>
      <c r="F21" s="33" t="n">
        <v>158617</v>
      </c>
      <c r="G21" s="58" t="n">
        <v>0.483523203691912</v>
      </c>
      <c r="H21" s="59" t="s">
        <v>98</v>
      </c>
    </row>
    <row r="22" customFormat="false" ht="15.75" hidden="false" customHeight="true" outlineLevel="0" collapsed="false">
      <c r="B22" s="56" t="s">
        <v>33</v>
      </c>
      <c r="C22" s="57" t="n">
        <v>14706</v>
      </c>
      <c r="D22" s="33" t="n">
        <v>49</v>
      </c>
      <c r="E22" s="54" t="n">
        <v>-0.996668026655787</v>
      </c>
      <c r="F22" s="33" t="n">
        <v>64373</v>
      </c>
      <c r="G22" s="58" t="n">
        <v>0.528855265406304</v>
      </c>
      <c r="H22" s="59" t="s">
        <v>98</v>
      </c>
    </row>
    <row r="23" customFormat="false" ht="15.75" hidden="false" customHeight="true" outlineLevel="0" collapsed="false">
      <c r="B23" s="52" t="s">
        <v>34</v>
      </c>
      <c r="C23" s="53" t="n">
        <v>2477</v>
      </c>
      <c r="D23" s="36" t="n">
        <v>3</v>
      </c>
      <c r="E23" s="54" t="n">
        <v>-0.998788857488898</v>
      </c>
      <c r="F23" s="36" t="n">
        <v>11363</v>
      </c>
      <c r="G23" s="55" t="n">
        <v>0.63037930124087</v>
      </c>
      <c r="H23" s="46" t="s">
        <v>97</v>
      </c>
    </row>
    <row r="24" customFormat="false" ht="15.75" hidden="false" customHeight="true" outlineLevel="0" collapsed="false">
      <c r="B24" s="52" t="s">
        <v>35</v>
      </c>
      <c r="C24" s="53" t="n">
        <v>5550</v>
      </c>
      <c r="D24" s="36" t="n">
        <v>8</v>
      </c>
      <c r="E24" s="54" t="n">
        <v>-0.998558558558559</v>
      </c>
      <c r="F24" s="36" t="n">
        <v>21793</v>
      </c>
      <c r="G24" s="55" t="n">
        <v>0.495067223420364</v>
      </c>
      <c r="H24" s="46" t="s">
        <v>97</v>
      </c>
    </row>
    <row r="25" customFormat="false" ht="15.75" hidden="false" customHeight="true" outlineLevel="0" collapsed="false">
      <c r="B25" s="52" t="s">
        <v>36</v>
      </c>
      <c r="C25" s="53" t="n">
        <v>515</v>
      </c>
      <c r="D25" s="36" t="n">
        <v>6</v>
      </c>
      <c r="E25" s="54" t="n">
        <v>-0.988349514563107</v>
      </c>
      <c r="F25" s="36" t="n">
        <v>1920</v>
      </c>
      <c r="G25" s="55" t="n">
        <v>0.533854166666667</v>
      </c>
      <c r="H25" s="46" t="s">
        <v>97</v>
      </c>
    </row>
    <row r="26" customFormat="false" ht="15.75" hidden="false" customHeight="true" outlineLevel="0" collapsed="false">
      <c r="B26" s="56" t="s">
        <v>37</v>
      </c>
      <c r="C26" s="57" t="n">
        <v>29744</v>
      </c>
      <c r="D26" s="33" t="n">
        <v>150</v>
      </c>
      <c r="E26" s="54" t="n">
        <v>-0.994956966110812</v>
      </c>
      <c r="F26" s="33" t="n">
        <v>206247</v>
      </c>
      <c r="G26" s="58" t="n">
        <v>0.385494092035278</v>
      </c>
      <c r="H26" s="59" t="s">
        <v>98</v>
      </c>
    </row>
    <row r="27" customFormat="false" ht="15.75" hidden="false" customHeight="true" outlineLevel="0" collapsed="false">
      <c r="B27" s="56" t="s">
        <v>38</v>
      </c>
      <c r="C27" s="57" t="n">
        <v>28247</v>
      </c>
      <c r="D27" s="33" t="n">
        <v>74</v>
      </c>
      <c r="E27" s="54" t="n">
        <v>-0.997380252770206</v>
      </c>
      <c r="F27" s="33" t="n">
        <v>132014</v>
      </c>
      <c r="G27" s="58" t="n">
        <v>0.456853061038981</v>
      </c>
      <c r="H27" s="59" t="s">
        <v>98</v>
      </c>
    </row>
    <row r="28" customFormat="false" ht="15.75" hidden="false" customHeight="true" outlineLevel="0" collapsed="false">
      <c r="B28" s="52" t="s">
        <v>39</v>
      </c>
      <c r="C28" s="53" t="n">
        <v>1048</v>
      </c>
      <c r="D28" s="36" t="n">
        <v>1</v>
      </c>
      <c r="E28" s="54" t="n">
        <v>-0.999045801526718</v>
      </c>
      <c r="F28" s="36" t="n">
        <v>3301</v>
      </c>
      <c r="G28" s="55" t="n">
        <v>0.657982429566798</v>
      </c>
      <c r="H28" s="46" t="s">
        <v>97</v>
      </c>
    </row>
    <row r="29" customFormat="false" ht="15.75" hidden="false" customHeight="true" outlineLevel="0" collapsed="false">
      <c r="B29" s="56" t="s">
        <v>40</v>
      </c>
      <c r="C29" s="57" t="n">
        <v>84719</v>
      </c>
      <c r="D29" s="33" t="n">
        <v>196</v>
      </c>
      <c r="E29" s="54" t="n">
        <v>-0.997686469387032</v>
      </c>
      <c r="F29" s="33" t="n">
        <v>428387</v>
      </c>
      <c r="G29" s="58" t="n">
        <v>0.514319995704818</v>
      </c>
      <c r="H29" s="59" t="s">
        <v>98</v>
      </c>
    </row>
    <row r="30" customFormat="false" ht="15.75" hidden="false" customHeight="true" outlineLevel="0" collapsed="false">
      <c r="B30" s="52" t="s">
        <v>41</v>
      </c>
      <c r="C30" s="53" t="n">
        <v>3056</v>
      </c>
      <c r="D30" s="36" t="n">
        <v>5</v>
      </c>
      <c r="E30" s="54" t="n">
        <v>-0.99836387434555</v>
      </c>
      <c r="F30" s="36" t="n">
        <v>13797</v>
      </c>
      <c r="G30" s="55" t="n">
        <v>0.450677683554396</v>
      </c>
      <c r="H30" s="46" t="s">
        <v>97</v>
      </c>
    </row>
    <row r="31" customFormat="false" ht="36" hidden="false" customHeight="true" outlineLevel="0" collapsed="false">
      <c r="B31" s="50" t="s">
        <v>99</v>
      </c>
      <c r="C31" s="50"/>
      <c r="D31" s="50"/>
      <c r="E31" s="50"/>
      <c r="F31" s="50"/>
      <c r="G31" s="50"/>
      <c r="H31" s="50"/>
    </row>
  </sheetData>
  <mergeCells count="3">
    <mergeCell ref="B1:H1"/>
    <mergeCell ref="B2:H2"/>
    <mergeCell ref="B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11" min="3" style="1" width="10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4" min="14" style="1" width="16"/>
  </cols>
  <sheetData>
    <row r="1" customFormat="false" ht="21.75" hidden="false" customHeight="true" outlineLevel="0" collapsed="false">
      <c r="B1" s="17" t="s">
        <v>100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customFormat="false" ht="19.5" hidden="false" customHeight="true" outlineLevel="0" collapsed="false">
      <c r="B2" s="18" t="s">
        <v>101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customFormat="false" ht="21.75" hidden="false" customHeight="true" outlineLevel="0" collapsed="false"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9" t="s">
        <v>9</v>
      </c>
      <c r="J3" s="46" t="s">
        <v>10</v>
      </c>
      <c r="K3" s="5" t="s">
        <v>11</v>
      </c>
      <c r="L3" s="4" t="s">
        <v>13</v>
      </c>
      <c r="M3" s="6" t="s">
        <v>14</v>
      </c>
      <c r="N3" s="60" t="s">
        <v>102</v>
      </c>
    </row>
    <row r="4" customFormat="false" ht="15.75" hidden="false" customHeight="true" outlineLevel="0" collapsed="false">
      <c r="B4" s="7" t="s">
        <v>15</v>
      </c>
      <c r="C4" s="8" t="n">
        <v>225</v>
      </c>
      <c r="D4" s="8" t="n">
        <v>381</v>
      </c>
      <c r="E4" s="8" t="n">
        <v>309</v>
      </c>
      <c r="F4" s="8" t="n">
        <v>220</v>
      </c>
      <c r="G4" s="8" t="n">
        <v>225</v>
      </c>
      <c r="H4" s="8" t="n">
        <v>118</v>
      </c>
      <c r="I4" s="33" t="n">
        <v>143</v>
      </c>
      <c r="J4" s="36" t="n">
        <v>130</v>
      </c>
      <c r="K4" s="8" t="n">
        <v>98</v>
      </c>
      <c r="L4" s="9" t="n">
        <f aca="false">SUM(C4:K4)</f>
        <v>1849</v>
      </c>
      <c r="M4" s="10" t="n">
        <f aca="false">(J4-I4)/I4</f>
        <v>-0.0909090909090909</v>
      </c>
      <c r="N4" s="61" t="n">
        <v>15.8</v>
      </c>
    </row>
    <row r="5" customFormat="false" ht="15.75" hidden="false" customHeight="true" outlineLevel="0" collapsed="false">
      <c r="B5" s="11" t="s">
        <v>16</v>
      </c>
      <c r="C5" s="12" t="n">
        <v>1546</v>
      </c>
      <c r="D5" s="12" t="n">
        <v>1538</v>
      </c>
      <c r="E5" s="12" t="n">
        <v>1199</v>
      </c>
      <c r="F5" s="12" t="n">
        <v>857</v>
      </c>
      <c r="G5" s="12" t="n">
        <v>864</v>
      </c>
      <c r="H5" s="12" t="n">
        <v>733</v>
      </c>
      <c r="I5" s="62" t="n">
        <v>828</v>
      </c>
      <c r="J5" s="63" t="n">
        <v>890</v>
      </c>
      <c r="K5" s="12" t="n">
        <v>889</v>
      </c>
      <c r="L5" s="13" t="n">
        <f aca="false">SUM(C5:K5)</f>
        <v>9344</v>
      </c>
      <c r="M5" s="10" t="n">
        <f aca="false">(J5-I5)/I5</f>
        <v>0.0748792270531401</v>
      </c>
      <c r="N5" s="61" t="n">
        <v>24.6</v>
      </c>
    </row>
    <row r="6" customFormat="false" ht="15.75" hidden="false" customHeight="true" outlineLevel="0" collapsed="false">
      <c r="B6" s="7" t="s">
        <v>17</v>
      </c>
      <c r="C6" s="8" t="n">
        <v>792</v>
      </c>
      <c r="D6" s="8" t="n">
        <v>969</v>
      </c>
      <c r="E6" s="8" t="n">
        <v>956</v>
      </c>
      <c r="F6" s="8" t="n">
        <v>980</v>
      </c>
      <c r="G6" s="8" t="n">
        <v>782</v>
      </c>
      <c r="H6" s="8" t="n">
        <v>1278</v>
      </c>
      <c r="I6" s="33" t="n">
        <v>1195</v>
      </c>
      <c r="J6" s="36" t="n">
        <v>1052</v>
      </c>
      <c r="K6" s="8" t="n">
        <v>758</v>
      </c>
      <c r="L6" s="9" t="n">
        <f aca="false">SUM(C6:K6)</f>
        <v>8762</v>
      </c>
      <c r="M6" s="10" t="n">
        <f aca="false">(J6-I6)/I6</f>
        <v>-0.119665271966527</v>
      </c>
      <c r="N6" s="61" t="n">
        <v>28</v>
      </c>
    </row>
    <row r="7" customFormat="false" ht="15.75" hidden="false" customHeight="true" outlineLevel="0" collapsed="false">
      <c r="B7" s="11" t="s">
        <v>18</v>
      </c>
      <c r="C7" s="12" t="n">
        <v>216</v>
      </c>
      <c r="D7" s="12" t="n">
        <v>178</v>
      </c>
      <c r="E7" s="12" t="n">
        <v>239</v>
      </c>
      <c r="F7" s="12" t="n">
        <v>232</v>
      </c>
      <c r="G7" s="12" t="n">
        <v>222</v>
      </c>
      <c r="H7" s="12" t="n">
        <v>311</v>
      </c>
      <c r="I7" s="62" t="n">
        <v>235</v>
      </c>
      <c r="J7" s="63" t="n">
        <v>303</v>
      </c>
      <c r="K7" s="12" t="n">
        <v>196</v>
      </c>
      <c r="L7" s="13" t="n">
        <f aca="false">SUM(C7:K7)</f>
        <v>2132</v>
      </c>
      <c r="M7" s="10" t="n">
        <f aca="false">(J7-I7)/I7</f>
        <v>0.28936170212766</v>
      </c>
      <c r="N7" s="61" t="n">
        <v>26.8</v>
      </c>
    </row>
    <row r="8" customFormat="false" ht="15.75" hidden="false" customHeight="true" outlineLevel="0" collapsed="false">
      <c r="B8" s="7" t="s">
        <v>19</v>
      </c>
      <c r="C8" s="8" t="n">
        <v>5442</v>
      </c>
      <c r="D8" s="8" t="n">
        <v>5416</v>
      </c>
      <c r="E8" s="8" t="n">
        <v>4958</v>
      </c>
      <c r="F8" s="8" t="n">
        <v>4586</v>
      </c>
      <c r="G8" s="8" t="n">
        <v>5082</v>
      </c>
      <c r="H8" s="8" t="n">
        <v>5290</v>
      </c>
      <c r="I8" s="33" t="n">
        <v>4825</v>
      </c>
      <c r="J8" s="36" t="n">
        <v>4749</v>
      </c>
      <c r="K8" s="8" t="n">
        <v>3777</v>
      </c>
      <c r="L8" s="9" t="n">
        <f aca="false">SUM(C8:K8)</f>
        <v>44125</v>
      </c>
      <c r="M8" s="10" t="n">
        <f aca="false">(J8-I8)/I8</f>
        <v>-0.0157512953367876</v>
      </c>
      <c r="N8" s="64" t="n">
        <v>32.4</v>
      </c>
    </row>
    <row r="9" customFormat="false" ht="15.75" hidden="false" customHeight="true" outlineLevel="0" collapsed="false">
      <c r="B9" s="11" t="s">
        <v>20</v>
      </c>
      <c r="C9" s="12" t="n">
        <v>2892</v>
      </c>
      <c r="D9" s="12" t="n">
        <v>4695</v>
      </c>
      <c r="E9" s="12" t="n">
        <v>4220</v>
      </c>
      <c r="F9" s="12" t="n">
        <v>1885</v>
      </c>
      <c r="G9" s="12" t="n">
        <v>3434</v>
      </c>
      <c r="H9" s="12" t="n">
        <v>2966</v>
      </c>
      <c r="I9" s="62" t="n">
        <v>2474</v>
      </c>
      <c r="J9" s="63" t="n">
        <v>2513</v>
      </c>
      <c r="K9" s="12" t="n">
        <v>2705</v>
      </c>
      <c r="L9" s="13" t="n">
        <f aca="false">SUM(C9:K9)</f>
        <v>27784</v>
      </c>
      <c r="M9" s="10" t="n">
        <f aca="false">(J9-I9)/I9</f>
        <v>0.0157639450282943</v>
      </c>
      <c r="N9" s="61" t="n">
        <v>26.8</v>
      </c>
    </row>
    <row r="10" customFormat="false" ht="15.75" hidden="false" customHeight="true" outlineLevel="0" collapsed="false">
      <c r="B10" s="7" t="s">
        <v>21</v>
      </c>
      <c r="C10" s="8" t="n">
        <v>541</v>
      </c>
      <c r="D10" s="8" t="n">
        <v>405</v>
      </c>
      <c r="E10" s="8" t="n">
        <v>340</v>
      </c>
      <c r="F10" s="8" t="n">
        <v>267</v>
      </c>
      <c r="G10" s="8" t="n">
        <v>253</v>
      </c>
      <c r="H10" s="8" t="n">
        <v>193</v>
      </c>
      <c r="I10" s="33" t="n">
        <v>179</v>
      </c>
      <c r="J10" s="36" t="n">
        <v>132</v>
      </c>
      <c r="K10" s="8" t="n">
        <v>110</v>
      </c>
      <c r="L10" s="9" t="n">
        <f aca="false">SUM(C10:K10)</f>
        <v>2420</v>
      </c>
      <c r="M10" s="10" t="n">
        <f aca="false">(J10-I10)/I10</f>
        <v>-0.262569832402235</v>
      </c>
      <c r="N10" s="65" t="n">
        <v>5.8</v>
      </c>
    </row>
    <row r="11" customFormat="false" ht="15.75" hidden="false" customHeight="true" outlineLevel="0" collapsed="false">
      <c r="B11" s="11" t="s">
        <v>22</v>
      </c>
      <c r="C11" s="12" t="n">
        <v>965</v>
      </c>
      <c r="D11" s="12" t="n">
        <v>1234</v>
      </c>
      <c r="E11" s="12" t="n">
        <v>885</v>
      </c>
      <c r="F11" s="12" t="n">
        <v>777</v>
      </c>
      <c r="G11" s="12" t="n">
        <v>934</v>
      </c>
      <c r="H11" s="12" t="n">
        <v>908</v>
      </c>
      <c r="I11" s="62" t="n">
        <v>860</v>
      </c>
      <c r="J11" s="63" t="n">
        <v>842</v>
      </c>
      <c r="K11" s="12" t="n">
        <v>744</v>
      </c>
      <c r="L11" s="13" t="n">
        <f aca="false">SUM(C11:K11)</f>
        <v>8149</v>
      </c>
      <c r="M11" s="10" t="n">
        <f aca="false">(J11-I11)/I11</f>
        <v>-0.0209302325581395</v>
      </c>
      <c r="N11" s="61" t="n">
        <v>20.9</v>
      </c>
    </row>
    <row r="12" customFormat="false" ht="15.75" hidden="false" customHeight="true" outlineLevel="0" collapsed="false">
      <c r="B12" s="7" t="s">
        <v>23</v>
      </c>
      <c r="C12" s="8" t="n">
        <v>2133</v>
      </c>
      <c r="D12" s="8" t="n">
        <v>2060</v>
      </c>
      <c r="E12" s="8" t="n">
        <v>1885</v>
      </c>
      <c r="F12" s="8" t="n">
        <v>1476</v>
      </c>
      <c r="G12" s="8" t="n">
        <v>1413</v>
      </c>
      <c r="H12" s="8" t="n">
        <v>1017</v>
      </c>
      <c r="I12" s="33" t="n">
        <v>946</v>
      </c>
      <c r="J12" s="36" t="n">
        <v>840</v>
      </c>
      <c r="K12" s="8" t="n">
        <v>634</v>
      </c>
      <c r="L12" s="9" t="n">
        <f aca="false">SUM(C12:K12)</f>
        <v>12404</v>
      </c>
      <c r="M12" s="10" t="n">
        <f aca="false">(J12-I12)/I12</f>
        <v>-0.112050739957717</v>
      </c>
      <c r="N12" s="65" t="n">
        <v>13.1</v>
      </c>
    </row>
    <row r="13" customFormat="false" ht="15.75" hidden="false" customHeight="true" outlineLevel="0" collapsed="false">
      <c r="B13" s="11" t="s">
        <v>24</v>
      </c>
      <c r="C13" s="12" t="n">
        <v>1625</v>
      </c>
      <c r="D13" s="12" t="n">
        <v>1474</v>
      </c>
      <c r="E13" s="12" t="n">
        <v>1257</v>
      </c>
      <c r="F13" s="12" t="n">
        <v>1061</v>
      </c>
      <c r="G13" s="12" t="n">
        <v>1426</v>
      </c>
      <c r="H13" s="12" t="n">
        <v>1439</v>
      </c>
      <c r="I13" s="62" t="n">
        <v>1322</v>
      </c>
      <c r="J13" s="63" t="n">
        <v>1437</v>
      </c>
      <c r="K13" s="12" t="n">
        <v>1572</v>
      </c>
      <c r="L13" s="13" t="n">
        <f aca="false">SUM(C13:K13)</f>
        <v>12613</v>
      </c>
      <c r="M13" s="10" t="n">
        <f aca="false">(J13-I13)/I13</f>
        <v>0.0869894099848714</v>
      </c>
      <c r="N13" s="61" t="n">
        <v>18.5</v>
      </c>
    </row>
    <row r="14" customFormat="false" ht="15.75" hidden="false" customHeight="true" outlineLevel="0" collapsed="false">
      <c r="B14" s="7" t="s">
        <v>25</v>
      </c>
      <c r="C14" s="8" t="n">
        <v>3310</v>
      </c>
      <c r="D14" s="8" t="n">
        <v>3060</v>
      </c>
      <c r="E14" s="8" t="n">
        <v>2234</v>
      </c>
      <c r="F14" s="8" t="n">
        <v>1869</v>
      </c>
      <c r="G14" s="8" t="n">
        <v>1692</v>
      </c>
      <c r="H14" s="8" t="n">
        <v>1588</v>
      </c>
      <c r="I14" s="33" t="n">
        <v>1737</v>
      </c>
      <c r="J14" s="36" t="n">
        <v>1749</v>
      </c>
      <c r="K14" s="8" t="n">
        <v>1682</v>
      </c>
      <c r="L14" s="9" t="n">
        <f aca="false">SUM(C14:K14)</f>
        <v>18921</v>
      </c>
      <c r="M14" s="10" t="n">
        <f aca="false">(J14-I14)/I14</f>
        <v>0.00690846286701209</v>
      </c>
      <c r="N14" s="65" t="n">
        <v>8.1</v>
      </c>
    </row>
    <row r="15" customFormat="false" ht="15.75" hidden="false" customHeight="true" outlineLevel="0" collapsed="false">
      <c r="B15" s="11" t="s">
        <v>26</v>
      </c>
      <c r="C15" s="12" t="n">
        <v>328</v>
      </c>
      <c r="D15" s="12" t="n">
        <v>318</v>
      </c>
      <c r="E15" s="12" t="n">
        <v>246</v>
      </c>
      <c r="F15" s="12" t="n">
        <v>231</v>
      </c>
      <c r="G15" s="12" t="n">
        <v>215</v>
      </c>
      <c r="H15" s="12" t="n">
        <v>269</v>
      </c>
      <c r="I15" s="62" t="n">
        <v>249</v>
      </c>
      <c r="J15" s="63" t="n">
        <v>227</v>
      </c>
      <c r="K15" s="12" t="n">
        <v>217</v>
      </c>
      <c r="L15" s="13" t="n">
        <f aca="false">SUM(C15:K15)</f>
        <v>2300</v>
      </c>
      <c r="M15" s="10" t="n">
        <f aca="false">(J15-I15)/I15</f>
        <v>-0.0883534136546185</v>
      </c>
      <c r="N15" s="65" t="n">
        <v>8.8</v>
      </c>
    </row>
    <row r="16" customFormat="false" ht="15.75" hidden="false" customHeight="true" outlineLevel="0" collapsed="false">
      <c r="B16" s="7" t="s">
        <v>27</v>
      </c>
      <c r="C16" s="8" t="n">
        <v>757</v>
      </c>
      <c r="D16" s="8" t="n">
        <v>675</v>
      </c>
      <c r="E16" s="8" t="n">
        <v>562</v>
      </c>
      <c r="F16" s="8" t="n">
        <v>506</v>
      </c>
      <c r="G16" s="8" t="n">
        <v>594</v>
      </c>
      <c r="H16" s="8" t="n">
        <v>556</v>
      </c>
      <c r="I16" s="33" t="n">
        <v>676</v>
      </c>
      <c r="J16" s="36" t="n">
        <v>765</v>
      </c>
      <c r="K16" s="8" t="n">
        <v>693</v>
      </c>
      <c r="L16" s="9" t="n">
        <f aca="false">SUM(C16:K16)</f>
        <v>5784</v>
      </c>
      <c r="M16" s="10" t="n">
        <f aca="false">(J16-I16)/I16</f>
        <v>0.131656804733728</v>
      </c>
      <c r="N16" s="61" t="n">
        <v>18.5</v>
      </c>
    </row>
    <row r="17" customFormat="false" ht="15.75" hidden="false" customHeight="true" outlineLevel="0" collapsed="false">
      <c r="B17" s="11" t="s">
        <v>28</v>
      </c>
      <c r="C17" s="12" t="n">
        <v>3061</v>
      </c>
      <c r="D17" s="12" t="n">
        <v>3378</v>
      </c>
      <c r="E17" s="12" t="n">
        <v>3461</v>
      </c>
      <c r="F17" s="12" t="n">
        <v>2356</v>
      </c>
      <c r="G17" s="12" t="n">
        <v>1899</v>
      </c>
      <c r="H17" s="12" t="n">
        <v>1959</v>
      </c>
      <c r="I17" s="62" t="n">
        <v>2039</v>
      </c>
      <c r="J17" s="63" t="n">
        <v>1765</v>
      </c>
      <c r="K17" s="12" t="n">
        <v>1560</v>
      </c>
      <c r="L17" s="13" t="n">
        <f aca="false">SUM(C17:K17)</f>
        <v>21478</v>
      </c>
      <c r="M17" s="10" t="n">
        <f aca="false">(J17-I17)/I17</f>
        <v>-0.134379597842079</v>
      </c>
      <c r="N17" s="61" t="n">
        <v>23.2</v>
      </c>
    </row>
    <row r="18" customFormat="false" ht="15.75" hidden="false" customHeight="true" outlineLevel="0" collapsed="false">
      <c r="B18" s="7" t="s">
        <v>29</v>
      </c>
      <c r="C18" s="8" t="n">
        <v>1064</v>
      </c>
      <c r="D18" s="8" t="n">
        <v>1038</v>
      </c>
      <c r="E18" s="8" t="n">
        <v>995</v>
      </c>
      <c r="F18" s="8" t="n">
        <v>718</v>
      </c>
      <c r="G18" s="8" t="n">
        <v>923</v>
      </c>
      <c r="H18" s="8" t="n">
        <v>940</v>
      </c>
      <c r="I18" s="33" t="n">
        <v>902</v>
      </c>
      <c r="J18" s="36" t="n">
        <v>896</v>
      </c>
      <c r="K18" s="8" t="n">
        <v>892</v>
      </c>
      <c r="L18" s="9" t="n">
        <f aca="false">SUM(C18:K18)</f>
        <v>8368</v>
      </c>
      <c r="M18" s="10" t="n">
        <f aca="false">(J18-I18)/I18</f>
        <v>-0.00665188470066519</v>
      </c>
      <c r="N18" s="61" t="n">
        <v>22.2</v>
      </c>
    </row>
    <row r="19" customFormat="false" ht="15.75" hidden="false" customHeight="true" outlineLevel="0" collapsed="false">
      <c r="B19" s="11" t="s">
        <v>30</v>
      </c>
      <c r="C19" s="12" t="n">
        <v>3490</v>
      </c>
      <c r="D19" s="12" t="n">
        <v>4495</v>
      </c>
      <c r="E19" s="12" t="n">
        <v>3378</v>
      </c>
      <c r="F19" s="12" t="n">
        <v>2699</v>
      </c>
      <c r="G19" s="12" t="n">
        <v>3063</v>
      </c>
      <c r="H19" s="12" t="n">
        <v>2793</v>
      </c>
      <c r="I19" s="62" t="n">
        <v>2766</v>
      </c>
      <c r="J19" s="63" t="n">
        <v>2997</v>
      </c>
      <c r="K19" s="12" t="n">
        <v>2775</v>
      </c>
      <c r="L19" s="13" t="n">
        <f aca="false">SUM(C19:K19)</f>
        <v>28456</v>
      </c>
      <c r="M19" s="10" t="n">
        <f aca="false">(J19-I19)/I19</f>
        <v>0.0835140997830803</v>
      </c>
      <c r="N19" s="61" t="n">
        <v>28.6</v>
      </c>
    </row>
    <row r="20" customFormat="false" ht="15.75" hidden="false" customHeight="true" outlineLevel="0" collapsed="false">
      <c r="B20" s="7" t="s">
        <v>31</v>
      </c>
      <c r="C20" s="8" t="n">
        <v>448</v>
      </c>
      <c r="D20" s="8" t="n">
        <v>385</v>
      </c>
      <c r="E20" s="8" t="n">
        <v>385</v>
      </c>
      <c r="F20" s="8" t="n">
        <v>352</v>
      </c>
      <c r="G20" s="8" t="n">
        <v>456</v>
      </c>
      <c r="H20" s="8" t="n">
        <v>566</v>
      </c>
      <c r="I20" s="33" t="n">
        <v>607</v>
      </c>
      <c r="J20" s="36" t="n">
        <v>523</v>
      </c>
      <c r="K20" s="8" t="n">
        <v>483</v>
      </c>
      <c r="L20" s="9" t="n">
        <f aca="false">SUM(C20:K20)</f>
        <v>4205</v>
      </c>
      <c r="M20" s="10" t="n">
        <f aca="false">(J20-I20)/I20</f>
        <v>-0.13838550247117</v>
      </c>
      <c r="N20" s="61" t="n">
        <v>18.5</v>
      </c>
    </row>
    <row r="21" customFormat="false" ht="15.75" hidden="false" customHeight="true" outlineLevel="0" collapsed="false">
      <c r="B21" s="11" t="s">
        <v>32</v>
      </c>
      <c r="C21" s="12" t="n">
        <v>2131</v>
      </c>
      <c r="D21" s="12" t="n">
        <v>1837</v>
      </c>
      <c r="E21" s="12" t="n">
        <v>1526</v>
      </c>
      <c r="F21" s="12" t="n">
        <v>1182</v>
      </c>
      <c r="G21" s="12" t="n">
        <v>1407</v>
      </c>
      <c r="H21" s="12" t="n">
        <v>1377</v>
      </c>
      <c r="I21" s="62" t="n">
        <v>1501</v>
      </c>
      <c r="J21" s="63" t="n">
        <v>1252</v>
      </c>
      <c r="K21" s="12" t="n">
        <v>1095</v>
      </c>
      <c r="L21" s="13" t="n">
        <f aca="false">SUM(C21:K21)</f>
        <v>13308</v>
      </c>
      <c r="M21" s="10" t="n">
        <f aca="false">(J21-I21)/I21</f>
        <v>-0.165889407061959</v>
      </c>
      <c r="N21" s="65" t="n">
        <v>12.7</v>
      </c>
    </row>
    <row r="22" customFormat="false" ht="15.75" hidden="false" customHeight="true" outlineLevel="0" collapsed="false">
      <c r="B22" s="7" t="s">
        <v>33</v>
      </c>
      <c r="C22" s="8" t="n">
        <v>4036</v>
      </c>
      <c r="D22" s="8" t="n">
        <v>4419</v>
      </c>
      <c r="E22" s="8" t="n">
        <v>4267</v>
      </c>
      <c r="F22" s="8" t="n">
        <v>2311</v>
      </c>
      <c r="G22" s="8" t="n">
        <v>2744</v>
      </c>
      <c r="H22" s="8" t="n">
        <v>3000</v>
      </c>
      <c r="I22" s="33" t="n">
        <v>2438</v>
      </c>
      <c r="J22" s="36" t="n">
        <v>2584</v>
      </c>
      <c r="K22" s="8" t="n">
        <v>2033</v>
      </c>
      <c r="L22" s="9" t="n">
        <f aca="false">SUM(C22:K22)</f>
        <v>27832</v>
      </c>
      <c r="M22" s="10" t="n">
        <f aca="false">(J22-I22)/I22</f>
        <v>0.0598851517637408</v>
      </c>
      <c r="N22" s="65" t="n">
        <v>14</v>
      </c>
    </row>
    <row r="23" customFormat="false" ht="15.75" hidden="false" customHeight="true" outlineLevel="0" collapsed="false">
      <c r="B23" s="11" t="s">
        <v>34</v>
      </c>
      <c r="C23" s="12" t="n">
        <v>1568</v>
      </c>
      <c r="D23" s="12" t="n">
        <v>1924</v>
      </c>
      <c r="E23" s="12" t="n">
        <v>1641</v>
      </c>
      <c r="F23" s="12" t="n">
        <v>1177</v>
      </c>
      <c r="G23" s="12" t="n">
        <v>1230</v>
      </c>
      <c r="H23" s="12" t="n">
        <v>1014</v>
      </c>
      <c r="I23" s="62" t="n">
        <v>965</v>
      </c>
      <c r="J23" s="63" t="n">
        <v>706</v>
      </c>
      <c r="K23" s="12" t="n">
        <v>606</v>
      </c>
      <c r="L23" s="13" t="n">
        <f aca="false">SUM(C23:K23)</f>
        <v>10831</v>
      </c>
      <c r="M23" s="10" t="n">
        <f aca="false">(J23-I23)/I23</f>
        <v>-0.26839378238342</v>
      </c>
      <c r="N23" s="61" t="n">
        <v>27.1</v>
      </c>
    </row>
    <row r="24" customFormat="false" ht="15.75" hidden="false" customHeight="true" outlineLevel="0" collapsed="false">
      <c r="B24" s="7" t="s">
        <v>35</v>
      </c>
      <c r="C24" s="8" t="n">
        <v>465</v>
      </c>
      <c r="D24" s="8" t="n">
        <v>376</v>
      </c>
      <c r="E24" s="8" t="n">
        <v>302</v>
      </c>
      <c r="F24" s="8" t="n">
        <v>258</v>
      </c>
      <c r="G24" s="8" t="n">
        <v>256</v>
      </c>
      <c r="H24" s="8" t="n">
        <v>324</v>
      </c>
      <c r="I24" s="33" t="n">
        <v>378</v>
      </c>
      <c r="J24" s="36" t="n">
        <v>327</v>
      </c>
      <c r="K24" s="8" t="n">
        <v>331</v>
      </c>
      <c r="L24" s="9" t="n">
        <f aca="false">SUM(C24:K24)</f>
        <v>3017</v>
      </c>
      <c r="M24" s="10" t="n">
        <f aca="false">(J24-I24)/I24</f>
        <v>-0.134920634920635</v>
      </c>
      <c r="N24" s="61" t="n">
        <v>20.8</v>
      </c>
    </row>
    <row r="25" customFormat="false" ht="15.75" hidden="false" customHeight="true" outlineLevel="0" collapsed="false">
      <c r="B25" s="11" t="s">
        <v>36</v>
      </c>
      <c r="C25" s="12" t="n">
        <v>70</v>
      </c>
      <c r="D25" s="12" t="n">
        <v>96</v>
      </c>
      <c r="E25" s="12" t="n">
        <v>182</v>
      </c>
      <c r="F25" s="12" t="n">
        <v>83</v>
      </c>
      <c r="G25" s="12" t="n">
        <v>101</v>
      </c>
      <c r="H25" s="12" t="n">
        <v>105</v>
      </c>
      <c r="I25" s="62" t="n">
        <v>103</v>
      </c>
      <c r="J25" s="63" t="n">
        <v>105</v>
      </c>
      <c r="K25" s="12" t="n">
        <v>69</v>
      </c>
      <c r="L25" s="13" t="n">
        <f aca="false">SUM(C25:K25)</f>
        <v>914</v>
      </c>
      <c r="M25" s="10" t="n">
        <f aca="false">(J25-I25)/I25</f>
        <v>0.0194174757281553</v>
      </c>
      <c r="N25" s="61" t="n">
        <v>15.8</v>
      </c>
    </row>
    <row r="26" customFormat="false" ht="15.75" hidden="false" customHeight="true" outlineLevel="0" collapsed="false">
      <c r="B26" s="7" t="s">
        <v>37</v>
      </c>
      <c r="C26" s="8" t="n">
        <v>2506</v>
      </c>
      <c r="D26" s="8" t="n">
        <v>2582</v>
      </c>
      <c r="E26" s="8" t="n">
        <v>2069</v>
      </c>
      <c r="F26" s="8" t="n">
        <v>1599</v>
      </c>
      <c r="G26" s="8" t="n">
        <v>1537</v>
      </c>
      <c r="H26" s="8" t="n">
        <v>1378</v>
      </c>
      <c r="I26" s="33" t="n">
        <v>1478</v>
      </c>
      <c r="J26" s="36" t="n">
        <v>1407</v>
      </c>
      <c r="K26" s="8" t="n">
        <v>1227</v>
      </c>
      <c r="L26" s="9" t="n">
        <f aca="false">SUM(C26:K26)</f>
        <v>15783</v>
      </c>
      <c r="M26" s="10" t="n">
        <f aca="false">(J26-I26)/I26</f>
        <v>-0.0480378890392422</v>
      </c>
      <c r="N26" s="65" t="n">
        <v>12.9</v>
      </c>
    </row>
    <row r="27" customFormat="false" ht="15.75" hidden="false" customHeight="true" outlineLevel="0" collapsed="false">
      <c r="B27" s="11" t="s">
        <v>38</v>
      </c>
      <c r="C27" s="12" t="n">
        <v>608</v>
      </c>
      <c r="D27" s="12" t="n">
        <v>669</v>
      </c>
      <c r="E27" s="12" t="n">
        <v>449</v>
      </c>
      <c r="F27" s="12" t="n">
        <v>395</v>
      </c>
      <c r="G27" s="12" t="n">
        <v>382</v>
      </c>
      <c r="H27" s="12" t="n">
        <v>380</v>
      </c>
      <c r="I27" s="62" t="n">
        <v>313</v>
      </c>
      <c r="J27" s="63" t="n">
        <v>297</v>
      </c>
      <c r="K27" s="12" t="n">
        <v>305</v>
      </c>
      <c r="L27" s="13" t="n">
        <f aca="false">SUM(C27:K27)</f>
        <v>3798</v>
      </c>
      <c r="M27" s="10" t="n">
        <f aca="false">(J27-I27)/I27</f>
        <v>-0.0511182108626198</v>
      </c>
      <c r="N27" s="65" t="n">
        <v>4</v>
      </c>
    </row>
    <row r="28" customFormat="false" ht="15.75" hidden="false" customHeight="true" outlineLevel="0" collapsed="false">
      <c r="B28" s="7" t="s">
        <v>39</v>
      </c>
      <c r="C28" s="8" t="n">
        <v>1263</v>
      </c>
      <c r="D28" s="8" t="n">
        <v>1097</v>
      </c>
      <c r="E28" s="8" t="n">
        <v>961</v>
      </c>
      <c r="F28" s="8" t="n">
        <v>780</v>
      </c>
      <c r="G28" s="8" t="n">
        <v>823</v>
      </c>
      <c r="H28" s="8" t="n">
        <v>664</v>
      </c>
      <c r="I28" s="33" t="n">
        <v>654</v>
      </c>
      <c r="J28" s="36" t="n">
        <v>572</v>
      </c>
      <c r="K28" s="8" t="n">
        <v>396</v>
      </c>
      <c r="L28" s="9" t="n">
        <f aca="false">SUM(C28:K28)</f>
        <v>7210</v>
      </c>
      <c r="M28" s="10" t="n">
        <f aca="false">(J28-I28)/I28</f>
        <v>-0.125382262996942</v>
      </c>
      <c r="N28" s="61" t="n">
        <v>28</v>
      </c>
    </row>
    <row r="29" customFormat="false" ht="15.75" hidden="false" customHeight="true" outlineLevel="0" collapsed="false">
      <c r="B29" s="11" t="s">
        <v>40</v>
      </c>
      <c r="C29" s="12" t="n">
        <v>2690</v>
      </c>
      <c r="D29" s="12" t="n">
        <v>2490</v>
      </c>
      <c r="E29" s="12" t="n">
        <v>1966</v>
      </c>
      <c r="F29" s="12" t="n">
        <v>1721</v>
      </c>
      <c r="G29" s="12" t="n">
        <v>1762</v>
      </c>
      <c r="H29" s="12" t="n">
        <v>1622</v>
      </c>
      <c r="I29" s="62" t="n">
        <v>1649</v>
      </c>
      <c r="J29" s="63" t="n">
        <v>1462</v>
      </c>
      <c r="K29" s="12" t="n">
        <v>1440</v>
      </c>
      <c r="L29" s="13" t="n">
        <f aca="false">SUM(C29:K29)</f>
        <v>16802</v>
      </c>
      <c r="M29" s="10" t="n">
        <f aca="false">(J29-I29)/I29</f>
        <v>-0.11340206185567</v>
      </c>
      <c r="N29" s="65" t="n">
        <v>3.5</v>
      </c>
    </row>
    <row r="30" customFormat="false" ht="15.75" hidden="false" customHeight="true" outlineLevel="0" collapsed="false">
      <c r="B30" s="7" t="s">
        <v>41</v>
      </c>
      <c r="C30" s="8" t="n">
        <v>303</v>
      </c>
      <c r="D30" s="8" t="n">
        <v>321</v>
      </c>
      <c r="E30" s="8" t="n">
        <v>307</v>
      </c>
      <c r="F30" s="8" t="n">
        <v>247</v>
      </c>
      <c r="G30" s="8" t="n">
        <v>275</v>
      </c>
      <c r="H30" s="8" t="n">
        <v>251</v>
      </c>
      <c r="I30" s="33" t="n">
        <v>248</v>
      </c>
      <c r="J30" s="36" t="n">
        <v>267</v>
      </c>
      <c r="K30" s="8" t="n">
        <v>136</v>
      </c>
      <c r="L30" s="9" t="n">
        <f aca="false">SUM(C30:K30)</f>
        <v>2355</v>
      </c>
      <c r="M30" s="10" t="n">
        <f aca="false">(J30-I30)/I30</f>
        <v>0.0766129032258065</v>
      </c>
      <c r="N30" s="61" t="n">
        <v>15.4</v>
      </c>
    </row>
    <row r="31" customFormat="false" ht="18" hidden="false" customHeight="true" outlineLevel="0" collapsed="false">
      <c r="B31" s="14" t="s">
        <v>42</v>
      </c>
      <c r="C31" s="15" t="n">
        <f aca="false">SUM(C4:C30)</f>
        <v>44475</v>
      </c>
      <c r="D31" s="15" t="n">
        <f aca="false">SUM(D4:D30)</f>
        <v>47510</v>
      </c>
      <c r="E31" s="15" t="n">
        <f aca="false">SUM(E4:E30)</f>
        <v>41179</v>
      </c>
      <c r="F31" s="15" t="n">
        <f aca="false">SUM(F4:F30)</f>
        <v>30825</v>
      </c>
      <c r="G31" s="15" t="n">
        <f aca="false">SUM(G4:G30)</f>
        <v>33994</v>
      </c>
      <c r="H31" s="15" t="n">
        <f aca="false">SUM(H4:H30)</f>
        <v>33039</v>
      </c>
      <c r="I31" s="15" t="n">
        <f aca="false">SUM(I4:I30)</f>
        <v>31710</v>
      </c>
      <c r="J31" s="15" t="n">
        <f aca="false">SUM(J4:J30)</f>
        <v>30789</v>
      </c>
      <c r="K31" s="15" t="n">
        <f aca="false">SUM(K4:K30)</f>
        <v>27423</v>
      </c>
      <c r="L31" s="15" t="n">
        <f aca="false">SUM(L4:L30)</f>
        <v>320944</v>
      </c>
      <c r="M31" s="16" t="n">
        <f aca="false">(J31-I31)/I31</f>
        <v>-0.0290444654683065</v>
      </c>
      <c r="N31" s="66" t="n">
        <v>14.8</v>
      </c>
    </row>
    <row r="32" customFormat="false" ht="36" hidden="false" customHeight="true" outlineLevel="0" collapsed="false">
      <c r="B32" s="50" t="s">
        <v>103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</row>
  </sheetData>
  <mergeCells count="3">
    <mergeCell ref="B1:N1"/>
    <mergeCell ref="B2:N2"/>
    <mergeCell ref="B32:N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12" min="3" style="1" width="12"/>
    <col collapsed="false" customWidth="true" hidden="false" outlineLevel="0" max="14" min="13" style="1" width="14"/>
  </cols>
  <sheetData>
    <row r="1" customFormat="false" ht="21.75" hidden="false" customHeight="true" outlineLevel="0" collapsed="false">
      <c r="B1" s="17" t="s">
        <v>104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19.5" hidden="false" customHeight="true" outlineLevel="0" collapsed="false">
      <c r="B2" s="18" t="s">
        <v>105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customFormat="false" ht="21.75" hidden="false" customHeight="true" outlineLevel="0" collapsed="false">
      <c r="B3" s="4" t="s">
        <v>2</v>
      </c>
      <c r="C3" s="67" t="s">
        <v>106</v>
      </c>
      <c r="D3" s="67" t="s">
        <v>107</v>
      </c>
      <c r="E3" s="67" t="s">
        <v>108</v>
      </c>
      <c r="F3" s="67" t="s">
        <v>109</v>
      </c>
      <c r="G3" s="67" t="s">
        <v>110</v>
      </c>
      <c r="H3" s="5" t="s">
        <v>3</v>
      </c>
      <c r="I3" s="5" t="s">
        <v>4</v>
      </c>
      <c r="J3" s="5" t="s">
        <v>5</v>
      </c>
      <c r="K3" s="5" t="s">
        <v>6</v>
      </c>
      <c r="L3" s="5" t="s">
        <v>7</v>
      </c>
      <c r="M3" s="5" t="s">
        <v>8</v>
      </c>
      <c r="N3" s="59" t="s">
        <v>9</v>
      </c>
      <c r="O3" s="46" t="s">
        <v>10</v>
      </c>
      <c r="P3" s="68" t="s">
        <v>111</v>
      </c>
      <c r="Q3" s="6" t="s">
        <v>14</v>
      </c>
      <c r="S3" s="69" t="s">
        <v>112</v>
      </c>
    </row>
    <row r="4" customFormat="false" ht="15.75" hidden="false" customHeight="true" outlineLevel="0" collapsed="false">
      <c r="B4" s="7" t="s">
        <v>15</v>
      </c>
      <c r="H4" s="70" t="n">
        <v>13.8</v>
      </c>
      <c r="I4" s="70" t="n">
        <v>14.3</v>
      </c>
      <c r="J4" s="70" t="n">
        <v>15.3</v>
      </c>
      <c r="K4" s="70" t="n">
        <v>15.6</v>
      </c>
      <c r="L4" s="70" t="n">
        <v>16.5</v>
      </c>
      <c r="M4" s="70" t="n">
        <v>21.4</v>
      </c>
      <c r="N4" s="71" t="n">
        <v>23.7</v>
      </c>
      <c r="O4" s="72" t="n">
        <v>26.3</v>
      </c>
      <c r="P4" s="73" t="n">
        <f aca="false">J4*1.0347</f>
        <v>15.83091</v>
      </c>
      <c r="Q4" s="74" t="n">
        <f aca="false">(J4-I4)/I4</f>
        <v>0.0699300699300699</v>
      </c>
      <c r="S4" s="75" t="n">
        <v>28.4</v>
      </c>
    </row>
    <row r="5" customFormat="false" ht="15.75" hidden="false" customHeight="true" outlineLevel="0" collapsed="false">
      <c r="B5" s="11" t="s">
        <v>16</v>
      </c>
      <c r="H5" s="76" t="n">
        <v>49.5</v>
      </c>
      <c r="I5" s="76" t="n">
        <v>52.9</v>
      </c>
      <c r="J5" s="76" t="n">
        <v>54.4</v>
      </c>
      <c r="K5" s="76" t="n">
        <v>59</v>
      </c>
      <c r="L5" s="76" t="n">
        <v>63.2</v>
      </c>
      <c r="M5" s="76" t="n">
        <v>76.3</v>
      </c>
      <c r="N5" s="77" t="n">
        <v>76.1</v>
      </c>
      <c r="O5" s="78" t="n">
        <v>89.7</v>
      </c>
      <c r="P5" s="73" t="n">
        <f aca="false">J5*1.0347</f>
        <v>56.28768</v>
      </c>
      <c r="Q5" s="74" t="n">
        <f aca="false">(J5-I5)/I5</f>
        <v>0.0283553875236295</v>
      </c>
      <c r="S5" s="79" t="n">
        <v>97.5</v>
      </c>
    </row>
    <row r="6" customFormat="false" ht="15.75" hidden="false" customHeight="true" outlineLevel="0" collapsed="false">
      <c r="B6" s="7" t="s">
        <v>17</v>
      </c>
      <c r="H6" s="70" t="n">
        <v>89</v>
      </c>
      <c r="I6" s="70" t="n">
        <v>93.2</v>
      </c>
      <c r="J6" s="70" t="n">
        <v>100.1</v>
      </c>
      <c r="K6" s="70" t="n">
        <v>108.2</v>
      </c>
      <c r="L6" s="70" t="n">
        <v>116</v>
      </c>
      <c r="M6" s="70" t="n">
        <v>131.5</v>
      </c>
      <c r="N6" s="71" t="n">
        <v>145.1</v>
      </c>
      <c r="O6" s="72" t="n">
        <v>161.8</v>
      </c>
      <c r="P6" s="73" t="n">
        <f aca="false">J6*1.0347</f>
        <v>103.57347</v>
      </c>
      <c r="Q6" s="74" t="n">
        <f aca="false">(J6-I6)/I6</f>
        <v>0.0740343347639484</v>
      </c>
      <c r="S6" s="75" t="n">
        <v>177.9</v>
      </c>
    </row>
    <row r="7" customFormat="false" ht="15.75" hidden="false" customHeight="true" outlineLevel="0" collapsed="false">
      <c r="B7" s="11" t="s">
        <v>18</v>
      </c>
      <c r="H7" s="76" t="n">
        <v>14.3</v>
      </c>
      <c r="I7" s="76" t="n">
        <v>15.5</v>
      </c>
      <c r="J7" s="76" t="n">
        <v>16.8</v>
      </c>
      <c r="K7" s="76" t="n">
        <v>17.5</v>
      </c>
      <c r="L7" s="76" t="n">
        <v>18.5</v>
      </c>
      <c r="M7" s="76" t="n">
        <v>20.1</v>
      </c>
      <c r="N7" s="77" t="n">
        <v>23.6</v>
      </c>
      <c r="O7" s="78" t="n">
        <v>28</v>
      </c>
      <c r="P7" s="73" t="n">
        <f aca="false">J7*1.0347</f>
        <v>17.38296</v>
      </c>
      <c r="Q7" s="74" t="n">
        <f aca="false">(J7-I7)/I7</f>
        <v>0.0838709677419355</v>
      </c>
      <c r="S7" s="79" t="n">
        <v>31.8</v>
      </c>
    </row>
    <row r="8" customFormat="false" ht="15.75" hidden="false" customHeight="true" outlineLevel="0" collapsed="false">
      <c r="B8" s="7" t="s">
        <v>19</v>
      </c>
      <c r="H8" s="70" t="n">
        <v>258.7</v>
      </c>
      <c r="I8" s="70" t="n">
        <v>268.7</v>
      </c>
      <c r="J8" s="70" t="n">
        <v>286.2</v>
      </c>
      <c r="K8" s="70" t="n">
        <v>293.2</v>
      </c>
      <c r="L8" s="70" t="n">
        <v>305.3</v>
      </c>
      <c r="M8" s="70" t="n">
        <v>352.6</v>
      </c>
      <c r="N8" s="71" t="n">
        <v>402.6</v>
      </c>
      <c r="O8" s="72" t="n">
        <v>431</v>
      </c>
      <c r="P8" s="73" t="n">
        <f aca="false">J8*1.0347</f>
        <v>296.13114</v>
      </c>
      <c r="Q8" s="74" t="n">
        <f aca="false">(J8-I8)/I8</f>
        <v>0.0651283959806476</v>
      </c>
      <c r="S8" s="75" t="n">
        <v>465</v>
      </c>
    </row>
    <row r="9" customFormat="false" ht="15.75" hidden="false" customHeight="true" outlineLevel="0" collapsed="false">
      <c r="B9" s="11" t="s">
        <v>20</v>
      </c>
      <c r="H9" s="76" t="n">
        <v>138.4</v>
      </c>
      <c r="I9" s="76" t="n">
        <v>147.9</v>
      </c>
      <c r="J9" s="76" t="n">
        <v>155.9</v>
      </c>
      <c r="K9" s="76" t="n">
        <v>163.6</v>
      </c>
      <c r="L9" s="76" t="n">
        <v>166.9</v>
      </c>
      <c r="M9" s="76" t="n">
        <v>194.9</v>
      </c>
      <c r="N9" s="77" t="n">
        <v>213.6</v>
      </c>
      <c r="O9" s="78" t="n">
        <v>232.2</v>
      </c>
      <c r="P9" s="73" t="n">
        <f aca="false">J9*1.0347</f>
        <v>161.30973</v>
      </c>
      <c r="Q9" s="74" t="n">
        <f aca="false">(J9-I9)/I9</f>
        <v>0.0540906017579446</v>
      </c>
      <c r="S9" s="79" t="n">
        <v>250.2</v>
      </c>
    </row>
    <row r="10" customFormat="false" ht="15.75" hidden="false" customHeight="true" outlineLevel="0" collapsed="false">
      <c r="B10" s="7" t="s">
        <v>21</v>
      </c>
      <c r="H10" s="70" t="n">
        <v>235.5</v>
      </c>
      <c r="I10" s="70" t="n">
        <v>244.7</v>
      </c>
      <c r="J10" s="70" t="n">
        <v>254.8</v>
      </c>
      <c r="K10" s="70" t="n">
        <v>273.6</v>
      </c>
      <c r="L10" s="70" t="n">
        <v>265.8</v>
      </c>
      <c r="M10" s="70" t="n">
        <v>286.9</v>
      </c>
      <c r="N10" s="71" t="n">
        <v>328.8</v>
      </c>
      <c r="O10" s="72" t="n">
        <v>365.7</v>
      </c>
      <c r="P10" s="73" t="n">
        <f aca="false">J10*1.0347</f>
        <v>263.64156</v>
      </c>
      <c r="Q10" s="74" t="n">
        <f aca="false">(J10-I10)/I10</f>
        <v>0.0412750306497753</v>
      </c>
      <c r="S10" s="75" t="n">
        <v>406.1</v>
      </c>
    </row>
    <row r="11" customFormat="false" ht="15.75" hidden="false" customHeight="true" outlineLevel="0" collapsed="false">
      <c r="B11" s="11" t="s">
        <v>22</v>
      </c>
      <c r="H11" s="76" t="n">
        <v>109.3</v>
      </c>
      <c r="I11" s="76" t="n">
        <v>113.4</v>
      </c>
      <c r="J11" s="76" t="n">
        <v>137</v>
      </c>
      <c r="K11" s="76" t="n">
        <v>137.3</v>
      </c>
      <c r="L11" s="76" t="n">
        <v>138.4</v>
      </c>
      <c r="M11" s="76" t="n">
        <v>186.3</v>
      </c>
      <c r="N11" s="77" t="n">
        <v>182.5</v>
      </c>
      <c r="O11" s="78" t="n">
        <v>209.8</v>
      </c>
      <c r="P11" s="73" t="n">
        <f aca="false">J11*1.0347</f>
        <v>141.7539</v>
      </c>
      <c r="Q11" s="74" t="n">
        <f aca="false">(J11-I11)/I11</f>
        <v>0.208112874779541</v>
      </c>
      <c r="S11" s="79" t="n">
        <v>219</v>
      </c>
    </row>
    <row r="12" customFormat="false" ht="15.75" hidden="false" customHeight="true" outlineLevel="0" collapsed="false">
      <c r="B12" s="7" t="s">
        <v>23</v>
      </c>
      <c r="H12" s="70" t="n">
        <v>181.8</v>
      </c>
      <c r="I12" s="70" t="n">
        <v>191.9</v>
      </c>
      <c r="J12" s="70" t="n">
        <v>195.7</v>
      </c>
      <c r="K12" s="70" t="n">
        <v>208.7</v>
      </c>
      <c r="L12" s="70" t="n">
        <v>224.1</v>
      </c>
      <c r="M12" s="70" t="n">
        <v>269.6</v>
      </c>
      <c r="N12" s="71" t="n">
        <v>318.6</v>
      </c>
      <c r="O12" s="72" t="n">
        <v>336.7</v>
      </c>
      <c r="P12" s="73" t="n">
        <f aca="false">J12*1.0347</f>
        <v>202.49079</v>
      </c>
      <c r="Q12" s="74" t="n">
        <f aca="false">(J12-I12)/I12</f>
        <v>0.0198019801980197</v>
      </c>
      <c r="S12" s="75" t="n">
        <v>371</v>
      </c>
    </row>
    <row r="13" customFormat="false" ht="15.75" hidden="false" customHeight="true" outlineLevel="0" collapsed="false">
      <c r="B13" s="11" t="s">
        <v>24</v>
      </c>
      <c r="H13" s="76" t="n">
        <v>85.3</v>
      </c>
      <c r="I13" s="76" t="n">
        <v>89.5</v>
      </c>
      <c r="J13" s="76" t="n">
        <v>98.2</v>
      </c>
      <c r="K13" s="76" t="n">
        <v>97.3</v>
      </c>
      <c r="L13" s="76" t="n">
        <v>106.9</v>
      </c>
      <c r="M13" s="76" t="n">
        <v>125</v>
      </c>
      <c r="N13" s="77" t="n">
        <v>139.8</v>
      </c>
      <c r="O13" s="78" t="n">
        <v>149.2</v>
      </c>
      <c r="P13" s="73" t="n">
        <f aca="false">J13*1.0347</f>
        <v>101.60754</v>
      </c>
      <c r="Q13" s="74" t="n">
        <f aca="false">(J13-I13)/I13</f>
        <v>0.0972067039106146</v>
      </c>
      <c r="S13" s="79" t="n">
        <v>158.1</v>
      </c>
    </row>
    <row r="14" customFormat="false" ht="15.75" hidden="false" customHeight="true" outlineLevel="0" collapsed="false">
      <c r="B14" s="7" t="s">
        <v>25</v>
      </c>
      <c r="H14" s="70" t="n">
        <v>544.8</v>
      </c>
      <c r="I14" s="70" t="n">
        <v>576.4</v>
      </c>
      <c r="J14" s="70" t="n">
        <v>614.9</v>
      </c>
      <c r="K14" s="70" t="n">
        <v>651.9</v>
      </c>
      <c r="L14" s="70" t="n">
        <v>682.8</v>
      </c>
      <c r="M14" s="70" t="n">
        <v>857.6</v>
      </c>
      <c r="N14" s="71" t="n">
        <v>906.7</v>
      </c>
      <c r="O14" s="72" t="n">
        <v>972</v>
      </c>
      <c r="P14" s="73" t="n">
        <f aca="false">J14*1.0347</f>
        <v>636.23703</v>
      </c>
      <c r="Q14" s="74" t="n">
        <f aca="false">(J14-I14)/I14</f>
        <v>0.066793893129771</v>
      </c>
      <c r="S14" s="75" t="n">
        <v>1033.3</v>
      </c>
    </row>
    <row r="15" customFormat="false" ht="15.75" hidden="false" customHeight="true" outlineLevel="0" collapsed="false">
      <c r="B15" s="11" t="s">
        <v>26</v>
      </c>
      <c r="H15" s="76" t="n">
        <v>91.9</v>
      </c>
      <c r="I15" s="76" t="n">
        <v>96.4</v>
      </c>
      <c r="J15" s="76" t="n">
        <v>107</v>
      </c>
      <c r="K15" s="76" t="n">
        <v>106.9</v>
      </c>
      <c r="L15" s="76" t="n">
        <v>122.6</v>
      </c>
      <c r="M15" s="76" t="n">
        <v>142.2</v>
      </c>
      <c r="N15" s="77" t="n">
        <v>166.4</v>
      </c>
      <c r="O15" s="78" t="n">
        <v>184.4</v>
      </c>
      <c r="P15" s="73" t="n">
        <f aca="false">J15*1.0347</f>
        <v>110.7129</v>
      </c>
      <c r="Q15" s="74" t="n">
        <f aca="false">(J15-I15)/I15</f>
        <v>0.109958506224066</v>
      </c>
      <c r="S15" s="79" t="n">
        <v>201.5</v>
      </c>
    </row>
    <row r="16" customFormat="false" ht="15.75" hidden="false" customHeight="true" outlineLevel="0" collapsed="false">
      <c r="B16" s="7" t="s">
        <v>27</v>
      </c>
      <c r="H16" s="70" t="n">
        <v>123.9</v>
      </c>
      <c r="I16" s="70" t="n">
        <v>126.8</v>
      </c>
      <c r="J16" s="70" t="n">
        <v>137.4</v>
      </c>
      <c r="K16" s="70" t="n">
        <v>142.1</v>
      </c>
      <c r="L16" s="70" t="n">
        <v>178.6</v>
      </c>
      <c r="M16" s="70" t="n">
        <v>233.4</v>
      </c>
      <c r="N16" s="71" t="n">
        <v>255.5</v>
      </c>
      <c r="O16" s="72" t="n">
        <v>273</v>
      </c>
      <c r="P16" s="73" t="n">
        <f aca="false">J16*1.0347</f>
        <v>142.16778</v>
      </c>
      <c r="Q16" s="74" t="n">
        <f aca="false">(J16-I16)/I16</f>
        <v>0.0835962145110411</v>
      </c>
      <c r="S16" s="75" t="n">
        <v>291</v>
      </c>
    </row>
    <row r="17" customFormat="false" ht="15.75" hidden="false" customHeight="true" outlineLevel="0" collapsed="false">
      <c r="B17" s="11" t="s">
        <v>28</v>
      </c>
      <c r="H17" s="76" t="n">
        <v>138.1</v>
      </c>
      <c r="I17" s="76" t="n">
        <v>155.2</v>
      </c>
      <c r="J17" s="76" t="n">
        <v>161.3</v>
      </c>
      <c r="K17" s="76" t="n">
        <v>178.4</v>
      </c>
      <c r="L17" s="76" t="n">
        <v>215.9</v>
      </c>
      <c r="M17" s="76" t="n">
        <v>262.9</v>
      </c>
      <c r="N17" s="77" t="n">
        <v>236.1</v>
      </c>
      <c r="O17" s="78" t="n">
        <v>254.5</v>
      </c>
      <c r="P17" s="73" t="n">
        <f aca="false">J17*1.0347</f>
        <v>166.89711</v>
      </c>
      <c r="Q17" s="74" t="n">
        <f aca="false">(J17-I17)/I17</f>
        <v>0.0393041237113404</v>
      </c>
      <c r="S17" s="79" t="n">
        <v>261.5</v>
      </c>
    </row>
    <row r="18" customFormat="false" ht="15.75" hidden="false" customHeight="true" outlineLevel="0" collapsed="false">
      <c r="B18" s="7" t="s">
        <v>29</v>
      </c>
      <c r="H18" s="70" t="n">
        <v>59.1</v>
      </c>
      <c r="I18" s="70" t="n">
        <v>62.4</v>
      </c>
      <c r="J18" s="70" t="n">
        <v>64.4</v>
      </c>
      <c r="K18" s="70" t="n">
        <v>68</v>
      </c>
      <c r="L18" s="70" t="n">
        <v>70.3</v>
      </c>
      <c r="M18" s="70" t="n">
        <v>77.5</v>
      </c>
      <c r="N18" s="71" t="n">
        <v>86.1</v>
      </c>
      <c r="O18" s="72" t="n">
        <v>97</v>
      </c>
      <c r="P18" s="73" t="n">
        <f aca="false">J18*1.0347</f>
        <v>66.63468</v>
      </c>
      <c r="Q18" s="74" t="n">
        <f aca="false">(J18-I18)/I18</f>
        <v>0.0320512820512822</v>
      </c>
      <c r="S18" s="75" t="n">
        <v>106.5</v>
      </c>
    </row>
    <row r="19" customFormat="false" ht="15.75" hidden="false" customHeight="true" outlineLevel="0" collapsed="false">
      <c r="B19" s="11" t="s">
        <v>30</v>
      </c>
      <c r="H19" s="76" t="n">
        <v>167.3</v>
      </c>
      <c r="I19" s="76" t="n">
        <v>181.6</v>
      </c>
      <c r="J19" s="76" t="n">
        <v>186.4</v>
      </c>
      <c r="K19" s="76" t="n">
        <v>197.9</v>
      </c>
      <c r="L19" s="76" t="n">
        <v>193.3</v>
      </c>
      <c r="M19" s="76" t="n">
        <v>220.8</v>
      </c>
      <c r="N19" s="77" t="n">
        <v>245.8</v>
      </c>
      <c r="O19" s="78" t="n">
        <v>270.5</v>
      </c>
      <c r="P19" s="73" t="n">
        <f aca="false">J19*1.0347</f>
        <v>192.86808</v>
      </c>
      <c r="Q19" s="74" t="n">
        <f aca="false">(J19-I19)/I19</f>
        <v>0.0264317180616741</v>
      </c>
      <c r="S19" s="79" t="n">
        <v>295.3</v>
      </c>
    </row>
    <row r="20" customFormat="false" ht="15.75" hidden="false" customHeight="true" outlineLevel="0" collapsed="false">
      <c r="B20" s="7" t="s">
        <v>31</v>
      </c>
      <c r="H20" s="70" t="n">
        <v>41.4</v>
      </c>
      <c r="I20" s="70" t="n">
        <v>45.4</v>
      </c>
      <c r="J20" s="70" t="n">
        <v>50.4</v>
      </c>
      <c r="K20" s="70" t="n">
        <v>52.8</v>
      </c>
      <c r="L20" s="70" t="n">
        <v>56.4</v>
      </c>
      <c r="M20" s="70" t="n">
        <v>64</v>
      </c>
      <c r="N20" s="71" t="n">
        <v>72.8</v>
      </c>
      <c r="O20" s="72" t="n">
        <v>80.9</v>
      </c>
      <c r="P20" s="73" t="n">
        <f aca="false">J20*1.0347</f>
        <v>52.14888</v>
      </c>
      <c r="Q20" s="74" t="n">
        <f aca="false">(J20-I20)/I20</f>
        <v>0.110132158590308</v>
      </c>
      <c r="S20" s="75" t="n">
        <v>88.9</v>
      </c>
    </row>
    <row r="21" customFormat="false" ht="15.75" hidden="false" customHeight="true" outlineLevel="0" collapsed="false">
      <c r="B21" s="11" t="s">
        <v>32</v>
      </c>
      <c r="H21" s="76" t="n">
        <v>401.8</v>
      </c>
      <c r="I21" s="76" t="n">
        <v>421.5</v>
      </c>
      <c r="J21" s="76" t="n">
        <v>440</v>
      </c>
      <c r="K21" s="76" t="n">
        <v>466.4</v>
      </c>
      <c r="L21" s="76" t="n">
        <v>487.9</v>
      </c>
      <c r="M21" s="76" t="n">
        <v>550</v>
      </c>
      <c r="N21" s="77" t="n">
        <v>614.6</v>
      </c>
      <c r="O21" s="78" t="n">
        <v>670.9</v>
      </c>
      <c r="P21" s="73" t="n">
        <f aca="false">J21*1.0347</f>
        <v>455.268</v>
      </c>
      <c r="Q21" s="74" t="n">
        <f aca="false">(J21-I21)/I21</f>
        <v>0.0438908659549229</v>
      </c>
      <c r="S21" s="79" t="n">
        <v>731.1</v>
      </c>
    </row>
    <row r="22" customFormat="false" ht="15.75" hidden="false" customHeight="true" outlineLevel="0" collapsed="false">
      <c r="B22" s="7" t="s">
        <v>33</v>
      </c>
      <c r="H22" s="70" t="n">
        <v>640.4</v>
      </c>
      <c r="I22" s="70" t="n">
        <v>671.6</v>
      </c>
      <c r="J22" s="70" t="n">
        <v>758.9</v>
      </c>
      <c r="K22" s="70" t="n">
        <v>779.9</v>
      </c>
      <c r="L22" s="70" t="n">
        <v>753.8</v>
      </c>
      <c r="M22" s="70" t="n">
        <v>949.3</v>
      </c>
      <c r="N22" s="71" t="n">
        <v>1153.5</v>
      </c>
      <c r="O22" s="72" t="n">
        <v>1172.9</v>
      </c>
      <c r="P22" s="73" t="n">
        <f aca="false">J22*1.0347</f>
        <v>785.23383</v>
      </c>
      <c r="Q22" s="74" t="n">
        <f aca="false">(J22-I22)/I22</f>
        <v>0.129988088147707</v>
      </c>
      <c r="S22" s="75" t="n">
        <v>1274.4</v>
      </c>
    </row>
    <row r="23" customFormat="false" ht="15.75" hidden="false" customHeight="true" outlineLevel="0" collapsed="false">
      <c r="B23" s="11" t="s">
        <v>34</v>
      </c>
      <c r="H23" s="76" t="n">
        <v>59.7</v>
      </c>
      <c r="I23" s="76" t="n">
        <v>64.3</v>
      </c>
      <c r="J23" s="76" t="n">
        <v>67</v>
      </c>
      <c r="K23" s="76" t="n">
        <v>71.3</v>
      </c>
      <c r="L23" s="76" t="n">
        <v>71.6</v>
      </c>
      <c r="M23" s="76" t="n">
        <v>80.2</v>
      </c>
      <c r="N23" s="77" t="n">
        <v>93.8</v>
      </c>
      <c r="O23" s="78" t="n">
        <v>101.7</v>
      </c>
      <c r="P23" s="73" t="n">
        <f aca="false">J23*1.0347</f>
        <v>69.3249</v>
      </c>
      <c r="Q23" s="74" t="n">
        <f aca="false">(J23-I23)/I23</f>
        <v>0.04199066874028</v>
      </c>
      <c r="S23" s="79" t="n">
        <v>112.6</v>
      </c>
    </row>
    <row r="24" customFormat="false" ht="15.75" hidden="false" customHeight="true" outlineLevel="0" collapsed="false">
      <c r="B24" s="7" t="s">
        <v>35</v>
      </c>
      <c r="H24" s="70" t="n">
        <v>39.5</v>
      </c>
      <c r="I24" s="70" t="n">
        <v>43.5</v>
      </c>
      <c r="J24" s="70" t="n">
        <v>44.9</v>
      </c>
      <c r="K24" s="70" t="n">
        <v>47.1</v>
      </c>
      <c r="L24" s="70" t="n">
        <v>51.6</v>
      </c>
      <c r="M24" s="70" t="n">
        <v>58.2</v>
      </c>
      <c r="N24" s="71" t="n">
        <v>66.8</v>
      </c>
      <c r="O24" s="72" t="n">
        <v>76.5</v>
      </c>
      <c r="P24" s="73" t="n">
        <f aca="false">J24*1.0347</f>
        <v>46.45803</v>
      </c>
      <c r="Q24" s="74" t="n">
        <f aca="false">(J24-I24)/I24</f>
        <v>0.032183908045977</v>
      </c>
      <c r="S24" s="75" t="n">
        <v>85.2</v>
      </c>
    </row>
    <row r="25" customFormat="false" ht="15.75" hidden="false" customHeight="true" outlineLevel="0" collapsed="false">
      <c r="B25" s="11" t="s">
        <v>36</v>
      </c>
      <c r="H25" s="76" t="n">
        <v>11</v>
      </c>
      <c r="I25" s="76" t="n">
        <v>12.1</v>
      </c>
      <c r="J25" s="76" t="n">
        <v>13.4</v>
      </c>
      <c r="K25" s="76" t="n">
        <v>14.3</v>
      </c>
      <c r="L25" s="76" t="n">
        <v>16</v>
      </c>
      <c r="M25" s="76" t="n">
        <v>18.2</v>
      </c>
      <c r="N25" s="77" t="n">
        <v>21.1</v>
      </c>
      <c r="O25" s="78" t="n">
        <v>25.1</v>
      </c>
      <c r="P25" s="73" t="n">
        <f aca="false">J25*1.0347</f>
        <v>13.86498</v>
      </c>
      <c r="Q25" s="74" t="n">
        <f aca="false">(J25-I25)/I25</f>
        <v>0.107438016528926</v>
      </c>
      <c r="S25" s="79" t="n">
        <v>28.6</v>
      </c>
    </row>
    <row r="26" customFormat="false" ht="15.75" hidden="false" customHeight="true" outlineLevel="0" collapsed="false">
      <c r="B26" s="7" t="s">
        <v>37</v>
      </c>
      <c r="H26" s="70" t="n">
        <v>408.8</v>
      </c>
      <c r="I26" s="70" t="n">
        <v>423.3</v>
      </c>
      <c r="J26" s="70" t="n">
        <v>457.3</v>
      </c>
      <c r="K26" s="70" t="n">
        <v>482.5</v>
      </c>
      <c r="L26" s="70" t="n">
        <v>470.9</v>
      </c>
      <c r="M26" s="70" t="n">
        <v>581.3</v>
      </c>
      <c r="N26" s="71" t="n">
        <v>593.6</v>
      </c>
      <c r="O26" s="72" t="n">
        <v>650.1</v>
      </c>
      <c r="P26" s="73" t="n">
        <f aca="false">J26*1.0347</f>
        <v>473.16831</v>
      </c>
      <c r="Q26" s="74" t="n">
        <f aca="false">(J26-I26)/I26</f>
        <v>0.0803212851405623</v>
      </c>
      <c r="S26" s="75" t="n">
        <v>687.3</v>
      </c>
    </row>
    <row r="27" customFormat="false" ht="15.75" hidden="false" customHeight="true" outlineLevel="0" collapsed="false">
      <c r="B27" s="11" t="s">
        <v>38</v>
      </c>
      <c r="H27" s="76" t="n">
        <v>256.8</v>
      </c>
      <c r="I27" s="76" t="n">
        <v>277.3</v>
      </c>
      <c r="J27" s="76" t="n">
        <v>298.2</v>
      </c>
      <c r="K27" s="76" t="n">
        <v>323.3</v>
      </c>
      <c r="L27" s="76" t="n">
        <v>349.3</v>
      </c>
      <c r="M27" s="76" t="n">
        <v>428.6</v>
      </c>
      <c r="N27" s="77" t="n">
        <v>466.3</v>
      </c>
      <c r="O27" s="78" t="n">
        <v>513.4</v>
      </c>
      <c r="P27" s="73" t="n">
        <f aca="false">J27*1.0347</f>
        <v>308.54754</v>
      </c>
      <c r="Q27" s="74" t="n">
        <f aca="false">(J27-I27)/I27</f>
        <v>0.0753696357735304</v>
      </c>
      <c r="S27" s="79" t="n">
        <v>560.1</v>
      </c>
    </row>
    <row r="28" customFormat="false" ht="15.75" hidden="false" customHeight="true" outlineLevel="0" collapsed="false">
      <c r="B28" s="7" t="s">
        <v>39</v>
      </c>
      <c r="H28" s="70" t="n">
        <v>38.9</v>
      </c>
      <c r="I28" s="70" t="n">
        <v>40.7</v>
      </c>
      <c r="J28" s="70" t="n">
        <v>42</v>
      </c>
      <c r="K28" s="70" t="n">
        <v>44.7</v>
      </c>
      <c r="L28" s="70" t="n">
        <v>45.4</v>
      </c>
      <c r="M28" s="70" t="n">
        <v>51.9</v>
      </c>
      <c r="N28" s="71" t="n">
        <v>57.4</v>
      </c>
      <c r="O28" s="72" t="n">
        <v>60.8</v>
      </c>
      <c r="P28" s="73" t="n">
        <f aca="false">J28*1.0347</f>
        <v>43.4574</v>
      </c>
      <c r="Q28" s="74" t="n">
        <f aca="false">(J28-I28)/I28</f>
        <v>0.0319410319410319</v>
      </c>
      <c r="S28" s="75" t="n">
        <v>65.5</v>
      </c>
    </row>
    <row r="29" customFormat="false" ht="15.75" hidden="false" customHeight="true" outlineLevel="0" collapsed="false">
      <c r="B29" s="11" t="s">
        <v>40</v>
      </c>
      <c r="H29" s="76" t="n">
        <v>2038.8</v>
      </c>
      <c r="I29" s="76" t="n">
        <v>2120.8</v>
      </c>
      <c r="J29" s="76" t="n">
        <v>2210.6</v>
      </c>
      <c r="K29" s="76" t="n">
        <v>2348.3</v>
      </c>
      <c r="L29" s="76" t="n">
        <v>2377.6</v>
      </c>
      <c r="M29" s="76" t="n">
        <v>2719.8</v>
      </c>
      <c r="N29" s="77" t="n">
        <v>3130.3</v>
      </c>
      <c r="O29" s="78" t="n">
        <v>3444.8</v>
      </c>
      <c r="P29" s="73" t="n">
        <f aca="false">J29*1.0347</f>
        <v>2287.30782</v>
      </c>
      <c r="Q29" s="74" t="n">
        <f aca="false">(J29-I29)/I29</f>
        <v>0.0423425122595246</v>
      </c>
      <c r="S29" s="79" t="n">
        <v>3805.1</v>
      </c>
    </row>
    <row r="30" customFormat="false" ht="15.75" hidden="false" customHeight="true" outlineLevel="0" collapsed="false">
      <c r="B30" s="7" t="s">
        <v>41</v>
      </c>
      <c r="H30" s="70" t="n">
        <v>31.6</v>
      </c>
      <c r="I30" s="70" t="n">
        <v>34.1</v>
      </c>
      <c r="J30" s="70" t="n">
        <v>35.7</v>
      </c>
      <c r="K30" s="70" t="n">
        <v>39.4</v>
      </c>
      <c r="L30" s="70" t="n">
        <v>43.6</v>
      </c>
      <c r="M30" s="70" t="n">
        <v>51.8</v>
      </c>
      <c r="N30" s="71" t="n">
        <v>58.2</v>
      </c>
      <c r="O30" s="72" t="n">
        <v>64.3</v>
      </c>
      <c r="P30" s="73" t="n">
        <f aca="false">J30*1.0347</f>
        <v>36.93879</v>
      </c>
      <c r="Q30" s="74" t="n">
        <f aca="false">(J30-I30)/I30</f>
        <v>0.0469208211143695</v>
      </c>
      <c r="S30" s="75" t="n">
        <v>71.4</v>
      </c>
    </row>
    <row r="31" customFormat="false" ht="18" hidden="false" customHeight="true" outlineLevel="0" collapsed="false">
      <c r="B31" s="14" t="s">
        <v>42</v>
      </c>
      <c r="H31" s="80" t="n">
        <f aca="false">SUM(C4:C30)</f>
        <v>0</v>
      </c>
      <c r="I31" s="80" t="n">
        <f aca="false">SUM(D4:D30)</f>
        <v>0</v>
      </c>
      <c r="J31" s="80" t="n">
        <f aca="false">SUM(E4:E30)</f>
        <v>0</v>
      </c>
      <c r="K31" s="80" t="n">
        <f aca="false">SUM(F4:F30)</f>
        <v>0</v>
      </c>
      <c r="L31" s="80" t="n">
        <f aca="false">SUM(G4:G30)</f>
        <v>0</v>
      </c>
      <c r="M31" s="80" t="n">
        <f aca="false">SUM(H4:H30)</f>
        <v>6269.4</v>
      </c>
      <c r="N31" s="80" t="n">
        <f aca="false">SUM(I4:I30)</f>
        <v>6585.4</v>
      </c>
      <c r="O31" s="80" t="n">
        <f aca="false">SUM(J4:J30)</f>
        <v>7004.2</v>
      </c>
      <c r="P31" s="80" t="n">
        <f aca="false">SUM(K4:K30)</f>
        <v>7389.2</v>
      </c>
      <c r="Q31" s="49" t="e">
        <f aca="false">(J31-I31)/I31</f>
        <v>#DIV/0!</v>
      </c>
    </row>
    <row r="32" customFormat="false" ht="36" hidden="false" customHeight="true" outlineLevel="0" collapsed="false">
      <c r="B32" s="50" t="s">
        <v>113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</row>
  </sheetData>
  <mergeCells count="3">
    <mergeCell ref="B1:M1"/>
    <mergeCell ref="B2:M2"/>
    <mergeCell ref="B32:M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"/>
    <col collapsed="false" customWidth="true" hidden="false" outlineLevel="0" max="11" min="3" style="1" width="12"/>
  </cols>
  <sheetData>
    <row r="1" customFormat="false" ht="21.75" hidden="false" customHeight="true" outlineLevel="0" collapsed="false">
      <c r="B1" s="81" t="s">
        <v>114</v>
      </c>
      <c r="C1" s="81"/>
      <c r="D1" s="81"/>
      <c r="E1" s="81"/>
      <c r="F1" s="81"/>
      <c r="G1" s="81"/>
      <c r="H1" s="81"/>
      <c r="I1" s="81"/>
      <c r="J1" s="81"/>
      <c r="K1" s="81"/>
    </row>
    <row r="2" customFormat="false" ht="12.75" hidden="false" customHeight="true" outlineLevel="0" collapsed="false">
      <c r="B2" s="82" t="s">
        <v>115</v>
      </c>
      <c r="C2" s="82"/>
      <c r="D2" s="82"/>
      <c r="E2" s="82"/>
      <c r="F2" s="82"/>
      <c r="G2" s="82"/>
      <c r="H2" s="82"/>
      <c r="I2" s="82"/>
      <c r="J2" s="82"/>
      <c r="K2" s="82"/>
    </row>
    <row r="3" customFormat="false" ht="19.5" hidden="false" customHeight="true" outlineLevel="0" collapsed="false"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9" t="s">
        <v>9</v>
      </c>
      <c r="J3" s="46" t="s">
        <v>10</v>
      </c>
      <c r="K3" s="5" t="s">
        <v>11</v>
      </c>
    </row>
    <row r="4" customFormat="false" ht="15" hidden="false" customHeight="true" outlineLevel="0" collapsed="false">
      <c r="B4" s="7" t="s">
        <v>15</v>
      </c>
      <c r="C4" s="83" t="n">
        <v>816687</v>
      </c>
      <c r="D4" s="83" t="n">
        <v>829619</v>
      </c>
      <c r="E4" s="83" t="n">
        <v>869265</v>
      </c>
      <c r="F4" s="83" t="n">
        <v>881935</v>
      </c>
      <c r="G4" s="83" t="n">
        <v>894470</v>
      </c>
      <c r="H4" s="83" t="n">
        <v>906876</v>
      </c>
      <c r="I4" s="84" t="n">
        <v>830018</v>
      </c>
      <c r="J4" s="85" t="n">
        <v>830018</v>
      </c>
      <c r="K4" s="83" t="n">
        <v>880631</v>
      </c>
    </row>
    <row r="5" customFormat="false" ht="15" hidden="false" customHeight="true" outlineLevel="0" collapsed="false">
      <c r="B5" s="11" t="s">
        <v>16</v>
      </c>
      <c r="C5" s="86" t="n">
        <v>3358963</v>
      </c>
      <c r="D5" s="86" t="n">
        <v>3375823</v>
      </c>
      <c r="E5" s="86" t="n">
        <v>3322820</v>
      </c>
      <c r="F5" s="86" t="n">
        <v>3337357</v>
      </c>
      <c r="G5" s="86" t="n">
        <v>3351543</v>
      </c>
      <c r="H5" s="86" t="n">
        <v>3365351</v>
      </c>
      <c r="I5" s="87" t="n">
        <v>3127683</v>
      </c>
      <c r="J5" s="88" t="n">
        <v>3127683</v>
      </c>
      <c r="K5" s="86" t="n">
        <v>3220104</v>
      </c>
    </row>
    <row r="6" customFormat="false" ht="15" hidden="false" customHeight="true" outlineLevel="0" collapsed="false">
      <c r="B6" s="7" t="s">
        <v>17</v>
      </c>
      <c r="C6" s="83" t="n">
        <v>4001667</v>
      </c>
      <c r="D6" s="83" t="n">
        <v>4063614</v>
      </c>
      <c r="E6" s="83" t="n">
        <v>4080611</v>
      </c>
      <c r="F6" s="83" t="n">
        <v>4144597</v>
      </c>
      <c r="G6" s="83" t="n">
        <v>4207714</v>
      </c>
      <c r="H6" s="83" t="n">
        <v>4269995</v>
      </c>
      <c r="I6" s="84" t="n">
        <v>3941613</v>
      </c>
      <c r="J6" s="85" t="n">
        <v>3941613</v>
      </c>
      <c r="K6" s="83" t="n">
        <v>4281209</v>
      </c>
    </row>
    <row r="7" customFormat="false" ht="15" hidden="false" customHeight="true" outlineLevel="0" collapsed="false">
      <c r="B7" s="11" t="s">
        <v>18</v>
      </c>
      <c r="C7" s="86" t="n">
        <v>782295</v>
      </c>
      <c r="D7" s="86" t="n">
        <v>797722</v>
      </c>
      <c r="E7" s="86" t="n">
        <v>829494</v>
      </c>
      <c r="F7" s="86" t="n">
        <v>845731</v>
      </c>
      <c r="G7" s="86" t="n">
        <v>861773</v>
      </c>
      <c r="H7" s="86" t="n">
        <v>877613</v>
      </c>
      <c r="I7" s="87" t="n">
        <v>733759</v>
      </c>
      <c r="J7" s="88" t="n">
        <v>733759</v>
      </c>
      <c r="K7" s="86" t="n">
        <v>802837</v>
      </c>
    </row>
    <row r="8" customFormat="false" ht="15" hidden="false" customHeight="true" outlineLevel="0" collapsed="false">
      <c r="B8" s="7" t="s">
        <v>19</v>
      </c>
      <c r="C8" s="83" t="n">
        <v>15276566</v>
      </c>
      <c r="D8" s="83" t="n">
        <v>15344447</v>
      </c>
      <c r="E8" s="83" t="n">
        <v>14812617</v>
      </c>
      <c r="F8" s="83" t="n">
        <v>14873064</v>
      </c>
      <c r="G8" s="83" t="n">
        <v>14930634</v>
      </c>
      <c r="H8" s="83" t="n">
        <v>14985284</v>
      </c>
      <c r="I8" s="84" t="n">
        <v>14141626</v>
      </c>
      <c r="J8" s="85" t="n">
        <v>14141626</v>
      </c>
      <c r="K8" s="83" t="n">
        <v>14850513</v>
      </c>
    </row>
    <row r="9" customFormat="false" ht="15" hidden="false" customHeight="true" outlineLevel="0" collapsed="false">
      <c r="B9" s="11" t="s">
        <v>20</v>
      </c>
      <c r="C9" s="86" t="n">
        <v>8963663</v>
      </c>
      <c r="D9" s="86" t="n">
        <v>9020460</v>
      </c>
      <c r="E9" s="86" t="n">
        <v>9075649</v>
      </c>
      <c r="F9" s="86" t="n">
        <v>9132078</v>
      </c>
      <c r="G9" s="86" t="n">
        <v>9187103</v>
      </c>
      <c r="H9" s="86" t="n">
        <v>9240580</v>
      </c>
      <c r="I9" s="87" t="n">
        <v>8794957</v>
      </c>
      <c r="J9" s="88" t="n">
        <v>8794957</v>
      </c>
      <c r="K9" s="86" t="n">
        <v>9233656</v>
      </c>
    </row>
    <row r="10" customFormat="false" ht="15" hidden="false" customHeight="true" outlineLevel="0" collapsed="false">
      <c r="B10" s="7" t="s">
        <v>21</v>
      </c>
      <c r="C10" s="83" t="n">
        <v>2977216</v>
      </c>
      <c r="D10" s="83" t="n">
        <v>3039444</v>
      </c>
      <c r="E10" s="83" t="n">
        <v>2974703</v>
      </c>
      <c r="F10" s="83" t="n">
        <v>3015268</v>
      </c>
      <c r="G10" s="83" t="n">
        <v>3055149</v>
      </c>
      <c r="H10" s="83" t="n">
        <v>3094325</v>
      </c>
      <c r="I10" s="84" t="n">
        <v>2817381</v>
      </c>
      <c r="J10" s="85" t="n">
        <v>2817381</v>
      </c>
      <c r="K10" s="83" t="n">
        <v>2982818</v>
      </c>
    </row>
    <row r="11" customFormat="false" ht="15" hidden="false" customHeight="true" outlineLevel="0" collapsed="false">
      <c r="B11" s="11" t="s">
        <v>22</v>
      </c>
      <c r="C11" s="86" t="n">
        <v>3973697</v>
      </c>
      <c r="D11" s="86" t="n">
        <v>4016356</v>
      </c>
      <c r="E11" s="86" t="n">
        <v>3972388</v>
      </c>
      <c r="F11" s="86" t="n">
        <v>4018650</v>
      </c>
      <c r="G11" s="86" t="n">
        <v>4064052</v>
      </c>
      <c r="H11" s="86" t="n">
        <v>4108508</v>
      </c>
      <c r="I11" s="87" t="n">
        <v>3833712</v>
      </c>
      <c r="J11" s="88" t="n">
        <v>3833712</v>
      </c>
      <c r="K11" s="86" t="n">
        <v>4102129</v>
      </c>
    </row>
    <row r="12" customFormat="false" ht="15" hidden="false" customHeight="true" outlineLevel="0" collapsed="false">
      <c r="B12" s="7" t="s">
        <v>23</v>
      </c>
      <c r="C12" s="83" t="n">
        <v>6695855</v>
      </c>
      <c r="D12" s="83" t="n">
        <v>6778772</v>
      </c>
      <c r="E12" s="83" t="n">
        <v>6921161</v>
      </c>
      <c r="F12" s="83" t="n">
        <v>7018354</v>
      </c>
      <c r="G12" s="83" t="n">
        <v>7113540</v>
      </c>
      <c r="H12" s="83" t="n">
        <v>7206589</v>
      </c>
      <c r="I12" s="84" t="n">
        <v>7056495</v>
      </c>
      <c r="J12" s="85" t="n">
        <v>7056495</v>
      </c>
      <c r="K12" s="83" t="n">
        <v>7350483</v>
      </c>
    </row>
    <row r="13" customFormat="false" ht="15" hidden="false" customHeight="true" outlineLevel="0" collapsed="false">
      <c r="B13" s="11" t="s">
        <v>24</v>
      </c>
      <c r="C13" s="86" t="n">
        <v>6954036</v>
      </c>
      <c r="D13" s="86" t="n">
        <v>7000229</v>
      </c>
      <c r="E13" s="86" t="n">
        <v>7035055</v>
      </c>
      <c r="F13" s="86" t="n">
        <v>7075181</v>
      </c>
      <c r="G13" s="86" t="n">
        <v>7114598</v>
      </c>
      <c r="H13" s="86" t="n">
        <v>7153262</v>
      </c>
      <c r="I13" s="87" t="n">
        <v>6776699</v>
      </c>
      <c r="J13" s="88" t="n">
        <v>6776699</v>
      </c>
      <c r="K13" s="86" t="n">
        <v>7010960</v>
      </c>
    </row>
    <row r="14" customFormat="false" ht="15" hidden="false" customHeight="true" outlineLevel="0" collapsed="false">
      <c r="B14" s="7" t="s">
        <v>25</v>
      </c>
      <c r="C14" s="83" t="n">
        <v>20997560</v>
      </c>
      <c r="D14" s="83" t="n">
        <v>21119536</v>
      </c>
      <c r="E14" s="83" t="n">
        <v>21040662</v>
      </c>
      <c r="F14" s="83" t="n">
        <v>21168791</v>
      </c>
      <c r="G14" s="83" t="n">
        <v>21292666</v>
      </c>
      <c r="H14" s="83" t="n">
        <v>21411923</v>
      </c>
      <c r="I14" s="84" t="n">
        <v>20539989</v>
      </c>
      <c r="J14" s="85" t="n">
        <v>20539989</v>
      </c>
      <c r="K14" s="83" t="n">
        <v>21322691</v>
      </c>
    </row>
    <row r="15" customFormat="false" ht="15" hidden="false" customHeight="true" outlineLevel="0" collapsed="false">
      <c r="B15" s="11" t="s">
        <v>26</v>
      </c>
      <c r="C15" s="86" t="n">
        <v>2682386</v>
      </c>
      <c r="D15" s="86" t="n">
        <v>2713147</v>
      </c>
      <c r="E15" s="86" t="n">
        <v>2748023</v>
      </c>
      <c r="F15" s="86" t="n">
        <v>2778986</v>
      </c>
      <c r="G15" s="86" t="n">
        <v>2809394</v>
      </c>
      <c r="H15" s="86" t="n">
        <v>2839188</v>
      </c>
      <c r="I15" s="87" t="n">
        <v>2757013</v>
      </c>
      <c r="J15" s="88" t="n">
        <v>2757013</v>
      </c>
      <c r="K15" s="86" t="n">
        <v>2901895</v>
      </c>
    </row>
    <row r="16" customFormat="false" ht="15" hidden="false" customHeight="true" outlineLevel="0" collapsed="false">
      <c r="B16" s="7" t="s">
        <v>27</v>
      </c>
      <c r="C16" s="83" t="n">
        <v>3305531</v>
      </c>
      <c r="D16" s="83" t="n">
        <v>3344544</v>
      </c>
      <c r="E16" s="83" t="n">
        <v>3441998</v>
      </c>
      <c r="F16" s="83" t="n">
        <v>3484466</v>
      </c>
      <c r="G16" s="83" t="n">
        <v>3526220</v>
      </c>
      <c r="H16" s="83" t="n">
        <v>3567234</v>
      </c>
      <c r="I16" s="84" t="n">
        <v>3658649</v>
      </c>
      <c r="J16" s="85" t="n">
        <v>3658649</v>
      </c>
      <c r="K16" s="83" t="n">
        <v>3836399</v>
      </c>
    </row>
    <row r="17" customFormat="false" ht="15" hidden="false" customHeight="true" outlineLevel="0" collapsed="false">
      <c r="B17" s="11" t="s">
        <v>28</v>
      </c>
      <c r="C17" s="86" t="n">
        <v>8272724</v>
      </c>
      <c r="D17" s="86" t="n">
        <v>8366628</v>
      </c>
      <c r="E17" s="86" t="n">
        <v>8513497</v>
      </c>
      <c r="F17" s="86" t="n">
        <v>8602865</v>
      </c>
      <c r="G17" s="86" t="n">
        <v>8690745</v>
      </c>
      <c r="H17" s="86" t="n">
        <v>8777124</v>
      </c>
      <c r="I17" s="87" t="n">
        <v>8120131</v>
      </c>
      <c r="J17" s="88" t="n">
        <v>8120131</v>
      </c>
      <c r="K17" s="86" t="n">
        <v>8664306</v>
      </c>
    </row>
    <row r="18" customFormat="false" ht="15" hidden="false" customHeight="true" outlineLevel="0" collapsed="false">
      <c r="B18" s="7" t="s">
        <v>29</v>
      </c>
      <c r="C18" s="83" t="n">
        <v>3999415</v>
      </c>
      <c r="D18" s="83" t="n">
        <v>4025558</v>
      </c>
      <c r="E18" s="83" t="n">
        <v>3996496</v>
      </c>
      <c r="F18" s="83" t="n">
        <v>4018127</v>
      </c>
      <c r="G18" s="83" t="n">
        <v>4039277</v>
      </c>
      <c r="H18" s="83" t="n">
        <v>4059905</v>
      </c>
      <c r="I18" s="84" t="n">
        <v>3974687</v>
      </c>
      <c r="J18" s="85" t="n">
        <v>3974687</v>
      </c>
      <c r="K18" s="83" t="n">
        <v>4145040</v>
      </c>
    </row>
    <row r="19" customFormat="false" ht="15" hidden="false" customHeight="true" outlineLevel="0" collapsed="false">
      <c r="B19" s="11" t="s">
        <v>30</v>
      </c>
      <c r="C19" s="86" t="n">
        <v>9410336</v>
      </c>
      <c r="D19" s="86" t="n">
        <v>9473266</v>
      </c>
      <c r="E19" s="86" t="n">
        <v>9496294</v>
      </c>
      <c r="F19" s="86" t="n">
        <v>9557071</v>
      </c>
      <c r="G19" s="86" t="n">
        <v>9616621</v>
      </c>
      <c r="H19" s="86" t="n">
        <v>9674793</v>
      </c>
      <c r="I19" s="87" t="n">
        <v>9058931</v>
      </c>
      <c r="J19" s="88" t="n">
        <v>9058931</v>
      </c>
      <c r="K19" s="86" t="n">
        <v>9539029</v>
      </c>
    </row>
    <row r="20" customFormat="false" ht="15" hidden="false" customHeight="true" outlineLevel="0" collapsed="false">
      <c r="B20" s="7" t="s">
        <v>31</v>
      </c>
      <c r="C20" s="83" t="n">
        <v>3212180</v>
      </c>
      <c r="D20" s="83" t="n">
        <v>3219257</v>
      </c>
      <c r="E20" s="83" t="n">
        <v>3264531</v>
      </c>
      <c r="F20" s="83" t="n">
        <v>3273227</v>
      </c>
      <c r="G20" s="83" t="n">
        <v>3281480</v>
      </c>
      <c r="H20" s="83" t="n">
        <v>3289290</v>
      </c>
      <c r="I20" s="84" t="n">
        <v>3271199</v>
      </c>
      <c r="J20" s="85" t="n">
        <v>3271199</v>
      </c>
      <c r="K20" s="83" t="n">
        <v>3375646</v>
      </c>
    </row>
    <row r="21" customFormat="false" ht="15" hidden="false" customHeight="true" outlineLevel="0" collapsed="false">
      <c r="B21" s="11" t="s">
        <v>32</v>
      </c>
      <c r="C21" s="86" t="n">
        <v>11242720</v>
      </c>
      <c r="D21" s="86" t="n">
        <v>11320892</v>
      </c>
      <c r="E21" s="86" t="n">
        <v>11348937</v>
      </c>
      <c r="F21" s="86" t="n">
        <v>11433957</v>
      </c>
      <c r="G21" s="86" t="n">
        <v>11516840</v>
      </c>
      <c r="H21" s="86" t="n">
        <v>11597484</v>
      </c>
      <c r="I21" s="87" t="n">
        <v>11444380</v>
      </c>
      <c r="J21" s="88" t="n">
        <v>11444380</v>
      </c>
      <c r="K21" s="86" t="n">
        <v>11824665</v>
      </c>
    </row>
    <row r="22" customFormat="false" ht="15" hidden="false" customHeight="true" outlineLevel="0" collapsed="false">
      <c r="B22" s="7" t="s">
        <v>33</v>
      </c>
      <c r="C22" s="83" t="n">
        <v>16635996</v>
      </c>
      <c r="D22" s="83" t="n">
        <v>16718956</v>
      </c>
      <c r="E22" s="83" t="n">
        <v>17159960</v>
      </c>
      <c r="F22" s="83" t="n">
        <v>17264943</v>
      </c>
      <c r="G22" s="83" t="n">
        <v>17366189</v>
      </c>
      <c r="H22" s="83" t="n">
        <v>17463349</v>
      </c>
      <c r="I22" s="84" t="n">
        <v>16055174</v>
      </c>
      <c r="J22" s="85" t="n">
        <v>16055174</v>
      </c>
      <c r="K22" s="83" t="n">
        <v>17219679</v>
      </c>
    </row>
    <row r="23" customFormat="false" ht="15" hidden="false" customHeight="true" outlineLevel="0" collapsed="false">
      <c r="B23" s="11" t="s">
        <v>34</v>
      </c>
      <c r="C23" s="86" t="n">
        <v>3474998</v>
      </c>
      <c r="D23" s="86" t="n">
        <v>3507003</v>
      </c>
      <c r="E23" s="86" t="n">
        <v>3479010</v>
      </c>
      <c r="F23" s="86" t="n">
        <v>3506853</v>
      </c>
      <c r="G23" s="86" t="n">
        <v>3534165</v>
      </c>
      <c r="H23" s="86" t="n">
        <v>3560903</v>
      </c>
      <c r="I23" s="87" t="n">
        <v>3302729</v>
      </c>
      <c r="J23" s="88" t="n">
        <v>3302729</v>
      </c>
      <c r="K23" s="86" t="n">
        <v>3446071</v>
      </c>
    </row>
    <row r="24" customFormat="false" ht="15" hidden="false" customHeight="true" outlineLevel="0" collapsed="false">
      <c r="B24" s="7" t="s">
        <v>35</v>
      </c>
      <c r="C24" s="83" t="n">
        <v>1787279</v>
      </c>
      <c r="D24" s="83" t="n">
        <v>1805788</v>
      </c>
      <c r="E24" s="83" t="n">
        <v>1757589</v>
      </c>
      <c r="F24" s="83" t="n">
        <v>1777225</v>
      </c>
      <c r="G24" s="83" t="n">
        <v>1796460</v>
      </c>
      <c r="H24" s="83" t="n">
        <v>1815278</v>
      </c>
      <c r="I24" s="84" t="n">
        <v>1581196</v>
      </c>
      <c r="J24" s="85" t="n">
        <v>1581196</v>
      </c>
      <c r="K24" s="83" t="n">
        <v>1746227</v>
      </c>
    </row>
    <row r="25" customFormat="false" ht="15" hidden="false" customHeight="true" outlineLevel="0" collapsed="false">
      <c r="B25" s="11" t="s">
        <v>36</v>
      </c>
      <c r="C25" s="86" t="n">
        <v>514229</v>
      </c>
      <c r="D25" s="86" t="n">
        <v>522636</v>
      </c>
      <c r="E25" s="86" t="n">
        <v>576568</v>
      </c>
      <c r="F25" s="86" t="n">
        <v>605761</v>
      </c>
      <c r="G25" s="86" t="n">
        <v>631181</v>
      </c>
      <c r="H25" s="86" t="n">
        <v>652713</v>
      </c>
      <c r="I25" s="87" t="n">
        <v>636707</v>
      </c>
      <c r="J25" s="88" t="n">
        <v>636707</v>
      </c>
      <c r="K25" s="86" t="n">
        <v>716793</v>
      </c>
    </row>
    <row r="26" customFormat="false" ht="15" hidden="false" customHeight="true" outlineLevel="0" collapsed="false">
      <c r="B26" s="7" t="s">
        <v>37</v>
      </c>
      <c r="C26" s="83" t="n">
        <v>11286500</v>
      </c>
      <c r="D26" s="83" t="n">
        <v>11322895</v>
      </c>
      <c r="E26" s="83" t="n">
        <v>11329605</v>
      </c>
      <c r="F26" s="83" t="n">
        <v>11377239</v>
      </c>
      <c r="G26" s="83" t="n">
        <v>11422973</v>
      </c>
      <c r="H26" s="83" t="n">
        <v>11466630</v>
      </c>
      <c r="I26" s="84" t="n">
        <v>10882965</v>
      </c>
      <c r="J26" s="85" t="n">
        <v>10882965</v>
      </c>
      <c r="K26" s="83" t="n">
        <v>11229915</v>
      </c>
    </row>
    <row r="27" customFormat="false" ht="15" hidden="false" customHeight="true" outlineLevel="0" collapsed="false">
      <c r="B27" s="11" t="s">
        <v>38</v>
      </c>
      <c r="C27" s="86" t="n">
        <v>6910553</v>
      </c>
      <c r="D27" s="86" t="n">
        <v>7001161</v>
      </c>
      <c r="E27" s="86" t="n">
        <v>7075494</v>
      </c>
      <c r="F27" s="86" t="n">
        <v>7164788</v>
      </c>
      <c r="G27" s="86" t="n">
        <v>7252502</v>
      </c>
      <c r="H27" s="86" t="n">
        <v>7338473</v>
      </c>
      <c r="I27" s="87" t="n">
        <v>7610361</v>
      </c>
      <c r="J27" s="88" t="n">
        <v>7610361</v>
      </c>
      <c r="K27" s="86" t="n">
        <v>8058441</v>
      </c>
    </row>
    <row r="28" customFormat="false" ht="15" hidden="false" customHeight="true" outlineLevel="0" collapsed="false">
      <c r="B28" s="7" t="s">
        <v>39</v>
      </c>
      <c r="C28" s="83" t="n">
        <v>2265779</v>
      </c>
      <c r="D28" s="83" t="n">
        <v>2288116</v>
      </c>
      <c r="E28" s="83" t="n">
        <v>2278308</v>
      </c>
      <c r="F28" s="83" t="n">
        <v>2298696</v>
      </c>
      <c r="G28" s="83" t="n">
        <v>2318822</v>
      </c>
      <c r="H28" s="83" t="n">
        <v>2338474</v>
      </c>
      <c r="I28" s="84" t="n">
        <v>2210004</v>
      </c>
      <c r="J28" s="85" t="n">
        <v>2210004</v>
      </c>
      <c r="K28" s="83" t="n">
        <v>2291077</v>
      </c>
    </row>
    <row r="29" customFormat="false" ht="15" hidden="false" customHeight="true" outlineLevel="0" collapsed="false">
      <c r="B29" s="11" t="s">
        <v>40</v>
      </c>
      <c r="C29" s="86" t="n">
        <v>44749699</v>
      </c>
      <c r="D29" s="86" t="n">
        <v>45094866</v>
      </c>
      <c r="E29" s="86" t="n">
        <v>45538936</v>
      </c>
      <c r="F29" s="86" t="n">
        <v>45919049</v>
      </c>
      <c r="G29" s="86" t="n">
        <v>46289333</v>
      </c>
      <c r="H29" s="86" t="n">
        <v>46649132</v>
      </c>
      <c r="I29" s="87" t="n">
        <v>44411238</v>
      </c>
      <c r="J29" s="88" t="n">
        <v>44411238</v>
      </c>
      <c r="K29" s="86" t="n">
        <v>45973194</v>
      </c>
    </row>
    <row r="30" customFormat="false" ht="15" hidden="false" customHeight="true" outlineLevel="0" collapsed="false">
      <c r="B30" s="7" t="s">
        <v>41</v>
      </c>
      <c r="C30" s="83" t="n">
        <v>1532902</v>
      </c>
      <c r="D30" s="83" t="n">
        <v>1550194</v>
      </c>
      <c r="E30" s="83" t="n">
        <v>1555229</v>
      </c>
      <c r="F30" s="83" t="n">
        <v>1572866</v>
      </c>
      <c r="G30" s="83" t="n">
        <v>1590248</v>
      </c>
      <c r="H30" s="83" t="n">
        <v>1607363</v>
      </c>
      <c r="I30" s="84" t="n">
        <v>1511460</v>
      </c>
      <c r="J30" s="85" t="n">
        <v>1511460</v>
      </c>
      <c r="K30" s="83" t="n">
        <v>1577342</v>
      </c>
    </row>
    <row r="31" customFormat="false" ht="15.75" hidden="false" customHeight="true" outlineLevel="0" collapsed="false">
      <c r="B31" s="14" t="s">
        <v>42</v>
      </c>
      <c r="C31" s="15" t="n">
        <v>206081432</v>
      </c>
      <c r="D31" s="15" t="n">
        <v>207660929</v>
      </c>
      <c r="E31" s="15" t="n">
        <v>208494900</v>
      </c>
      <c r="F31" s="15" t="n">
        <v>210147125</v>
      </c>
      <c r="G31" s="15" t="n">
        <v>211755692</v>
      </c>
      <c r="H31" s="15" t="n">
        <v>213317639</v>
      </c>
      <c r="I31" s="15" t="n">
        <v>203080756</v>
      </c>
      <c r="J31" s="15" t="n">
        <v>203080756</v>
      </c>
      <c r="K31" s="15" t="n">
        <v>212583750</v>
      </c>
    </row>
    <row r="32" customFormat="false" ht="24" hidden="false" customHeight="true" outlineLevel="0" collapsed="false">
      <c r="B32" s="50" t="s">
        <v>116</v>
      </c>
      <c r="C32" s="50"/>
      <c r="D32" s="50"/>
      <c r="E32" s="50"/>
      <c r="F32" s="50"/>
      <c r="G32" s="50"/>
      <c r="H32" s="50"/>
      <c r="I32" s="50"/>
      <c r="J32" s="50"/>
      <c r="K32" s="50"/>
    </row>
  </sheetData>
  <mergeCells count="3">
    <mergeCell ref="B1:K1"/>
    <mergeCell ref="B2:K2"/>
    <mergeCell ref="B32:K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"/>
    <col collapsed="false" customWidth="true" hidden="false" outlineLevel="0" max="10" min="3" style="1" width="13"/>
    <col collapsed="false" customWidth="true" hidden="false" outlineLevel="0" max="11" min="11" style="1" width="14"/>
  </cols>
  <sheetData>
    <row r="1" customFormat="false" ht="21.75" hidden="false" customHeight="true" outlineLevel="0" collapsed="false">
      <c r="B1" s="81" t="s">
        <v>117</v>
      </c>
      <c r="C1" s="81"/>
      <c r="D1" s="81"/>
      <c r="E1" s="81"/>
      <c r="F1" s="81"/>
      <c r="G1" s="81"/>
      <c r="H1" s="81"/>
      <c r="I1" s="81"/>
      <c r="J1" s="81"/>
    </row>
    <row r="2" customFormat="false" ht="12.75" hidden="false" customHeight="true" outlineLevel="0" collapsed="false">
      <c r="B2" s="82" t="s">
        <v>118</v>
      </c>
      <c r="C2" s="82"/>
      <c r="D2" s="82"/>
      <c r="E2" s="82"/>
      <c r="F2" s="82"/>
      <c r="G2" s="82"/>
      <c r="H2" s="82"/>
      <c r="I2" s="82"/>
      <c r="J2" s="82"/>
    </row>
    <row r="3" customFormat="false" ht="19.5" hidden="false" customHeight="true" outlineLevel="0" collapsed="false"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9" t="s">
        <v>9</v>
      </c>
      <c r="J3" s="46" t="s">
        <v>10</v>
      </c>
      <c r="K3" s="69" t="s">
        <v>112</v>
      </c>
    </row>
    <row r="4" customFormat="false" ht="15" hidden="false" customHeight="true" outlineLevel="0" collapsed="false">
      <c r="B4" s="7" t="s">
        <v>15</v>
      </c>
      <c r="C4" s="83" t="n">
        <v>16842</v>
      </c>
      <c r="D4" s="83" t="n">
        <v>17204</v>
      </c>
      <c r="E4" s="83" t="n">
        <v>17637</v>
      </c>
      <c r="F4" s="83" t="n">
        <v>17722</v>
      </c>
      <c r="G4" s="83" t="n">
        <v>18420</v>
      </c>
      <c r="H4" s="83" t="n">
        <v>23569</v>
      </c>
      <c r="I4" s="84" t="n">
        <v>28525</v>
      </c>
      <c r="J4" s="85" t="n">
        <v>31676</v>
      </c>
      <c r="K4" s="89" t="n">
        <v>32220</v>
      </c>
    </row>
    <row r="5" customFormat="false" ht="15" hidden="false" customHeight="true" outlineLevel="0" collapsed="false">
      <c r="B5" s="11" t="s">
        <v>16</v>
      </c>
      <c r="C5" s="86" t="n">
        <v>14727</v>
      </c>
      <c r="D5" s="86" t="n">
        <v>15656</v>
      </c>
      <c r="E5" s="86" t="n">
        <v>16376</v>
      </c>
      <c r="F5" s="86" t="n">
        <v>17668</v>
      </c>
      <c r="G5" s="86" t="n">
        <v>18858</v>
      </c>
      <c r="H5" s="86" t="n">
        <v>22662</v>
      </c>
      <c r="I5" s="87" t="n">
        <v>24320</v>
      </c>
      <c r="J5" s="88" t="n">
        <v>28676</v>
      </c>
      <c r="K5" s="90" t="n">
        <v>30268</v>
      </c>
    </row>
    <row r="6" customFormat="false" ht="15" hidden="false" customHeight="true" outlineLevel="0" collapsed="false">
      <c r="B6" s="7" t="s">
        <v>17</v>
      </c>
      <c r="C6" s="83" t="n">
        <v>22251</v>
      </c>
      <c r="D6" s="83" t="n">
        <v>22945</v>
      </c>
      <c r="E6" s="83" t="n">
        <v>24533</v>
      </c>
      <c r="F6" s="83" t="n">
        <v>26102</v>
      </c>
      <c r="G6" s="83" t="n">
        <v>27573</v>
      </c>
      <c r="H6" s="83" t="n">
        <v>30804</v>
      </c>
      <c r="I6" s="84" t="n">
        <v>36823</v>
      </c>
      <c r="J6" s="85" t="n">
        <v>41048</v>
      </c>
      <c r="K6" s="89" t="n">
        <v>41557</v>
      </c>
    </row>
    <row r="7" customFormat="false" ht="15" hidden="false" customHeight="true" outlineLevel="0" collapsed="false">
      <c r="B7" s="11" t="s">
        <v>18</v>
      </c>
      <c r="C7" s="86" t="n">
        <v>18333</v>
      </c>
      <c r="D7" s="86" t="n">
        <v>19408</v>
      </c>
      <c r="E7" s="86" t="n">
        <v>20248</v>
      </c>
      <c r="F7" s="86" t="n">
        <v>20688</v>
      </c>
      <c r="G7" s="86" t="n">
        <v>21432</v>
      </c>
      <c r="H7" s="86" t="n">
        <v>22903</v>
      </c>
      <c r="I7" s="87" t="n">
        <v>32183</v>
      </c>
      <c r="J7" s="88" t="n">
        <v>38187</v>
      </c>
      <c r="K7" s="90" t="n">
        <v>39592</v>
      </c>
    </row>
    <row r="8" customFormat="false" ht="15" hidden="false" customHeight="true" outlineLevel="0" collapsed="false">
      <c r="B8" s="7" t="s">
        <v>19</v>
      </c>
      <c r="C8" s="83" t="n">
        <v>16937</v>
      </c>
      <c r="D8" s="83" t="n">
        <v>17513</v>
      </c>
      <c r="E8" s="83" t="n">
        <v>19324</v>
      </c>
      <c r="F8" s="83" t="n">
        <v>19716</v>
      </c>
      <c r="G8" s="83" t="n">
        <v>20449</v>
      </c>
      <c r="H8" s="83" t="n">
        <v>23531</v>
      </c>
      <c r="I8" s="84" t="n">
        <v>28472</v>
      </c>
      <c r="J8" s="85" t="n">
        <v>30477</v>
      </c>
      <c r="K8" s="89" t="n">
        <v>31312</v>
      </c>
    </row>
    <row r="9" customFormat="false" ht="15" hidden="false" customHeight="true" outlineLevel="0" collapsed="false">
      <c r="B9" s="11" t="s">
        <v>20</v>
      </c>
      <c r="C9" s="86" t="n">
        <v>15443</v>
      </c>
      <c r="D9" s="86" t="n">
        <v>16398</v>
      </c>
      <c r="E9" s="86" t="n">
        <v>17178</v>
      </c>
      <c r="F9" s="86" t="n">
        <v>17912</v>
      </c>
      <c r="G9" s="86" t="n">
        <v>18168</v>
      </c>
      <c r="H9" s="86" t="n">
        <v>21090</v>
      </c>
      <c r="I9" s="87" t="n">
        <v>24287</v>
      </c>
      <c r="J9" s="88" t="n">
        <v>26406</v>
      </c>
      <c r="K9" s="90" t="n">
        <v>27101</v>
      </c>
    </row>
    <row r="10" customFormat="false" ht="15" hidden="false" customHeight="true" outlineLevel="0" collapsed="false">
      <c r="B10" s="7" t="s">
        <v>21</v>
      </c>
      <c r="C10" s="83" t="n">
        <v>79114</v>
      </c>
      <c r="D10" s="83" t="n">
        <v>80515</v>
      </c>
      <c r="E10" s="83" t="n">
        <v>85661</v>
      </c>
      <c r="F10" s="83" t="n">
        <v>90743</v>
      </c>
      <c r="G10" s="83" t="n">
        <v>87016</v>
      </c>
      <c r="H10" s="83" t="n">
        <v>92732</v>
      </c>
      <c r="I10" s="84" t="n">
        <v>116700</v>
      </c>
      <c r="J10" s="85" t="n">
        <v>129790</v>
      </c>
      <c r="K10" s="89" t="n">
        <v>136149</v>
      </c>
    </row>
    <row r="11" customFormat="false" ht="15" hidden="false" customHeight="true" outlineLevel="0" collapsed="false">
      <c r="B11" s="11" t="s">
        <v>22</v>
      </c>
      <c r="C11" s="86" t="n">
        <v>27497</v>
      </c>
      <c r="D11" s="86" t="n">
        <v>28235</v>
      </c>
      <c r="E11" s="86" t="n">
        <v>34493</v>
      </c>
      <c r="F11" s="86" t="n">
        <v>34177</v>
      </c>
      <c r="G11" s="86" t="n">
        <v>34066</v>
      </c>
      <c r="H11" s="86" t="n">
        <v>45354</v>
      </c>
      <c r="I11" s="87" t="n">
        <v>47617</v>
      </c>
      <c r="J11" s="88" t="n">
        <v>54733</v>
      </c>
      <c r="K11" s="90" t="n">
        <v>53393</v>
      </c>
    </row>
    <row r="12" customFormat="false" ht="15" hidden="false" customHeight="true" outlineLevel="0" collapsed="false">
      <c r="B12" s="7" t="s">
        <v>23</v>
      </c>
      <c r="C12" s="83" t="n">
        <v>27145</v>
      </c>
      <c r="D12" s="83" t="n">
        <v>28316</v>
      </c>
      <c r="E12" s="83" t="n">
        <v>28273</v>
      </c>
      <c r="F12" s="83" t="n">
        <v>29732</v>
      </c>
      <c r="G12" s="83" t="n">
        <v>31507</v>
      </c>
      <c r="H12" s="83" t="n">
        <v>37414</v>
      </c>
      <c r="I12" s="84" t="n">
        <v>45148</v>
      </c>
      <c r="J12" s="85" t="n">
        <v>47722</v>
      </c>
      <c r="K12" s="89" t="n">
        <v>50470</v>
      </c>
    </row>
    <row r="13" customFormat="false" ht="15" hidden="false" customHeight="true" outlineLevel="0" collapsed="false">
      <c r="B13" s="11" t="s">
        <v>24</v>
      </c>
      <c r="C13" s="86" t="n">
        <v>12268</v>
      </c>
      <c r="D13" s="86" t="n">
        <v>12791</v>
      </c>
      <c r="E13" s="86" t="n">
        <v>13956</v>
      </c>
      <c r="F13" s="86" t="n">
        <v>13758</v>
      </c>
      <c r="G13" s="86" t="n">
        <v>15028</v>
      </c>
      <c r="H13" s="86" t="n">
        <v>17472</v>
      </c>
      <c r="I13" s="87" t="n">
        <v>20628</v>
      </c>
      <c r="J13" s="88" t="n">
        <v>22021</v>
      </c>
      <c r="K13" s="90" t="n">
        <v>22544</v>
      </c>
    </row>
    <row r="14" customFormat="false" ht="15" hidden="false" customHeight="true" outlineLevel="0" collapsed="false">
      <c r="B14" s="7" t="s">
        <v>25</v>
      </c>
      <c r="C14" s="83" t="n">
        <v>25946</v>
      </c>
      <c r="D14" s="83" t="n">
        <v>27291</v>
      </c>
      <c r="E14" s="83" t="n">
        <v>29223</v>
      </c>
      <c r="F14" s="83" t="n">
        <v>30794</v>
      </c>
      <c r="G14" s="83" t="n">
        <v>32067</v>
      </c>
      <c r="H14" s="83" t="n">
        <v>40052</v>
      </c>
      <c r="I14" s="84" t="n">
        <v>44145</v>
      </c>
      <c r="J14" s="85" t="n">
        <v>47321</v>
      </c>
      <c r="K14" s="89" t="n">
        <v>48462</v>
      </c>
    </row>
    <row r="15" customFormat="false" ht="15" hidden="false" customHeight="true" outlineLevel="0" collapsed="false">
      <c r="B15" s="11" t="s">
        <v>26</v>
      </c>
      <c r="C15" s="86" t="n">
        <v>34258</v>
      </c>
      <c r="D15" s="86" t="n">
        <v>35529</v>
      </c>
      <c r="E15" s="86" t="n">
        <v>38926</v>
      </c>
      <c r="F15" s="86" t="n">
        <v>38483</v>
      </c>
      <c r="G15" s="86" t="n">
        <v>43649</v>
      </c>
      <c r="H15" s="86" t="n">
        <v>50086</v>
      </c>
      <c r="I15" s="87" t="n">
        <v>60358</v>
      </c>
      <c r="J15" s="88" t="n">
        <v>66885</v>
      </c>
      <c r="K15" s="90" t="n">
        <v>69436</v>
      </c>
    </row>
    <row r="16" customFormat="false" ht="15" hidden="false" customHeight="true" outlineLevel="0" collapsed="false">
      <c r="B16" s="7" t="s">
        <v>27</v>
      </c>
      <c r="C16" s="83" t="n">
        <v>37477</v>
      </c>
      <c r="D16" s="83" t="n">
        <v>37926</v>
      </c>
      <c r="E16" s="83" t="n">
        <v>39931</v>
      </c>
      <c r="F16" s="83" t="n">
        <v>40787</v>
      </c>
      <c r="G16" s="83" t="n">
        <v>50663</v>
      </c>
      <c r="H16" s="83" t="n">
        <v>65426</v>
      </c>
      <c r="I16" s="84" t="n">
        <v>69842</v>
      </c>
      <c r="J16" s="85" t="n">
        <v>74620</v>
      </c>
      <c r="K16" s="89" t="n">
        <v>75843</v>
      </c>
    </row>
    <row r="17" customFormat="false" ht="15" hidden="false" customHeight="true" outlineLevel="0" collapsed="false">
      <c r="B17" s="11" t="s">
        <v>28</v>
      </c>
      <c r="C17" s="86" t="n">
        <v>16694</v>
      </c>
      <c r="D17" s="86" t="n">
        <v>18554</v>
      </c>
      <c r="E17" s="86" t="n">
        <v>18952</v>
      </c>
      <c r="F17" s="86" t="n">
        <v>20735</v>
      </c>
      <c r="G17" s="86" t="n">
        <v>24847</v>
      </c>
      <c r="H17" s="86" t="n">
        <v>29953</v>
      </c>
      <c r="I17" s="87" t="n">
        <v>29081</v>
      </c>
      <c r="J17" s="88" t="n">
        <v>31348</v>
      </c>
      <c r="K17" s="90" t="n">
        <v>30179</v>
      </c>
    </row>
    <row r="18" customFormat="false" ht="15" hidden="false" customHeight="true" outlineLevel="0" collapsed="false">
      <c r="B18" s="7" t="s">
        <v>29</v>
      </c>
      <c r="C18" s="83" t="n">
        <v>14778</v>
      </c>
      <c r="D18" s="83" t="n">
        <v>15500</v>
      </c>
      <c r="E18" s="83" t="n">
        <v>16108</v>
      </c>
      <c r="F18" s="83" t="n">
        <v>16920</v>
      </c>
      <c r="G18" s="83" t="n">
        <v>17402</v>
      </c>
      <c r="H18" s="83" t="n">
        <v>19082</v>
      </c>
      <c r="I18" s="84" t="n">
        <v>21661</v>
      </c>
      <c r="J18" s="85" t="n">
        <v>24395</v>
      </c>
      <c r="K18" s="89" t="n">
        <v>25683</v>
      </c>
    </row>
    <row r="19" customFormat="false" ht="15" hidden="false" customHeight="true" outlineLevel="0" collapsed="false">
      <c r="B19" s="11" t="s">
        <v>30</v>
      </c>
      <c r="C19" s="86" t="n">
        <v>17783</v>
      </c>
      <c r="D19" s="86" t="n">
        <v>19171</v>
      </c>
      <c r="E19" s="86" t="n">
        <v>19624</v>
      </c>
      <c r="F19" s="86" t="n">
        <v>20702</v>
      </c>
      <c r="G19" s="86" t="n">
        <v>20101</v>
      </c>
      <c r="H19" s="86" t="n">
        <v>22824</v>
      </c>
      <c r="I19" s="87" t="n">
        <v>27137</v>
      </c>
      <c r="J19" s="88" t="n">
        <v>29857</v>
      </c>
      <c r="K19" s="90" t="n">
        <v>30956</v>
      </c>
    </row>
    <row r="20" customFormat="false" ht="15" hidden="false" customHeight="true" outlineLevel="0" collapsed="false">
      <c r="B20" s="7" t="s">
        <v>31</v>
      </c>
      <c r="C20" s="83" t="n">
        <v>12894</v>
      </c>
      <c r="D20" s="83" t="n">
        <v>14092</v>
      </c>
      <c r="E20" s="83" t="n">
        <v>15432</v>
      </c>
      <c r="F20" s="83" t="n">
        <v>16125</v>
      </c>
      <c r="G20" s="83" t="n">
        <v>17185</v>
      </c>
      <c r="H20" s="83" t="n">
        <v>19466</v>
      </c>
      <c r="I20" s="84" t="n">
        <v>22265</v>
      </c>
      <c r="J20" s="85" t="n">
        <v>24736</v>
      </c>
      <c r="K20" s="89" t="n">
        <v>26337</v>
      </c>
    </row>
    <row r="21" customFormat="false" ht="15" hidden="false" customHeight="true" outlineLevel="0" collapsed="false">
      <c r="B21" s="11" t="s">
        <v>32</v>
      </c>
      <c r="C21" s="86" t="n">
        <v>35740</v>
      </c>
      <c r="D21" s="86" t="n">
        <v>37232</v>
      </c>
      <c r="E21" s="86" t="n">
        <v>38773</v>
      </c>
      <c r="F21" s="86" t="n">
        <v>40789</v>
      </c>
      <c r="G21" s="86" t="n">
        <v>42367</v>
      </c>
      <c r="H21" s="86" t="n">
        <v>47422</v>
      </c>
      <c r="I21" s="87" t="n">
        <v>53704</v>
      </c>
      <c r="J21" s="88" t="n">
        <v>58624</v>
      </c>
      <c r="K21" s="90" t="n">
        <v>61827</v>
      </c>
    </row>
    <row r="22" customFormat="false" ht="15" hidden="false" customHeight="true" outlineLevel="0" collapsed="false">
      <c r="B22" s="7" t="s">
        <v>33</v>
      </c>
      <c r="C22" s="83" t="n">
        <v>38495</v>
      </c>
      <c r="D22" s="83" t="n">
        <v>40170</v>
      </c>
      <c r="E22" s="83" t="n">
        <v>44223</v>
      </c>
      <c r="F22" s="83" t="n">
        <v>45174</v>
      </c>
      <c r="G22" s="83" t="n">
        <v>43408</v>
      </c>
      <c r="H22" s="83" t="n">
        <v>54360</v>
      </c>
      <c r="I22" s="84" t="n">
        <v>71847</v>
      </c>
      <c r="J22" s="85" t="n">
        <v>73053</v>
      </c>
      <c r="K22" s="89" t="n">
        <v>74008</v>
      </c>
    </row>
    <row r="23" customFormat="false" ht="15" hidden="false" customHeight="true" outlineLevel="0" collapsed="false">
      <c r="B23" s="11" t="s">
        <v>34</v>
      </c>
      <c r="C23" s="86" t="n">
        <v>17173</v>
      </c>
      <c r="D23" s="86" t="n">
        <v>18336</v>
      </c>
      <c r="E23" s="86" t="n">
        <v>19250</v>
      </c>
      <c r="F23" s="86" t="n">
        <v>20342</v>
      </c>
      <c r="G23" s="86" t="n">
        <v>20253</v>
      </c>
      <c r="H23" s="86" t="n">
        <v>22517</v>
      </c>
      <c r="I23" s="87" t="n">
        <v>28407</v>
      </c>
      <c r="J23" s="88" t="n">
        <v>30805</v>
      </c>
      <c r="K23" s="90" t="n">
        <v>32670</v>
      </c>
    </row>
    <row r="24" customFormat="false" ht="15" hidden="false" customHeight="true" outlineLevel="0" collapsed="false">
      <c r="B24" s="7" t="s">
        <v>35</v>
      </c>
      <c r="C24" s="83" t="n">
        <v>22078</v>
      </c>
      <c r="D24" s="83" t="n">
        <v>24098</v>
      </c>
      <c r="E24" s="83" t="n">
        <v>25554</v>
      </c>
      <c r="F24" s="83" t="n">
        <v>26497</v>
      </c>
      <c r="G24" s="83" t="n">
        <v>28722</v>
      </c>
      <c r="H24" s="83" t="n">
        <v>32045</v>
      </c>
      <c r="I24" s="84" t="n">
        <v>42244</v>
      </c>
      <c r="J24" s="85" t="n">
        <v>48353</v>
      </c>
      <c r="K24" s="89" t="n">
        <v>48766</v>
      </c>
    </row>
    <row r="25" customFormat="false" ht="15" hidden="false" customHeight="true" outlineLevel="0" collapsed="false">
      <c r="B25" s="11" t="s">
        <v>36</v>
      </c>
      <c r="C25" s="86" t="n">
        <v>21417</v>
      </c>
      <c r="D25" s="86" t="n">
        <v>23161</v>
      </c>
      <c r="E25" s="86" t="n">
        <v>23189</v>
      </c>
      <c r="F25" s="86" t="n">
        <v>23594</v>
      </c>
      <c r="G25" s="86" t="n">
        <v>25388</v>
      </c>
      <c r="H25" s="86" t="n">
        <v>27888</v>
      </c>
      <c r="I25" s="87" t="n">
        <v>33132</v>
      </c>
      <c r="J25" s="88" t="n">
        <v>39461</v>
      </c>
      <c r="K25" s="90" t="n">
        <v>39946</v>
      </c>
    </row>
    <row r="26" customFormat="false" ht="15" hidden="false" customHeight="true" outlineLevel="0" collapsed="false">
      <c r="B26" s="7" t="s">
        <v>37</v>
      </c>
      <c r="C26" s="83" t="n">
        <v>36219</v>
      </c>
      <c r="D26" s="83" t="n">
        <v>37382</v>
      </c>
      <c r="E26" s="83" t="n">
        <v>40363</v>
      </c>
      <c r="F26" s="83" t="n">
        <v>42406</v>
      </c>
      <c r="G26" s="83" t="n">
        <v>41228</v>
      </c>
      <c r="H26" s="83" t="n">
        <v>50694</v>
      </c>
      <c r="I26" s="84" t="n">
        <v>54547</v>
      </c>
      <c r="J26" s="85" t="n">
        <v>59736</v>
      </c>
      <c r="K26" s="89" t="n">
        <v>61199</v>
      </c>
    </row>
    <row r="27" customFormat="false" ht="15" hidden="false" customHeight="true" outlineLevel="0" collapsed="false">
      <c r="B27" s="11" t="s">
        <v>38</v>
      </c>
      <c r="C27" s="86" t="n">
        <v>37154</v>
      </c>
      <c r="D27" s="86" t="n">
        <v>39603</v>
      </c>
      <c r="E27" s="86" t="n">
        <v>42149</v>
      </c>
      <c r="F27" s="86" t="n">
        <v>45118</v>
      </c>
      <c r="G27" s="86" t="n">
        <v>48159</v>
      </c>
      <c r="H27" s="86" t="n">
        <v>58401</v>
      </c>
      <c r="I27" s="87" t="n">
        <v>61268</v>
      </c>
      <c r="J27" s="88" t="n">
        <v>67460</v>
      </c>
      <c r="K27" s="90" t="n">
        <v>69506</v>
      </c>
    </row>
    <row r="28" customFormat="false" ht="15" hidden="false" customHeight="true" outlineLevel="0" collapsed="false">
      <c r="B28" s="7" t="s">
        <v>39</v>
      </c>
      <c r="C28" s="83" t="n">
        <v>17159</v>
      </c>
      <c r="D28" s="83" t="n">
        <v>17793</v>
      </c>
      <c r="E28" s="83" t="n">
        <v>18443</v>
      </c>
      <c r="F28" s="83" t="n">
        <v>19441</v>
      </c>
      <c r="G28" s="83" t="n">
        <v>19583</v>
      </c>
      <c r="H28" s="83" t="n">
        <v>22177</v>
      </c>
      <c r="I28" s="84" t="n">
        <v>25960</v>
      </c>
      <c r="J28" s="85" t="n">
        <v>27519</v>
      </c>
      <c r="K28" s="89" t="n">
        <v>28579</v>
      </c>
    </row>
    <row r="29" customFormat="false" ht="15" hidden="false" customHeight="true" outlineLevel="0" collapsed="false">
      <c r="B29" s="11" t="s">
        <v>40</v>
      </c>
      <c r="C29" s="86" t="n">
        <v>45559</v>
      </c>
      <c r="D29" s="86" t="n">
        <v>47029</v>
      </c>
      <c r="E29" s="86" t="n">
        <v>48542</v>
      </c>
      <c r="F29" s="86" t="n">
        <v>51141</v>
      </c>
      <c r="G29" s="86" t="n">
        <v>51365</v>
      </c>
      <c r="H29" s="86" t="n">
        <v>58302</v>
      </c>
      <c r="I29" s="87" t="n">
        <v>70485</v>
      </c>
      <c r="J29" s="88" t="n">
        <v>77566</v>
      </c>
      <c r="K29" s="90" t="n">
        <v>82767</v>
      </c>
    </row>
    <row r="30" customFormat="false" ht="15" hidden="false" customHeight="true" outlineLevel="0" collapsed="false">
      <c r="B30" s="7" t="s">
        <v>41</v>
      </c>
      <c r="C30" s="83" t="n">
        <v>20605</v>
      </c>
      <c r="D30" s="83" t="n">
        <v>22002</v>
      </c>
      <c r="E30" s="83" t="n">
        <v>22933</v>
      </c>
      <c r="F30" s="83" t="n">
        <v>25022</v>
      </c>
      <c r="G30" s="83" t="n">
        <v>27448</v>
      </c>
      <c r="H30" s="83" t="n">
        <v>32215</v>
      </c>
      <c r="I30" s="84" t="n">
        <v>38512</v>
      </c>
      <c r="J30" s="85" t="n">
        <v>42553</v>
      </c>
      <c r="K30" s="89" t="n">
        <v>45296</v>
      </c>
    </row>
    <row r="31" customFormat="false" ht="15.75" hidden="false" customHeight="true" outlineLevel="0" collapsed="false">
      <c r="B31" s="14" t="s">
        <v>42</v>
      </c>
      <c r="C31" s="15" t="n">
        <v>30422</v>
      </c>
      <c r="D31" s="15" t="n">
        <v>31713</v>
      </c>
      <c r="E31" s="15" t="n">
        <v>33594</v>
      </c>
      <c r="F31" s="15" t="n">
        <v>35162</v>
      </c>
      <c r="G31" s="15" t="n">
        <v>35936</v>
      </c>
      <c r="H31" s="15" t="n">
        <v>42248</v>
      </c>
      <c r="I31" s="15" t="n">
        <v>49634</v>
      </c>
      <c r="J31" s="15" t="n">
        <v>53887</v>
      </c>
    </row>
    <row r="32" customFormat="false" ht="24" hidden="false" customHeight="true" outlineLevel="0" collapsed="false">
      <c r="B32" s="50" t="s">
        <v>119</v>
      </c>
      <c r="C32" s="50"/>
      <c r="D32" s="50"/>
      <c r="E32" s="50"/>
      <c r="F32" s="50"/>
      <c r="G32" s="50"/>
      <c r="H32" s="50"/>
      <c r="I32" s="50"/>
      <c r="J32" s="50"/>
    </row>
  </sheetData>
  <mergeCells count="3">
    <mergeCell ref="B1:J1"/>
    <mergeCell ref="B2:J2"/>
    <mergeCell ref="B32:J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"/>
    <col collapsed="false" customWidth="true" hidden="false" outlineLevel="0" max="11" min="3" style="1" width="9"/>
  </cols>
  <sheetData>
    <row r="1" customFormat="false" ht="21.75" hidden="false" customHeight="true" outlineLevel="0" collapsed="false">
      <c r="B1" s="81" t="s">
        <v>120</v>
      </c>
      <c r="C1" s="81"/>
      <c r="D1" s="81"/>
      <c r="E1" s="81"/>
      <c r="F1" s="81"/>
      <c r="G1" s="81"/>
      <c r="H1" s="81"/>
      <c r="I1" s="81"/>
      <c r="J1" s="81"/>
      <c r="K1" s="81"/>
    </row>
    <row r="2" customFormat="false" ht="12.75" hidden="false" customHeight="true" outlineLevel="0" collapsed="false">
      <c r="B2" s="82" t="s">
        <v>121</v>
      </c>
      <c r="C2" s="82"/>
      <c r="D2" s="82"/>
      <c r="E2" s="82"/>
      <c r="F2" s="82"/>
      <c r="G2" s="82"/>
      <c r="H2" s="82"/>
      <c r="I2" s="82"/>
      <c r="J2" s="82"/>
      <c r="K2" s="82"/>
    </row>
    <row r="3" customFormat="false" ht="19.5" hidden="false" customHeight="true" outlineLevel="0" collapsed="false"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91" t="s">
        <v>7</v>
      </c>
      <c r="H3" s="91" t="s">
        <v>8</v>
      </c>
      <c r="I3" s="59" t="s">
        <v>9</v>
      </c>
      <c r="J3" s="46" t="s">
        <v>10</v>
      </c>
      <c r="K3" s="5" t="s">
        <v>11</v>
      </c>
    </row>
    <row r="4" customFormat="false" ht="15" hidden="false" customHeight="true" outlineLevel="0" collapsed="false">
      <c r="B4" s="7" t="s">
        <v>15</v>
      </c>
      <c r="C4" s="92" t="n">
        <v>10.9</v>
      </c>
      <c r="D4" s="92" t="n">
        <v>14.2</v>
      </c>
      <c r="E4" s="92" t="n">
        <v>13.7</v>
      </c>
      <c r="F4" s="92" t="n">
        <v>14.7</v>
      </c>
      <c r="G4" s="93" t="n">
        <v>15.2</v>
      </c>
      <c r="H4" s="93" t="n">
        <v>15.3</v>
      </c>
      <c r="I4" s="94" t="n">
        <v>11.6</v>
      </c>
      <c r="J4" s="95" t="n">
        <v>7.9</v>
      </c>
      <c r="K4" s="92" t="n">
        <v>7.9</v>
      </c>
    </row>
    <row r="5" customFormat="false" ht="15" hidden="false" customHeight="true" outlineLevel="0" collapsed="false">
      <c r="B5" s="11" t="s">
        <v>16</v>
      </c>
      <c r="C5" s="96" t="n">
        <v>14.2</v>
      </c>
      <c r="D5" s="96" t="n">
        <v>16.9</v>
      </c>
      <c r="E5" s="96" t="n">
        <v>17.3</v>
      </c>
      <c r="F5" s="96" t="n">
        <v>15.1</v>
      </c>
      <c r="G5" s="93" t="n">
        <v>19.1</v>
      </c>
      <c r="H5" s="93" t="n">
        <v>17.8</v>
      </c>
      <c r="I5" s="97" t="n">
        <v>11.2</v>
      </c>
      <c r="J5" s="98" t="n">
        <v>9.6</v>
      </c>
      <c r="K5" s="96" t="n">
        <v>8.6</v>
      </c>
    </row>
    <row r="6" customFormat="false" ht="15" hidden="false" customHeight="true" outlineLevel="0" collapsed="false">
      <c r="B6" s="7" t="s">
        <v>17</v>
      </c>
      <c r="C6" s="92" t="n">
        <v>13.8</v>
      </c>
      <c r="D6" s="92" t="n">
        <v>15.9</v>
      </c>
      <c r="E6" s="92" t="n">
        <v>14</v>
      </c>
      <c r="F6" s="92" t="n">
        <v>14.2</v>
      </c>
      <c r="G6" s="93" t="n">
        <v>16</v>
      </c>
      <c r="H6" s="93" t="n">
        <v>15</v>
      </c>
      <c r="I6" s="94" t="n">
        <v>10.8</v>
      </c>
      <c r="J6" s="95" t="n">
        <v>9.7</v>
      </c>
      <c r="K6" s="92" t="n">
        <v>8.8</v>
      </c>
    </row>
    <row r="7" customFormat="false" ht="15" hidden="false" customHeight="true" outlineLevel="0" collapsed="false">
      <c r="B7" s="11" t="s">
        <v>18</v>
      </c>
      <c r="C7" s="96" t="n">
        <v>15.8</v>
      </c>
      <c r="D7" s="96" t="n">
        <v>18.1</v>
      </c>
      <c r="E7" s="96" t="n">
        <v>20.4</v>
      </c>
      <c r="F7" s="96" t="n">
        <v>17.6</v>
      </c>
      <c r="G7" s="93" t="n">
        <v>15</v>
      </c>
      <c r="H7" s="93" t="n">
        <v>16.6</v>
      </c>
      <c r="I7" s="97" t="n">
        <v>12.5</v>
      </c>
      <c r="J7" s="98" t="n">
        <v>12.8</v>
      </c>
      <c r="K7" s="96" t="n">
        <v>9.3</v>
      </c>
    </row>
    <row r="8" customFormat="false" ht="15" hidden="false" customHeight="true" outlineLevel="0" collapsed="false">
      <c r="B8" s="7" t="s">
        <v>19</v>
      </c>
      <c r="C8" s="92" t="n">
        <v>16</v>
      </c>
      <c r="D8" s="92" t="n">
        <v>17.1</v>
      </c>
      <c r="E8" s="92" t="n">
        <v>17.2</v>
      </c>
      <c r="F8" s="92" t="n">
        <v>17.4</v>
      </c>
      <c r="G8" s="93" t="n">
        <v>20.2</v>
      </c>
      <c r="H8" s="93" t="n">
        <v>19.5</v>
      </c>
      <c r="I8" s="94" t="n">
        <v>15.3</v>
      </c>
      <c r="J8" s="95" t="n">
        <v>13.4</v>
      </c>
      <c r="K8" s="92" t="n">
        <v>11.2</v>
      </c>
    </row>
    <row r="9" customFormat="false" ht="15" hidden="false" customHeight="true" outlineLevel="0" collapsed="false">
      <c r="B9" s="11" t="s">
        <v>20</v>
      </c>
      <c r="C9" s="96" t="n">
        <v>12.1</v>
      </c>
      <c r="D9" s="96" t="n">
        <v>12.7</v>
      </c>
      <c r="E9" s="96" t="n">
        <v>11.4</v>
      </c>
      <c r="F9" s="96" t="n">
        <v>11.1</v>
      </c>
      <c r="G9" s="93" t="n">
        <v>13.3</v>
      </c>
      <c r="H9" s="93" t="n">
        <v>13.4</v>
      </c>
      <c r="I9" s="97" t="n">
        <v>9.5</v>
      </c>
      <c r="J9" s="98" t="n">
        <v>9.1</v>
      </c>
      <c r="K9" s="96" t="n">
        <v>7.3</v>
      </c>
    </row>
    <row r="10" customFormat="false" ht="15" hidden="false" customHeight="true" outlineLevel="0" collapsed="false">
      <c r="B10" s="7" t="s">
        <v>21</v>
      </c>
      <c r="C10" s="92" t="n">
        <v>12.1</v>
      </c>
      <c r="D10" s="92" t="n">
        <v>13.3</v>
      </c>
      <c r="E10" s="92" t="n">
        <v>12.8</v>
      </c>
      <c r="F10" s="92" t="n">
        <v>13.4</v>
      </c>
      <c r="G10" s="93" t="n">
        <v>14.8</v>
      </c>
      <c r="H10" s="93" t="n">
        <v>14</v>
      </c>
      <c r="I10" s="94" t="n">
        <v>11.4</v>
      </c>
      <c r="J10" s="95" t="n">
        <v>9.8</v>
      </c>
      <c r="K10" s="92" t="n">
        <v>9.2</v>
      </c>
    </row>
    <row r="11" customFormat="false" ht="15" hidden="false" customHeight="true" outlineLevel="0" collapsed="false">
      <c r="B11" s="11" t="s">
        <v>22</v>
      </c>
      <c r="C11" s="96" t="n">
        <v>12.4</v>
      </c>
      <c r="D11" s="96" t="n">
        <v>13.3</v>
      </c>
      <c r="E11" s="96" t="n">
        <v>11.7</v>
      </c>
      <c r="F11" s="96" t="n">
        <v>11.2</v>
      </c>
      <c r="G11" s="93" t="n">
        <v>12.9</v>
      </c>
      <c r="H11" s="93" t="n">
        <v>11.2</v>
      </c>
      <c r="I11" s="97" t="n">
        <v>8</v>
      </c>
      <c r="J11" s="98" t="n">
        <v>6.1</v>
      </c>
      <c r="K11" s="96" t="n">
        <v>4.7</v>
      </c>
    </row>
    <row r="12" customFormat="false" ht="15" hidden="false" customHeight="true" outlineLevel="0" collapsed="false">
      <c r="B12" s="7" t="s">
        <v>23</v>
      </c>
      <c r="C12" s="92" t="n">
        <v>10.7</v>
      </c>
      <c r="D12" s="92" t="n">
        <v>10.7</v>
      </c>
      <c r="E12" s="92" t="n">
        <v>9.3</v>
      </c>
      <c r="F12" s="92" t="n">
        <v>10.8</v>
      </c>
      <c r="G12" s="93" t="n">
        <v>12.8</v>
      </c>
      <c r="H12" s="93" t="n">
        <v>11.3</v>
      </c>
      <c r="I12" s="94" t="n">
        <v>7.2</v>
      </c>
      <c r="J12" s="95" t="n">
        <v>6.2</v>
      </c>
      <c r="K12" s="92" t="n">
        <v>5.4</v>
      </c>
    </row>
    <row r="13" customFormat="false" ht="15" hidden="false" customHeight="true" outlineLevel="0" collapsed="false">
      <c r="B13" s="11" t="s">
        <v>24</v>
      </c>
      <c r="C13" s="96" t="n">
        <v>12.1</v>
      </c>
      <c r="D13" s="96" t="n">
        <v>14.5</v>
      </c>
      <c r="E13" s="96" t="n">
        <v>14.7</v>
      </c>
      <c r="F13" s="96" t="n">
        <v>14.7</v>
      </c>
      <c r="G13" s="93" t="n">
        <v>16.4</v>
      </c>
      <c r="H13" s="93" t="n">
        <v>16.1</v>
      </c>
      <c r="I13" s="97" t="n">
        <v>10.5</v>
      </c>
      <c r="J13" s="98" t="n">
        <v>8.2</v>
      </c>
      <c r="K13" s="96" t="n">
        <v>7.7</v>
      </c>
    </row>
    <row r="14" customFormat="false" ht="15" hidden="false" customHeight="true" outlineLevel="0" collapsed="false">
      <c r="B14" s="7" t="s">
        <v>25</v>
      </c>
      <c r="C14" s="92" t="n">
        <v>11.2</v>
      </c>
      <c r="D14" s="92" t="n">
        <v>12.2</v>
      </c>
      <c r="E14" s="92" t="n">
        <v>10.8</v>
      </c>
      <c r="F14" s="92" t="n">
        <v>10.1</v>
      </c>
      <c r="G14" s="93" t="n">
        <v>12.8</v>
      </c>
      <c r="H14" s="93" t="n">
        <v>11.7</v>
      </c>
      <c r="I14" s="94" t="n">
        <v>7.2</v>
      </c>
      <c r="J14" s="95" t="n">
        <v>6.1</v>
      </c>
      <c r="K14" s="92" t="n">
        <v>5.2</v>
      </c>
    </row>
    <row r="15" customFormat="false" ht="15" hidden="false" customHeight="true" outlineLevel="0" collapsed="false">
      <c r="B15" s="11" t="s">
        <v>26</v>
      </c>
      <c r="C15" s="96" t="n">
        <v>7.7</v>
      </c>
      <c r="D15" s="96" t="n">
        <v>8.6</v>
      </c>
      <c r="E15" s="96" t="n">
        <v>7.6</v>
      </c>
      <c r="F15" s="96" t="n">
        <v>8.1</v>
      </c>
      <c r="G15" s="93" t="n">
        <v>10.2</v>
      </c>
      <c r="H15" s="93" t="n">
        <v>8.7</v>
      </c>
      <c r="I15" s="97" t="n">
        <v>5</v>
      </c>
      <c r="J15" s="98" t="n">
        <v>4.2</v>
      </c>
      <c r="K15" s="96" t="n">
        <v>4</v>
      </c>
    </row>
    <row r="16" customFormat="false" ht="15" hidden="false" customHeight="true" outlineLevel="0" collapsed="false">
      <c r="B16" s="7" t="s">
        <v>27</v>
      </c>
      <c r="C16" s="92" t="n">
        <v>9.5</v>
      </c>
      <c r="D16" s="92" t="n">
        <v>9.1</v>
      </c>
      <c r="E16" s="92" t="n">
        <v>8</v>
      </c>
      <c r="F16" s="92" t="n">
        <v>8</v>
      </c>
      <c r="G16" s="93" t="n">
        <v>9.9</v>
      </c>
      <c r="H16" s="93" t="n">
        <v>8</v>
      </c>
      <c r="I16" s="94" t="n">
        <v>4.3</v>
      </c>
      <c r="J16" s="95" t="n">
        <v>3.5</v>
      </c>
      <c r="K16" s="92" t="n">
        <v>2.9</v>
      </c>
    </row>
    <row r="17" customFormat="false" ht="15" hidden="false" customHeight="true" outlineLevel="0" collapsed="false">
      <c r="B17" s="11" t="s">
        <v>28</v>
      </c>
      <c r="C17" s="96" t="n">
        <v>11.2</v>
      </c>
      <c r="D17" s="96" t="n">
        <v>11.8</v>
      </c>
      <c r="E17" s="96" t="n">
        <v>11.2</v>
      </c>
      <c r="F17" s="96" t="n">
        <v>10.8</v>
      </c>
      <c r="G17" s="93" t="n">
        <v>10.5</v>
      </c>
      <c r="H17" s="93" t="n">
        <v>12.5</v>
      </c>
      <c r="I17" s="97" t="n">
        <v>9.6</v>
      </c>
      <c r="J17" s="98" t="n">
        <v>8.5</v>
      </c>
      <c r="K17" s="96" t="n">
        <v>7.5</v>
      </c>
    </row>
    <row r="18" customFormat="false" ht="15" hidden="false" customHeight="true" outlineLevel="0" collapsed="false">
      <c r="B18" s="7" t="s">
        <v>29</v>
      </c>
      <c r="C18" s="92" t="n">
        <v>11.6</v>
      </c>
      <c r="D18" s="92" t="n">
        <v>11.5</v>
      </c>
      <c r="E18" s="92" t="n">
        <v>11.3</v>
      </c>
      <c r="F18" s="92" t="n">
        <v>11.8</v>
      </c>
      <c r="G18" s="93" t="n">
        <v>15</v>
      </c>
      <c r="H18" s="93" t="n">
        <v>14.8</v>
      </c>
      <c r="I18" s="94" t="n">
        <v>12</v>
      </c>
      <c r="J18" s="95" t="n">
        <v>10.1</v>
      </c>
      <c r="K18" s="92" t="n">
        <v>8.7</v>
      </c>
    </row>
    <row r="19" customFormat="false" ht="15" hidden="false" customHeight="true" outlineLevel="0" collapsed="false">
      <c r="B19" s="11" t="s">
        <v>30</v>
      </c>
      <c r="C19" s="96" t="n">
        <v>14.8</v>
      </c>
      <c r="D19" s="96" t="n">
        <v>17.9</v>
      </c>
      <c r="E19" s="96" t="n">
        <v>16.9</v>
      </c>
      <c r="F19" s="96" t="n">
        <v>15.7</v>
      </c>
      <c r="G19" s="93" t="n">
        <v>17.2</v>
      </c>
      <c r="H19" s="93" t="n">
        <v>19.9</v>
      </c>
      <c r="I19" s="97" t="n">
        <v>14.2</v>
      </c>
      <c r="J19" s="98" t="n">
        <v>13.4</v>
      </c>
      <c r="K19" s="96" t="n">
        <v>11.1</v>
      </c>
    </row>
    <row r="20" customFormat="false" ht="15" hidden="false" customHeight="true" outlineLevel="0" collapsed="false">
      <c r="B20" s="7" t="s">
        <v>31</v>
      </c>
      <c r="C20" s="92" t="n">
        <v>9.6</v>
      </c>
      <c r="D20" s="92" t="n">
        <v>13</v>
      </c>
      <c r="E20" s="92" t="n">
        <v>12.9</v>
      </c>
      <c r="F20" s="92" t="n">
        <v>13</v>
      </c>
      <c r="G20" s="93" t="n">
        <v>13.3</v>
      </c>
      <c r="H20" s="93" t="n">
        <v>13.6</v>
      </c>
      <c r="I20" s="94" t="n">
        <v>10.2</v>
      </c>
      <c r="J20" s="95" t="n">
        <v>10.3</v>
      </c>
      <c r="K20" s="92" t="n">
        <v>8.5</v>
      </c>
    </row>
    <row r="21" customFormat="false" ht="15" hidden="false" customHeight="true" outlineLevel="0" collapsed="false">
      <c r="B21" s="11" t="s">
        <v>32</v>
      </c>
      <c r="C21" s="96" t="n">
        <v>8.3</v>
      </c>
      <c r="D21" s="96" t="n">
        <v>9</v>
      </c>
      <c r="E21" s="96" t="n">
        <v>8.8</v>
      </c>
      <c r="F21" s="96" t="n">
        <v>8.7</v>
      </c>
      <c r="G21" s="93" t="n">
        <v>9.6</v>
      </c>
      <c r="H21" s="93" t="n">
        <v>8.4</v>
      </c>
      <c r="I21" s="97" t="n">
        <v>5.8</v>
      </c>
      <c r="J21" s="98" t="n">
        <v>4.9</v>
      </c>
      <c r="K21" s="96" t="n">
        <v>4</v>
      </c>
    </row>
    <row r="22" customFormat="false" ht="15" hidden="false" customHeight="true" outlineLevel="0" collapsed="false">
      <c r="B22" s="7" t="s">
        <v>33</v>
      </c>
      <c r="C22" s="92" t="n">
        <v>11.9</v>
      </c>
      <c r="D22" s="92" t="n">
        <v>15.1</v>
      </c>
      <c r="E22" s="92" t="n">
        <v>15.1</v>
      </c>
      <c r="F22" s="92" t="n">
        <v>14.8</v>
      </c>
      <c r="G22" s="93" t="n">
        <v>17.6</v>
      </c>
      <c r="H22" s="93" t="n">
        <v>16.9</v>
      </c>
      <c r="I22" s="94" t="n">
        <v>12.8</v>
      </c>
      <c r="J22" s="95" t="n">
        <v>11</v>
      </c>
      <c r="K22" s="92" t="n">
        <v>9</v>
      </c>
    </row>
    <row r="23" customFormat="false" ht="15" hidden="false" customHeight="true" outlineLevel="0" collapsed="false">
      <c r="B23" s="11" t="s">
        <v>34</v>
      </c>
      <c r="C23" s="96" t="n">
        <v>14.3</v>
      </c>
      <c r="D23" s="96" t="n">
        <v>14.7</v>
      </c>
      <c r="E23" s="96" t="n">
        <v>13.7</v>
      </c>
      <c r="F23" s="96" t="n">
        <v>13.3</v>
      </c>
      <c r="G23" s="93" t="n">
        <v>16.1</v>
      </c>
      <c r="H23" s="93" t="n">
        <v>14.9</v>
      </c>
      <c r="I23" s="97" t="n">
        <v>11.7</v>
      </c>
      <c r="J23" s="98" t="n">
        <v>10.3</v>
      </c>
      <c r="K23" s="96" t="n">
        <v>9.1</v>
      </c>
    </row>
    <row r="24" customFormat="false" ht="15" hidden="false" customHeight="true" outlineLevel="0" collapsed="false">
      <c r="B24" s="7" t="s">
        <v>35</v>
      </c>
      <c r="C24" s="92" t="n">
        <v>8</v>
      </c>
      <c r="D24" s="92" t="n">
        <v>8.2</v>
      </c>
      <c r="E24" s="92" t="n">
        <v>9.2</v>
      </c>
      <c r="F24" s="92" t="n">
        <v>8.1</v>
      </c>
      <c r="G24" s="93" t="n">
        <v>10.6</v>
      </c>
      <c r="H24" s="93" t="n">
        <v>8.9</v>
      </c>
      <c r="I24" s="94" t="n">
        <v>4.9</v>
      </c>
      <c r="J24" s="95" t="n">
        <v>2.9</v>
      </c>
      <c r="K24" s="92" t="n">
        <v>2.9</v>
      </c>
    </row>
    <row r="25" customFormat="false" ht="15" hidden="false" customHeight="true" outlineLevel="0" collapsed="false">
      <c r="B25" s="11" t="s">
        <v>36</v>
      </c>
      <c r="C25" s="96" t="n">
        <v>8.9</v>
      </c>
      <c r="D25" s="96" t="n">
        <v>10</v>
      </c>
      <c r="E25" s="96" t="n">
        <v>12.4</v>
      </c>
      <c r="F25" s="96" t="n">
        <v>15.1</v>
      </c>
      <c r="G25" s="93" t="n">
        <v>16.8</v>
      </c>
      <c r="H25" s="93" t="n">
        <v>12.1</v>
      </c>
      <c r="I25" s="97" t="n">
        <v>6.1</v>
      </c>
      <c r="J25" s="98" t="n">
        <v>6.7</v>
      </c>
      <c r="K25" s="96" t="n">
        <v>6.8</v>
      </c>
    </row>
    <row r="26" customFormat="false" ht="15" hidden="false" customHeight="true" outlineLevel="0" collapsed="false">
      <c r="B26" s="7" t="s">
        <v>37</v>
      </c>
      <c r="C26" s="92" t="n">
        <v>8.3</v>
      </c>
      <c r="D26" s="92" t="n">
        <v>8.5</v>
      </c>
      <c r="E26" s="92" t="n">
        <v>8.2</v>
      </c>
      <c r="F26" s="92" t="n">
        <v>8.2</v>
      </c>
      <c r="G26" s="93" t="n">
        <v>9.3</v>
      </c>
      <c r="H26" s="93" t="n">
        <v>8.7</v>
      </c>
      <c r="I26" s="94" t="n">
        <v>6.1</v>
      </c>
      <c r="J26" s="95" t="n">
        <v>5.3</v>
      </c>
      <c r="K26" s="92" t="n">
        <v>5.1</v>
      </c>
    </row>
    <row r="27" customFormat="false" ht="15" hidden="false" customHeight="true" outlineLevel="0" collapsed="false">
      <c r="B27" s="11" t="s">
        <v>38</v>
      </c>
      <c r="C27" s="96" t="n">
        <v>6.4</v>
      </c>
      <c r="D27" s="96" t="n">
        <v>7.2</v>
      </c>
      <c r="E27" s="96" t="n">
        <v>6.5</v>
      </c>
      <c r="F27" s="96" t="n">
        <v>6.2</v>
      </c>
      <c r="G27" s="93" t="n">
        <v>6.3</v>
      </c>
      <c r="H27" s="93" t="n">
        <v>5.5</v>
      </c>
      <c r="I27" s="97" t="n">
        <v>3.9</v>
      </c>
      <c r="J27" s="98" t="n">
        <v>3.5</v>
      </c>
      <c r="K27" s="96" t="n">
        <v>3.1</v>
      </c>
    </row>
    <row r="28" customFormat="false" ht="15" hidden="false" customHeight="true" outlineLevel="0" collapsed="false">
      <c r="B28" s="7" t="s">
        <v>39</v>
      </c>
      <c r="C28" s="92" t="n">
        <v>13.6</v>
      </c>
      <c r="D28" s="92" t="n">
        <v>14.6</v>
      </c>
      <c r="E28" s="92" t="n">
        <v>16.8</v>
      </c>
      <c r="F28" s="92" t="n">
        <v>15.2</v>
      </c>
      <c r="G28" s="93" t="n">
        <v>18.9</v>
      </c>
      <c r="H28" s="93" t="n">
        <v>18</v>
      </c>
      <c r="I28" s="94" t="n">
        <v>13.1</v>
      </c>
      <c r="J28" s="95" t="n">
        <v>10.9</v>
      </c>
      <c r="K28" s="92" t="n">
        <v>8.9</v>
      </c>
    </row>
    <row r="29" customFormat="false" ht="15" hidden="false" customHeight="true" outlineLevel="0" collapsed="false">
      <c r="B29" s="11" t="s">
        <v>40</v>
      </c>
      <c r="C29" s="96" t="n">
        <v>12.5</v>
      </c>
      <c r="D29" s="96" t="n">
        <v>13.5</v>
      </c>
      <c r="E29" s="96" t="n">
        <v>13.4</v>
      </c>
      <c r="F29" s="96" t="n">
        <v>12.6</v>
      </c>
      <c r="G29" s="93" t="n">
        <v>14.1</v>
      </c>
      <c r="H29" s="93" t="n">
        <v>13.5</v>
      </c>
      <c r="I29" s="97" t="n">
        <v>9.1</v>
      </c>
      <c r="J29" s="98" t="n">
        <v>7.6</v>
      </c>
      <c r="K29" s="96" t="n">
        <v>6.5</v>
      </c>
    </row>
    <row r="30" customFormat="false" ht="15" hidden="false" customHeight="true" outlineLevel="0" collapsed="false">
      <c r="B30" s="7" t="s">
        <v>41</v>
      </c>
      <c r="C30" s="92" t="n">
        <v>11.5</v>
      </c>
      <c r="D30" s="92" t="n">
        <v>11.7</v>
      </c>
      <c r="E30" s="92" t="n">
        <v>10.7</v>
      </c>
      <c r="F30" s="92" t="n">
        <v>11</v>
      </c>
      <c r="G30" s="93" t="n">
        <v>12.1</v>
      </c>
      <c r="H30" s="93" t="n">
        <v>13.4</v>
      </c>
      <c r="I30" s="94" t="n">
        <v>6.4</v>
      </c>
      <c r="J30" s="95" t="n">
        <v>6.1</v>
      </c>
      <c r="K30" s="92" t="n">
        <v>5.4</v>
      </c>
    </row>
    <row r="31" customFormat="false" ht="15.75" hidden="false" customHeight="true" outlineLevel="0" collapsed="false">
      <c r="B31" s="14" t="s">
        <v>42</v>
      </c>
      <c r="C31" s="66" t="n">
        <v>11.5</v>
      </c>
      <c r="D31" s="66" t="n">
        <v>12.7</v>
      </c>
      <c r="E31" s="66" t="n">
        <v>12.4</v>
      </c>
      <c r="F31" s="66" t="n">
        <v>12.3</v>
      </c>
      <c r="G31" s="66" t="n">
        <v>13.9</v>
      </c>
      <c r="H31" s="66" t="n">
        <v>13.3</v>
      </c>
      <c r="I31" s="66" t="n">
        <v>9.3</v>
      </c>
      <c r="J31" s="66" t="n">
        <v>8.1</v>
      </c>
      <c r="K31" s="66" t="n">
        <v>7</v>
      </c>
    </row>
    <row r="32" customFormat="false" ht="24" hidden="false" customHeight="true" outlineLevel="0" collapsed="false">
      <c r="B32" s="50" t="s">
        <v>122</v>
      </c>
      <c r="C32" s="50"/>
      <c r="D32" s="50"/>
      <c r="E32" s="50"/>
      <c r="F32" s="50"/>
      <c r="G32" s="50"/>
      <c r="H32" s="50"/>
      <c r="I32" s="50"/>
      <c r="J32" s="50"/>
      <c r="K32" s="50"/>
    </row>
  </sheetData>
  <mergeCells count="3">
    <mergeCell ref="B1:K1"/>
    <mergeCell ref="B2:K2"/>
    <mergeCell ref="B32:K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6"/>
    <col collapsed="false" customWidth="true" hidden="false" outlineLevel="0" max="5" min="4" style="1" width="12"/>
    <col collapsed="false" customWidth="true" hidden="false" outlineLevel="0" max="7" min="6" style="1" width="10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3" min="12" style="1" width="12"/>
  </cols>
  <sheetData>
    <row r="1" customFormat="false" ht="21.75" hidden="false" customHeight="true" outlineLevel="0" collapsed="false">
      <c r="B1" s="81" t="s">
        <v>123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</row>
    <row r="2" customFormat="false" ht="12.75" hidden="false" customHeight="true" outlineLevel="0" collapsed="false">
      <c r="B2" s="82" t="s">
        <v>124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</row>
    <row r="3" customFormat="false" ht="42" hidden="false" customHeight="true" outlineLevel="0" collapsed="false">
      <c r="B3" s="99" t="s">
        <v>2</v>
      </c>
      <c r="C3" s="99" t="s">
        <v>45</v>
      </c>
      <c r="D3" s="6" t="s">
        <v>125</v>
      </c>
      <c r="E3" s="100" t="s">
        <v>126</v>
      </c>
      <c r="F3" s="6" t="s">
        <v>127</v>
      </c>
      <c r="G3" s="100" t="s">
        <v>128</v>
      </c>
      <c r="H3" s="101" t="s">
        <v>129</v>
      </c>
      <c r="I3" s="101" t="s">
        <v>130</v>
      </c>
      <c r="J3" s="102" t="s">
        <v>131</v>
      </c>
      <c r="K3" s="103" t="s">
        <v>132</v>
      </c>
      <c r="L3" s="102" t="s">
        <v>133</v>
      </c>
      <c r="M3" s="60" t="s">
        <v>134</v>
      </c>
    </row>
    <row r="4" customFormat="false" ht="13.5" hidden="false" customHeight="true" outlineLevel="0" collapsed="false">
      <c r="B4" s="104" t="s">
        <v>15</v>
      </c>
      <c r="C4" s="104" t="n">
        <v>2016</v>
      </c>
      <c r="D4" s="105" t="n">
        <v>27.55</v>
      </c>
      <c r="E4" s="106" t="n">
        <v>1.22</v>
      </c>
      <c r="F4" s="107" t="n">
        <v>5.4161</v>
      </c>
      <c r="G4" s="108" t="n">
        <v>2.3026</v>
      </c>
      <c r="H4" s="84" t="n">
        <v>16842</v>
      </c>
      <c r="I4" s="109" t="n">
        <v>9.7316</v>
      </c>
      <c r="J4" s="92" t="n">
        <v>10.9</v>
      </c>
      <c r="K4" s="110" t="n">
        <v>0</v>
      </c>
      <c r="L4" s="110" t="n">
        <v>0</v>
      </c>
      <c r="M4" s="111" t="n">
        <v>72.89</v>
      </c>
    </row>
    <row r="5" customFormat="false" ht="13.5" hidden="false" customHeight="true" outlineLevel="0" collapsed="false">
      <c r="B5" s="112" t="s">
        <v>15</v>
      </c>
      <c r="C5" s="112" t="n">
        <v>2017</v>
      </c>
      <c r="D5" s="113" t="n">
        <v>45.92</v>
      </c>
      <c r="E5" s="114" t="n">
        <v>2.77</v>
      </c>
      <c r="F5" s="115" t="n">
        <v>5.9428</v>
      </c>
      <c r="G5" s="116" t="n">
        <v>3.1355</v>
      </c>
      <c r="H5" s="117" t="n">
        <v>17204</v>
      </c>
      <c r="I5" s="118" t="n">
        <v>9.7529</v>
      </c>
      <c r="J5" s="96" t="n">
        <v>14.2</v>
      </c>
      <c r="K5" s="119" t="n">
        <v>0</v>
      </c>
      <c r="L5" s="119" t="n">
        <v>0</v>
      </c>
      <c r="M5" s="120" t="n">
        <v>72.89</v>
      </c>
    </row>
    <row r="6" customFormat="false" ht="13.5" hidden="false" customHeight="true" outlineLevel="0" collapsed="false">
      <c r="B6" s="104" t="s">
        <v>15</v>
      </c>
      <c r="C6" s="104" t="n">
        <v>2018</v>
      </c>
      <c r="D6" s="105" t="n">
        <v>35.55</v>
      </c>
      <c r="E6" s="106" t="n">
        <v>7.59</v>
      </c>
      <c r="F6" s="107" t="n">
        <v>5.7333</v>
      </c>
      <c r="G6" s="108" t="n">
        <v>4.1897</v>
      </c>
      <c r="H6" s="84" t="n">
        <v>17637</v>
      </c>
      <c r="I6" s="109" t="n">
        <v>9.7777</v>
      </c>
      <c r="J6" s="92" t="n">
        <v>13.7</v>
      </c>
      <c r="K6" s="110" t="n">
        <v>0</v>
      </c>
      <c r="L6" s="110" t="n">
        <v>0</v>
      </c>
      <c r="M6" s="111" t="n">
        <v>72.89</v>
      </c>
    </row>
    <row r="7" customFormat="false" ht="13.5" hidden="false" customHeight="true" outlineLevel="0" collapsed="false">
      <c r="B7" s="112" t="s">
        <v>15</v>
      </c>
      <c r="C7" s="112" t="n">
        <v>2019</v>
      </c>
      <c r="D7" s="113" t="n">
        <v>24.95</v>
      </c>
      <c r="E7" s="114" t="n">
        <v>18.03</v>
      </c>
      <c r="F7" s="115" t="n">
        <v>5.3936</v>
      </c>
      <c r="G7" s="116" t="n">
        <v>5.0689</v>
      </c>
      <c r="H7" s="117" t="n">
        <v>17722</v>
      </c>
      <c r="I7" s="118" t="n">
        <v>9.7826</v>
      </c>
      <c r="J7" s="96" t="n">
        <v>14.7</v>
      </c>
      <c r="K7" s="119" t="n">
        <v>0</v>
      </c>
      <c r="L7" s="119" t="n">
        <v>0</v>
      </c>
      <c r="M7" s="120" t="n">
        <v>72.89</v>
      </c>
    </row>
    <row r="8" customFormat="false" ht="13.5" hidden="false" customHeight="true" outlineLevel="0" collapsed="false">
      <c r="B8" s="104" t="s">
        <v>15</v>
      </c>
      <c r="C8" s="104" t="n">
        <v>2020</v>
      </c>
      <c r="D8" s="105" t="n">
        <v>25.15</v>
      </c>
      <c r="E8" s="106" t="n">
        <v>37.68</v>
      </c>
      <c r="F8" s="107" t="n">
        <v>5.4161</v>
      </c>
      <c r="G8" s="108" t="n">
        <v>5.8201</v>
      </c>
      <c r="H8" s="84" t="n">
        <v>18420</v>
      </c>
      <c r="I8" s="109" t="n">
        <v>9.8212</v>
      </c>
      <c r="J8" s="93" t="n">
        <v>15.2</v>
      </c>
      <c r="K8" s="110" t="n">
        <v>0</v>
      </c>
      <c r="L8" s="121" t="n">
        <v>1</v>
      </c>
      <c r="M8" s="111" t="n">
        <v>72.89</v>
      </c>
    </row>
    <row r="9" customFormat="false" ht="13.5" hidden="false" customHeight="true" outlineLevel="0" collapsed="false">
      <c r="B9" s="112" t="s">
        <v>15</v>
      </c>
      <c r="C9" s="112" t="n">
        <v>2021</v>
      </c>
      <c r="D9" s="113" t="n">
        <v>13.01</v>
      </c>
      <c r="E9" s="114" t="n">
        <v>59.99</v>
      </c>
      <c r="F9" s="115" t="n">
        <v>4.7707</v>
      </c>
      <c r="G9" s="116" t="n">
        <v>6.2989</v>
      </c>
      <c r="H9" s="117" t="n">
        <v>23569</v>
      </c>
      <c r="I9" s="118" t="n">
        <v>10.0677</v>
      </c>
      <c r="J9" s="93" t="n">
        <v>15.3</v>
      </c>
      <c r="K9" s="119" t="n">
        <v>0</v>
      </c>
      <c r="L9" s="121" t="n">
        <v>1</v>
      </c>
      <c r="M9" s="120" t="n">
        <v>72.89</v>
      </c>
    </row>
    <row r="10" customFormat="false" ht="13.5" hidden="false" customHeight="true" outlineLevel="0" collapsed="false">
      <c r="B10" s="104" t="s">
        <v>15</v>
      </c>
      <c r="C10" s="104" t="n">
        <v>2022</v>
      </c>
      <c r="D10" s="105" t="n">
        <v>17.23</v>
      </c>
      <c r="E10" s="106" t="n">
        <v>72.89</v>
      </c>
      <c r="F10" s="107" t="n">
        <v>4.9628</v>
      </c>
      <c r="G10" s="108" t="n">
        <v>6.4052</v>
      </c>
      <c r="H10" s="84" t="n">
        <v>28525</v>
      </c>
      <c r="I10" s="109" t="n">
        <v>10.2585</v>
      </c>
      <c r="J10" s="92" t="n">
        <v>11.6</v>
      </c>
      <c r="K10" s="110" t="n">
        <v>0</v>
      </c>
      <c r="L10" s="110" t="n">
        <v>0</v>
      </c>
      <c r="M10" s="111" t="n">
        <v>72.89</v>
      </c>
    </row>
    <row r="11" customFormat="false" ht="13.5" hidden="false" customHeight="true" outlineLevel="0" collapsed="false">
      <c r="B11" s="112" t="s">
        <v>15</v>
      </c>
      <c r="C11" s="112" t="n">
        <v>2023</v>
      </c>
      <c r="D11" s="113" t="n">
        <v>15.66</v>
      </c>
      <c r="E11" s="114" t="n">
        <v>0.12</v>
      </c>
      <c r="F11" s="115" t="n">
        <v>4.8675</v>
      </c>
      <c r="G11" s="116" t="n">
        <v>0</v>
      </c>
      <c r="H11" s="117" t="n">
        <v>31676</v>
      </c>
      <c r="I11" s="118" t="n">
        <v>10.3633</v>
      </c>
      <c r="J11" s="96" t="n">
        <v>7.9</v>
      </c>
      <c r="K11" s="122" t="n">
        <v>1</v>
      </c>
      <c r="L11" s="119" t="n">
        <v>0</v>
      </c>
      <c r="M11" s="120" t="n">
        <v>72.89</v>
      </c>
    </row>
    <row r="12" customFormat="false" ht="13.5" hidden="false" customHeight="true" outlineLevel="0" collapsed="false">
      <c r="B12" s="104" t="s">
        <v>16</v>
      </c>
      <c r="C12" s="104" t="n">
        <v>2016</v>
      </c>
      <c r="D12" s="105" t="n">
        <v>46.03</v>
      </c>
      <c r="E12" s="106" t="n">
        <v>0.8</v>
      </c>
      <c r="F12" s="107" t="n">
        <v>7.3434</v>
      </c>
      <c r="G12" s="108" t="n">
        <v>3.2958</v>
      </c>
      <c r="H12" s="84" t="n">
        <v>14727</v>
      </c>
      <c r="I12" s="109" t="n">
        <v>9.5975</v>
      </c>
      <c r="J12" s="92" t="n">
        <v>14.2</v>
      </c>
      <c r="K12" s="110" t="n">
        <v>0</v>
      </c>
      <c r="L12" s="110" t="n">
        <v>0</v>
      </c>
      <c r="M12" s="111" t="n">
        <v>111.5203</v>
      </c>
    </row>
    <row r="13" customFormat="false" ht="13.5" hidden="false" customHeight="true" outlineLevel="0" collapsed="false">
      <c r="B13" s="112" t="s">
        <v>16</v>
      </c>
      <c r="C13" s="112" t="n">
        <v>2017</v>
      </c>
      <c r="D13" s="113" t="n">
        <v>45.56</v>
      </c>
      <c r="E13" s="114" t="n">
        <v>2.28</v>
      </c>
      <c r="F13" s="115" t="n">
        <v>7.3382</v>
      </c>
      <c r="G13" s="116" t="n">
        <v>4.3438</v>
      </c>
      <c r="H13" s="117" t="n">
        <v>15656</v>
      </c>
      <c r="I13" s="118" t="n">
        <v>9.6586</v>
      </c>
      <c r="J13" s="96" t="n">
        <v>16.9</v>
      </c>
      <c r="K13" s="119" t="n">
        <v>0</v>
      </c>
      <c r="L13" s="119" t="n">
        <v>0</v>
      </c>
      <c r="M13" s="120" t="n">
        <v>111.5203</v>
      </c>
    </row>
    <row r="14" customFormat="false" ht="13.5" hidden="false" customHeight="true" outlineLevel="0" collapsed="false">
      <c r="B14" s="104" t="s">
        <v>16</v>
      </c>
      <c r="C14" s="104" t="n">
        <v>2018</v>
      </c>
      <c r="D14" s="105" t="n">
        <v>36.08</v>
      </c>
      <c r="E14" s="106" t="n">
        <v>3.64</v>
      </c>
      <c r="F14" s="107" t="n">
        <v>7.0892</v>
      </c>
      <c r="G14" s="108" t="n">
        <v>4.7958</v>
      </c>
      <c r="H14" s="84" t="n">
        <v>16376</v>
      </c>
      <c r="I14" s="109" t="n">
        <v>9.7035</v>
      </c>
      <c r="J14" s="92" t="n">
        <v>17.3</v>
      </c>
      <c r="K14" s="110" t="n">
        <v>0</v>
      </c>
      <c r="L14" s="110" t="n">
        <v>0</v>
      </c>
      <c r="M14" s="111" t="n">
        <v>111.5203</v>
      </c>
    </row>
    <row r="15" customFormat="false" ht="13.5" hidden="false" customHeight="true" outlineLevel="0" collapsed="false">
      <c r="B15" s="112" t="s">
        <v>16</v>
      </c>
      <c r="C15" s="112" t="n">
        <v>2019</v>
      </c>
      <c r="D15" s="113" t="n">
        <v>25.68</v>
      </c>
      <c r="E15" s="114" t="n">
        <v>21.63</v>
      </c>
      <c r="F15" s="115" t="n">
        <v>6.7534</v>
      </c>
      <c r="G15" s="116" t="n">
        <v>6.582</v>
      </c>
      <c r="H15" s="117" t="n">
        <v>17668</v>
      </c>
      <c r="I15" s="118" t="n">
        <v>9.7795</v>
      </c>
      <c r="J15" s="96" t="n">
        <v>15.1</v>
      </c>
      <c r="K15" s="119" t="n">
        <v>0</v>
      </c>
      <c r="L15" s="119" t="n">
        <v>0</v>
      </c>
      <c r="M15" s="120" t="n">
        <v>111.5203</v>
      </c>
    </row>
    <row r="16" customFormat="false" ht="13.5" hidden="false" customHeight="true" outlineLevel="0" collapsed="false">
      <c r="B16" s="104" t="s">
        <v>16</v>
      </c>
      <c r="C16" s="104" t="n">
        <v>2020</v>
      </c>
      <c r="D16" s="105" t="n">
        <v>25.78</v>
      </c>
      <c r="E16" s="106" t="n">
        <v>37.62</v>
      </c>
      <c r="F16" s="107" t="n">
        <v>6.7616</v>
      </c>
      <c r="G16" s="108" t="n">
        <v>7.1397</v>
      </c>
      <c r="H16" s="84" t="n">
        <v>18858</v>
      </c>
      <c r="I16" s="109" t="n">
        <v>9.8447</v>
      </c>
      <c r="J16" s="93" t="n">
        <v>19.1</v>
      </c>
      <c r="K16" s="110" t="n">
        <v>0</v>
      </c>
      <c r="L16" s="121" t="n">
        <v>1</v>
      </c>
      <c r="M16" s="111" t="n">
        <v>111.5203</v>
      </c>
    </row>
    <row r="17" customFormat="false" ht="13.5" hidden="false" customHeight="true" outlineLevel="0" collapsed="false">
      <c r="B17" s="112" t="s">
        <v>16</v>
      </c>
      <c r="C17" s="112" t="n">
        <v>2021</v>
      </c>
      <c r="D17" s="113" t="n">
        <v>21.78</v>
      </c>
      <c r="E17" s="114" t="n">
        <v>76.87</v>
      </c>
      <c r="F17" s="115" t="n">
        <v>6.5971</v>
      </c>
      <c r="G17" s="116" t="n">
        <v>7.8583</v>
      </c>
      <c r="H17" s="117" t="n">
        <v>22662</v>
      </c>
      <c r="I17" s="118" t="n">
        <v>10.0284</v>
      </c>
      <c r="J17" s="93" t="n">
        <v>17.8</v>
      </c>
      <c r="K17" s="119" t="n">
        <v>0</v>
      </c>
      <c r="L17" s="121" t="n">
        <v>1</v>
      </c>
      <c r="M17" s="120" t="n">
        <v>111.5203</v>
      </c>
    </row>
    <row r="18" customFormat="false" ht="13.5" hidden="false" customHeight="true" outlineLevel="0" collapsed="false">
      <c r="B18" s="104" t="s">
        <v>16</v>
      </c>
      <c r="C18" s="104" t="n">
        <v>2022</v>
      </c>
      <c r="D18" s="105" t="n">
        <v>26.47</v>
      </c>
      <c r="E18" s="106" t="n">
        <v>111.52</v>
      </c>
      <c r="F18" s="107" t="n">
        <v>6.719</v>
      </c>
      <c r="G18" s="108" t="n">
        <v>8.1571</v>
      </c>
      <c r="H18" s="84" t="n">
        <v>24320</v>
      </c>
      <c r="I18" s="109" t="n">
        <v>10.0991</v>
      </c>
      <c r="J18" s="92" t="n">
        <v>11.2</v>
      </c>
      <c r="K18" s="110" t="n">
        <v>0</v>
      </c>
      <c r="L18" s="110" t="n">
        <v>0</v>
      </c>
      <c r="M18" s="111" t="n">
        <v>111.5203</v>
      </c>
    </row>
    <row r="19" customFormat="false" ht="13.5" hidden="false" customHeight="true" outlineLevel="0" collapsed="false">
      <c r="B19" s="112" t="s">
        <v>16</v>
      </c>
      <c r="C19" s="112" t="n">
        <v>2023</v>
      </c>
      <c r="D19" s="113" t="n">
        <v>28.46</v>
      </c>
      <c r="E19" s="114" t="n">
        <v>0.13</v>
      </c>
      <c r="F19" s="115" t="n">
        <v>6.7912</v>
      </c>
      <c r="G19" s="116" t="n">
        <v>1.3863</v>
      </c>
      <c r="H19" s="117" t="n">
        <v>28676</v>
      </c>
      <c r="I19" s="118" t="n">
        <v>10.2638</v>
      </c>
      <c r="J19" s="96" t="n">
        <v>9.6</v>
      </c>
      <c r="K19" s="122" t="n">
        <v>1</v>
      </c>
      <c r="L19" s="119" t="n">
        <v>0</v>
      </c>
      <c r="M19" s="120" t="n">
        <v>111.5203</v>
      </c>
    </row>
    <row r="20" customFormat="false" ht="13.5" hidden="false" customHeight="true" outlineLevel="0" collapsed="false">
      <c r="B20" s="104" t="s">
        <v>17</v>
      </c>
      <c r="C20" s="104" t="n">
        <v>2016</v>
      </c>
      <c r="D20" s="105" t="n">
        <v>19.79</v>
      </c>
      <c r="E20" s="106" t="n">
        <v>0.5</v>
      </c>
      <c r="F20" s="107" t="n">
        <v>6.6746</v>
      </c>
      <c r="G20" s="108" t="n">
        <v>2.9957</v>
      </c>
      <c r="H20" s="84" t="n">
        <v>22251</v>
      </c>
      <c r="I20" s="109" t="n">
        <v>10.0101</v>
      </c>
      <c r="J20" s="92" t="n">
        <v>13.8</v>
      </c>
      <c r="K20" s="110" t="n">
        <v>0</v>
      </c>
      <c r="L20" s="110" t="n">
        <v>0</v>
      </c>
      <c r="M20" s="111" t="n">
        <v>101.6081</v>
      </c>
    </row>
    <row r="21" customFormat="false" ht="13.5" hidden="false" customHeight="true" outlineLevel="0" collapsed="false">
      <c r="B21" s="112" t="s">
        <v>17</v>
      </c>
      <c r="C21" s="112" t="n">
        <v>2017</v>
      </c>
      <c r="D21" s="113" t="n">
        <v>23.85</v>
      </c>
      <c r="E21" s="114" t="n">
        <v>2.17</v>
      </c>
      <c r="F21" s="115" t="n">
        <v>6.8763</v>
      </c>
      <c r="G21" s="116" t="n">
        <v>4.4773</v>
      </c>
      <c r="H21" s="117" t="n">
        <v>22945</v>
      </c>
      <c r="I21" s="118" t="n">
        <v>10.0409</v>
      </c>
      <c r="J21" s="96" t="n">
        <v>15.9</v>
      </c>
      <c r="K21" s="119" t="n">
        <v>0</v>
      </c>
      <c r="L21" s="119" t="n">
        <v>0</v>
      </c>
      <c r="M21" s="120" t="n">
        <v>101.6081</v>
      </c>
    </row>
    <row r="22" customFormat="false" ht="13.5" hidden="false" customHeight="true" outlineLevel="0" collapsed="false">
      <c r="B22" s="104" t="s">
        <v>17</v>
      </c>
      <c r="C22" s="104" t="n">
        <v>2018</v>
      </c>
      <c r="D22" s="105" t="n">
        <v>23.43</v>
      </c>
      <c r="E22" s="106" t="n">
        <v>4.71</v>
      </c>
      <c r="F22" s="107" t="n">
        <v>6.8628</v>
      </c>
      <c r="G22" s="108" t="n">
        <v>5.2575</v>
      </c>
      <c r="H22" s="84" t="n">
        <v>24533</v>
      </c>
      <c r="I22" s="109" t="n">
        <v>10.1078</v>
      </c>
      <c r="J22" s="92" t="n">
        <v>14</v>
      </c>
      <c r="K22" s="110" t="n">
        <v>0</v>
      </c>
      <c r="L22" s="110" t="n">
        <v>0</v>
      </c>
      <c r="M22" s="111" t="n">
        <v>101.6081</v>
      </c>
    </row>
    <row r="23" customFormat="false" ht="13.5" hidden="false" customHeight="true" outlineLevel="0" collapsed="false">
      <c r="B23" s="112" t="s">
        <v>17</v>
      </c>
      <c r="C23" s="112" t="n">
        <v>2019</v>
      </c>
      <c r="D23" s="113" t="n">
        <v>23.65</v>
      </c>
      <c r="E23" s="114" t="n">
        <v>9.58</v>
      </c>
      <c r="F23" s="115" t="n">
        <v>6.8876</v>
      </c>
      <c r="G23" s="116" t="n">
        <v>5.9839</v>
      </c>
      <c r="H23" s="117" t="n">
        <v>26102</v>
      </c>
      <c r="I23" s="118" t="n">
        <v>10.1698</v>
      </c>
      <c r="J23" s="96" t="n">
        <v>14.2</v>
      </c>
      <c r="K23" s="119" t="n">
        <v>0</v>
      </c>
      <c r="L23" s="119" t="n">
        <v>0</v>
      </c>
      <c r="M23" s="120" t="n">
        <v>101.6081</v>
      </c>
    </row>
    <row r="24" customFormat="false" ht="13.5" hidden="false" customHeight="true" outlineLevel="0" collapsed="false">
      <c r="B24" s="104" t="s">
        <v>17</v>
      </c>
      <c r="C24" s="104" t="n">
        <v>2020</v>
      </c>
      <c r="D24" s="105" t="n">
        <v>18.58</v>
      </c>
      <c r="E24" s="106" t="n">
        <v>25.36</v>
      </c>
      <c r="F24" s="107" t="n">
        <v>6.6619</v>
      </c>
      <c r="G24" s="108" t="n">
        <v>6.9726</v>
      </c>
      <c r="H24" s="84" t="n">
        <v>27573</v>
      </c>
      <c r="I24" s="109" t="n">
        <v>10.2246</v>
      </c>
      <c r="J24" s="93" t="n">
        <v>16</v>
      </c>
      <c r="K24" s="110" t="n">
        <v>0</v>
      </c>
      <c r="L24" s="121" t="n">
        <v>1</v>
      </c>
      <c r="M24" s="111" t="n">
        <v>101.6081</v>
      </c>
    </row>
    <row r="25" customFormat="false" ht="13.5" hidden="false" customHeight="true" outlineLevel="0" collapsed="false">
      <c r="B25" s="112" t="s">
        <v>17</v>
      </c>
      <c r="C25" s="112" t="n">
        <v>2021</v>
      </c>
      <c r="D25" s="113" t="n">
        <v>29.93</v>
      </c>
      <c r="E25" s="114" t="n">
        <v>50.16</v>
      </c>
      <c r="F25" s="115" t="n">
        <v>7.1531</v>
      </c>
      <c r="G25" s="116" t="n">
        <v>7.6695</v>
      </c>
      <c r="H25" s="117" t="n">
        <v>30804</v>
      </c>
      <c r="I25" s="118" t="n">
        <v>10.3354</v>
      </c>
      <c r="J25" s="93" t="n">
        <v>15</v>
      </c>
      <c r="K25" s="119" t="n">
        <v>0</v>
      </c>
      <c r="L25" s="121" t="n">
        <v>1</v>
      </c>
      <c r="M25" s="120" t="n">
        <v>101.6081</v>
      </c>
    </row>
    <row r="26" customFormat="false" ht="13.5" hidden="false" customHeight="true" outlineLevel="0" collapsed="false">
      <c r="B26" s="104" t="s">
        <v>17</v>
      </c>
      <c r="C26" s="104" t="n">
        <v>2022</v>
      </c>
      <c r="D26" s="105" t="n">
        <v>30.32</v>
      </c>
      <c r="E26" s="106" t="n">
        <v>101.61</v>
      </c>
      <c r="F26" s="107" t="n">
        <v>7.0859</v>
      </c>
      <c r="G26" s="108" t="n">
        <v>8.2953</v>
      </c>
      <c r="H26" s="84" t="n">
        <v>36823</v>
      </c>
      <c r="I26" s="109" t="n">
        <v>10.5139</v>
      </c>
      <c r="J26" s="92" t="n">
        <v>10.8</v>
      </c>
      <c r="K26" s="110" t="n">
        <v>0</v>
      </c>
      <c r="L26" s="110" t="n">
        <v>0</v>
      </c>
      <c r="M26" s="111" t="n">
        <v>101.6081</v>
      </c>
    </row>
    <row r="27" customFormat="false" ht="13.5" hidden="false" customHeight="true" outlineLevel="0" collapsed="false">
      <c r="B27" s="112" t="s">
        <v>17</v>
      </c>
      <c r="C27" s="112" t="n">
        <v>2023</v>
      </c>
      <c r="D27" s="113" t="n">
        <v>26.69</v>
      </c>
      <c r="E27" s="114" t="n">
        <v>0.41</v>
      </c>
      <c r="F27" s="115" t="n">
        <v>6.9584</v>
      </c>
      <c r="G27" s="116" t="n">
        <v>2.7726</v>
      </c>
      <c r="H27" s="117" t="n">
        <v>41048</v>
      </c>
      <c r="I27" s="118" t="n">
        <v>10.6225</v>
      </c>
      <c r="J27" s="96" t="n">
        <v>9.7</v>
      </c>
      <c r="K27" s="122" t="n">
        <v>1</v>
      </c>
      <c r="L27" s="119" t="n">
        <v>0</v>
      </c>
      <c r="M27" s="120" t="n">
        <v>101.6081</v>
      </c>
    </row>
    <row r="28" customFormat="false" ht="13.5" hidden="false" customHeight="true" outlineLevel="0" collapsed="false">
      <c r="B28" s="104" t="s">
        <v>18</v>
      </c>
      <c r="C28" s="104" t="n">
        <v>2016</v>
      </c>
      <c r="D28" s="105" t="n">
        <v>27.61</v>
      </c>
      <c r="E28" s="106" t="n">
        <v>0</v>
      </c>
      <c r="F28" s="107" t="n">
        <v>5.3753</v>
      </c>
      <c r="G28" s="108"/>
      <c r="H28" s="84" t="n">
        <v>18333</v>
      </c>
      <c r="I28" s="109" t="n">
        <v>9.8165</v>
      </c>
      <c r="J28" s="92" t="n">
        <v>15.8</v>
      </c>
      <c r="K28" s="110" t="n">
        <v>0</v>
      </c>
      <c r="L28" s="110" t="n">
        <v>0</v>
      </c>
      <c r="M28" s="111" t="n">
        <v>75.0928</v>
      </c>
    </row>
    <row r="29" customFormat="false" ht="13.5" hidden="false" customHeight="true" outlineLevel="0" collapsed="false">
      <c r="B29" s="112" t="s">
        <v>18</v>
      </c>
      <c r="C29" s="112" t="n">
        <v>2017</v>
      </c>
      <c r="D29" s="113" t="n">
        <v>22.31</v>
      </c>
      <c r="E29" s="114" t="n">
        <v>2.76</v>
      </c>
      <c r="F29" s="115" t="n">
        <v>5.1818</v>
      </c>
      <c r="G29" s="116" t="n">
        <v>3.091</v>
      </c>
      <c r="H29" s="117" t="n">
        <v>19408</v>
      </c>
      <c r="I29" s="118" t="n">
        <v>9.8734</v>
      </c>
      <c r="J29" s="96" t="n">
        <v>18.1</v>
      </c>
      <c r="K29" s="119" t="n">
        <v>0</v>
      </c>
      <c r="L29" s="119" t="n">
        <v>0</v>
      </c>
      <c r="M29" s="120" t="n">
        <v>75.0928</v>
      </c>
    </row>
    <row r="30" customFormat="false" ht="13.5" hidden="false" customHeight="true" outlineLevel="0" collapsed="false">
      <c r="B30" s="104" t="s">
        <v>18</v>
      </c>
      <c r="C30" s="104" t="n">
        <v>2018</v>
      </c>
      <c r="D30" s="105" t="n">
        <v>28.81</v>
      </c>
      <c r="E30" s="106" t="n">
        <v>2.53</v>
      </c>
      <c r="F30" s="107" t="n">
        <v>5.4765</v>
      </c>
      <c r="G30" s="108" t="n">
        <v>3.0445</v>
      </c>
      <c r="H30" s="84" t="n">
        <v>20248</v>
      </c>
      <c r="I30" s="109" t="n">
        <v>9.9158</v>
      </c>
      <c r="J30" s="92" t="n">
        <v>20.4</v>
      </c>
      <c r="K30" s="110" t="n">
        <v>0</v>
      </c>
      <c r="L30" s="110" t="n">
        <v>0</v>
      </c>
      <c r="M30" s="111" t="n">
        <v>75.0928</v>
      </c>
    </row>
    <row r="31" customFormat="false" ht="13.5" hidden="false" customHeight="true" outlineLevel="0" collapsed="false">
      <c r="B31" s="112" t="s">
        <v>18</v>
      </c>
      <c r="C31" s="112" t="n">
        <v>2019</v>
      </c>
      <c r="D31" s="113" t="n">
        <v>27.43</v>
      </c>
      <c r="E31" s="114" t="n">
        <v>13.12</v>
      </c>
      <c r="F31" s="115" t="n">
        <v>5.4467</v>
      </c>
      <c r="G31" s="116" t="n">
        <v>4.7095</v>
      </c>
      <c r="H31" s="117" t="n">
        <v>20688</v>
      </c>
      <c r="I31" s="118" t="n">
        <v>9.9373</v>
      </c>
      <c r="J31" s="96" t="n">
        <v>17.6</v>
      </c>
      <c r="K31" s="119" t="n">
        <v>0</v>
      </c>
      <c r="L31" s="119" t="n">
        <v>0</v>
      </c>
      <c r="M31" s="120" t="n">
        <v>75.0928</v>
      </c>
    </row>
    <row r="32" customFormat="false" ht="13.5" hidden="false" customHeight="true" outlineLevel="0" collapsed="false">
      <c r="B32" s="104" t="s">
        <v>18</v>
      </c>
      <c r="C32" s="104" t="n">
        <v>2020</v>
      </c>
      <c r="D32" s="105" t="n">
        <v>25.76</v>
      </c>
      <c r="E32" s="106" t="n">
        <v>26.23</v>
      </c>
      <c r="F32" s="107" t="n">
        <v>5.4027</v>
      </c>
      <c r="G32" s="108" t="n">
        <v>5.4205</v>
      </c>
      <c r="H32" s="84" t="n">
        <v>21432</v>
      </c>
      <c r="I32" s="109" t="n">
        <v>9.9726</v>
      </c>
      <c r="J32" s="93" t="n">
        <v>15</v>
      </c>
      <c r="K32" s="110" t="n">
        <v>0</v>
      </c>
      <c r="L32" s="121" t="n">
        <v>1</v>
      </c>
      <c r="M32" s="111" t="n">
        <v>75.0928</v>
      </c>
    </row>
    <row r="33" customFormat="false" ht="13.5" hidden="false" customHeight="true" outlineLevel="0" collapsed="false">
      <c r="B33" s="112" t="s">
        <v>18</v>
      </c>
      <c r="C33" s="112" t="n">
        <v>2021</v>
      </c>
      <c r="D33" s="113" t="n">
        <v>35.44</v>
      </c>
      <c r="E33" s="114" t="n">
        <v>40.45</v>
      </c>
      <c r="F33" s="115" t="n">
        <v>5.7398</v>
      </c>
      <c r="G33" s="116" t="n">
        <v>5.8721</v>
      </c>
      <c r="H33" s="117" t="n">
        <v>22903</v>
      </c>
      <c r="I33" s="118" t="n">
        <v>10.039</v>
      </c>
      <c r="J33" s="93" t="n">
        <v>16.6</v>
      </c>
      <c r="K33" s="119" t="n">
        <v>0</v>
      </c>
      <c r="L33" s="121" t="n">
        <v>1</v>
      </c>
      <c r="M33" s="120" t="n">
        <v>75.0928</v>
      </c>
    </row>
    <row r="34" customFormat="false" ht="13.5" hidden="false" customHeight="true" outlineLevel="0" collapsed="false">
      <c r="B34" s="104" t="s">
        <v>18</v>
      </c>
      <c r="C34" s="104" t="n">
        <v>2022</v>
      </c>
      <c r="D34" s="105" t="n">
        <v>32.03</v>
      </c>
      <c r="E34" s="106" t="n">
        <v>75.09</v>
      </c>
      <c r="F34" s="107" t="n">
        <v>5.4596</v>
      </c>
      <c r="G34" s="108" t="n">
        <v>6.3117</v>
      </c>
      <c r="H34" s="84" t="n">
        <v>32183</v>
      </c>
      <c r="I34" s="109" t="n">
        <v>10.3792</v>
      </c>
      <c r="J34" s="92" t="n">
        <v>12.5</v>
      </c>
      <c r="K34" s="110" t="n">
        <v>0</v>
      </c>
      <c r="L34" s="110" t="n">
        <v>0</v>
      </c>
      <c r="M34" s="111" t="n">
        <v>75.0928</v>
      </c>
    </row>
    <row r="35" customFormat="false" ht="13.5" hidden="false" customHeight="true" outlineLevel="0" collapsed="false">
      <c r="B35" s="112" t="s">
        <v>18</v>
      </c>
      <c r="C35" s="112" t="n">
        <v>2023</v>
      </c>
      <c r="D35" s="113" t="n">
        <v>41.29</v>
      </c>
      <c r="E35" s="114" t="n">
        <v>5.59</v>
      </c>
      <c r="F35" s="115" t="n">
        <v>5.7137</v>
      </c>
      <c r="G35" s="116" t="n">
        <v>3.7136</v>
      </c>
      <c r="H35" s="117" t="n">
        <v>38187</v>
      </c>
      <c r="I35" s="118" t="n">
        <v>10.5503</v>
      </c>
      <c r="J35" s="96" t="n">
        <v>12.8</v>
      </c>
      <c r="K35" s="122" t="n">
        <v>1</v>
      </c>
      <c r="L35" s="119" t="n">
        <v>0</v>
      </c>
      <c r="M35" s="120" t="n">
        <v>75.0928</v>
      </c>
    </row>
    <row r="36" customFormat="false" ht="13.5" hidden="false" customHeight="true" outlineLevel="0" collapsed="false">
      <c r="B36" s="104" t="s">
        <v>19</v>
      </c>
      <c r="C36" s="104" t="n">
        <v>2016</v>
      </c>
      <c r="D36" s="105" t="n">
        <v>35.62</v>
      </c>
      <c r="E36" s="106" t="n">
        <v>1.6</v>
      </c>
      <c r="F36" s="107" t="n">
        <v>8.6019</v>
      </c>
      <c r="G36" s="108" t="n">
        <v>5.5013</v>
      </c>
      <c r="H36" s="84" t="n">
        <v>16937</v>
      </c>
      <c r="I36" s="109" t="n">
        <v>9.7373</v>
      </c>
      <c r="J36" s="92" t="n">
        <v>16</v>
      </c>
      <c r="K36" s="110" t="n">
        <v>0</v>
      </c>
      <c r="L36" s="110" t="n">
        <v>0</v>
      </c>
      <c r="M36" s="111" t="n">
        <v>83.5901</v>
      </c>
    </row>
    <row r="37" customFormat="false" ht="13.5" hidden="false" customHeight="true" outlineLevel="0" collapsed="false">
      <c r="B37" s="112" t="s">
        <v>19</v>
      </c>
      <c r="C37" s="112" t="n">
        <v>2017</v>
      </c>
      <c r="D37" s="113" t="n">
        <v>35.3</v>
      </c>
      <c r="E37" s="114" t="n">
        <v>2.97</v>
      </c>
      <c r="F37" s="115" t="n">
        <v>8.5971</v>
      </c>
      <c r="G37" s="116" t="n">
        <v>6.1203</v>
      </c>
      <c r="H37" s="117" t="n">
        <v>17513</v>
      </c>
      <c r="I37" s="118" t="n">
        <v>9.7707</v>
      </c>
      <c r="J37" s="96" t="n">
        <v>17.1</v>
      </c>
      <c r="K37" s="119" t="n">
        <v>0</v>
      </c>
      <c r="L37" s="119" t="n">
        <v>0</v>
      </c>
      <c r="M37" s="120" t="n">
        <v>83.5901</v>
      </c>
    </row>
    <row r="38" customFormat="false" ht="13.5" hidden="false" customHeight="true" outlineLevel="0" collapsed="false">
      <c r="B38" s="104" t="s">
        <v>19</v>
      </c>
      <c r="C38" s="104" t="n">
        <v>2018</v>
      </c>
      <c r="D38" s="105" t="n">
        <v>33.47</v>
      </c>
      <c r="E38" s="106" t="n">
        <v>5.33</v>
      </c>
      <c r="F38" s="107" t="n">
        <v>8.5088</v>
      </c>
      <c r="G38" s="108" t="n">
        <v>6.672</v>
      </c>
      <c r="H38" s="84" t="n">
        <v>19324</v>
      </c>
      <c r="I38" s="109" t="n">
        <v>9.8691</v>
      </c>
      <c r="J38" s="92" t="n">
        <v>17.2</v>
      </c>
      <c r="K38" s="110" t="n">
        <v>0</v>
      </c>
      <c r="L38" s="110" t="n">
        <v>0</v>
      </c>
      <c r="M38" s="111" t="n">
        <v>83.5901</v>
      </c>
    </row>
    <row r="39" customFormat="false" ht="13.5" hidden="false" customHeight="true" outlineLevel="0" collapsed="false">
      <c r="B39" s="112" t="s">
        <v>19</v>
      </c>
      <c r="C39" s="112" t="n">
        <v>2019</v>
      </c>
      <c r="D39" s="113" t="n">
        <v>30.83</v>
      </c>
      <c r="E39" s="114" t="n">
        <v>19.63</v>
      </c>
      <c r="F39" s="115" t="n">
        <v>8.4308</v>
      </c>
      <c r="G39" s="116" t="n">
        <v>7.9793</v>
      </c>
      <c r="H39" s="117" t="n">
        <v>19716</v>
      </c>
      <c r="I39" s="118" t="n">
        <v>9.8892</v>
      </c>
      <c r="J39" s="96" t="n">
        <v>17.4</v>
      </c>
      <c r="K39" s="119" t="n">
        <v>0</v>
      </c>
      <c r="L39" s="119" t="n">
        <v>0</v>
      </c>
      <c r="M39" s="120" t="n">
        <v>83.5901</v>
      </c>
    </row>
    <row r="40" customFormat="false" ht="13.5" hidden="false" customHeight="true" outlineLevel="0" collapsed="false">
      <c r="B40" s="104" t="s">
        <v>19</v>
      </c>
      <c r="C40" s="104" t="n">
        <v>2020</v>
      </c>
      <c r="D40" s="105" t="n">
        <v>34.04</v>
      </c>
      <c r="E40" s="106" t="n">
        <v>41.26</v>
      </c>
      <c r="F40" s="107" t="n">
        <v>8.5335</v>
      </c>
      <c r="G40" s="108" t="n">
        <v>8.726</v>
      </c>
      <c r="H40" s="84" t="n">
        <v>20449</v>
      </c>
      <c r="I40" s="109" t="n">
        <v>9.9257</v>
      </c>
      <c r="J40" s="93" t="n">
        <v>20.2</v>
      </c>
      <c r="K40" s="110" t="n">
        <v>0</v>
      </c>
      <c r="L40" s="121" t="n">
        <v>1</v>
      </c>
      <c r="M40" s="111" t="n">
        <v>83.5901</v>
      </c>
    </row>
    <row r="41" customFormat="false" ht="13.5" hidden="false" customHeight="true" outlineLevel="0" collapsed="false">
      <c r="B41" s="112" t="s">
        <v>19</v>
      </c>
      <c r="C41" s="112" t="n">
        <v>2021</v>
      </c>
      <c r="D41" s="113" t="n">
        <v>35.3</v>
      </c>
      <c r="E41" s="114" t="n">
        <v>56.73</v>
      </c>
      <c r="F41" s="115" t="n">
        <v>8.5736</v>
      </c>
      <c r="G41" s="116" t="n">
        <v>9.0479</v>
      </c>
      <c r="H41" s="117" t="n">
        <v>23531</v>
      </c>
      <c r="I41" s="118" t="n">
        <v>10.0661</v>
      </c>
      <c r="J41" s="93" t="n">
        <v>19.5</v>
      </c>
      <c r="K41" s="119" t="n">
        <v>0</v>
      </c>
      <c r="L41" s="121" t="n">
        <v>1</v>
      </c>
      <c r="M41" s="120" t="n">
        <v>83.5901</v>
      </c>
    </row>
    <row r="42" customFormat="false" ht="13.5" hidden="false" customHeight="true" outlineLevel="0" collapsed="false">
      <c r="B42" s="104" t="s">
        <v>19</v>
      </c>
      <c r="C42" s="104" t="n">
        <v>2022</v>
      </c>
      <c r="D42" s="105" t="n">
        <v>34.12</v>
      </c>
      <c r="E42" s="106" t="n">
        <v>83.59</v>
      </c>
      <c r="F42" s="107" t="n">
        <v>8.4816</v>
      </c>
      <c r="G42" s="108" t="n">
        <v>9.3776</v>
      </c>
      <c r="H42" s="84" t="n">
        <v>28472</v>
      </c>
      <c r="I42" s="109" t="n">
        <v>10.2567</v>
      </c>
      <c r="J42" s="92" t="n">
        <v>15.3</v>
      </c>
      <c r="K42" s="110" t="n">
        <v>0</v>
      </c>
      <c r="L42" s="110" t="n">
        <v>0</v>
      </c>
      <c r="M42" s="111" t="n">
        <v>83.5901</v>
      </c>
    </row>
    <row r="43" customFormat="false" ht="13.5" hidden="false" customHeight="true" outlineLevel="0" collapsed="false">
      <c r="B43" s="112" t="s">
        <v>19</v>
      </c>
      <c r="C43" s="112" t="n">
        <v>2023</v>
      </c>
      <c r="D43" s="113" t="n">
        <v>33.58</v>
      </c>
      <c r="E43" s="114" t="n">
        <v>0.51</v>
      </c>
      <c r="F43" s="115" t="n">
        <v>8.4657</v>
      </c>
      <c r="G43" s="116" t="n">
        <v>4.2767</v>
      </c>
      <c r="H43" s="117" t="n">
        <v>30477</v>
      </c>
      <c r="I43" s="118" t="n">
        <v>10.3247</v>
      </c>
      <c r="J43" s="96" t="n">
        <v>13.4</v>
      </c>
      <c r="K43" s="122" t="n">
        <v>1</v>
      </c>
      <c r="L43" s="119" t="n">
        <v>0</v>
      </c>
      <c r="M43" s="120" t="n">
        <v>83.5901</v>
      </c>
    </row>
    <row r="44" customFormat="false" ht="13.5" hidden="false" customHeight="true" outlineLevel="0" collapsed="false">
      <c r="B44" s="104" t="s">
        <v>20</v>
      </c>
      <c r="C44" s="104" t="n">
        <v>2016</v>
      </c>
      <c r="D44" s="105" t="n">
        <v>32.26</v>
      </c>
      <c r="E44" s="106" t="n">
        <v>4.33</v>
      </c>
      <c r="F44" s="107" t="n">
        <v>7.9697</v>
      </c>
      <c r="G44" s="108" t="n">
        <v>5.961</v>
      </c>
      <c r="H44" s="84" t="n">
        <v>15443</v>
      </c>
      <c r="I44" s="109" t="n">
        <v>9.6449</v>
      </c>
      <c r="J44" s="92" t="n">
        <v>12.1</v>
      </c>
      <c r="K44" s="110" t="n">
        <v>0</v>
      </c>
      <c r="L44" s="110" t="n">
        <v>0</v>
      </c>
      <c r="M44" s="111" t="n">
        <v>73.201</v>
      </c>
    </row>
    <row r="45" customFormat="false" ht="13.5" hidden="false" customHeight="true" outlineLevel="0" collapsed="false">
      <c r="B45" s="112" t="s">
        <v>20</v>
      </c>
      <c r="C45" s="112" t="n">
        <v>2017</v>
      </c>
      <c r="D45" s="113" t="n">
        <v>52.05</v>
      </c>
      <c r="E45" s="114" t="n">
        <v>7.67</v>
      </c>
      <c r="F45" s="115" t="n">
        <v>8.4543</v>
      </c>
      <c r="G45" s="116" t="n">
        <v>6.5396</v>
      </c>
      <c r="H45" s="117" t="n">
        <v>16398</v>
      </c>
      <c r="I45" s="118" t="n">
        <v>9.7049</v>
      </c>
      <c r="J45" s="96" t="n">
        <v>12.7</v>
      </c>
      <c r="K45" s="119" t="n">
        <v>0</v>
      </c>
      <c r="L45" s="119" t="n">
        <v>0</v>
      </c>
      <c r="M45" s="120" t="n">
        <v>73.201</v>
      </c>
    </row>
    <row r="46" customFormat="false" ht="13.5" hidden="false" customHeight="true" outlineLevel="0" collapsed="false">
      <c r="B46" s="104" t="s">
        <v>20</v>
      </c>
      <c r="C46" s="104" t="n">
        <v>2018</v>
      </c>
      <c r="D46" s="105" t="n">
        <v>46.5</v>
      </c>
      <c r="E46" s="106" t="n">
        <v>10.94</v>
      </c>
      <c r="F46" s="107" t="n">
        <v>8.3476</v>
      </c>
      <c r="G46" s="108" t="n">
        <v>6.9007</v>
      </c>
      <c r="H46" s="84" t="n">
        <v>17178</v>
      </c>
      <c r="I46" s="109" t="n">
        <v>9.7514</v>
      </c>
      <c r="J46" s="92" t="n">
        <v>11.4</v>
      </c>
      <c r="K46" s="110" t="n">
        <v>0</v>
      </c>
      <c r="L46" s="110" t="n">
        <v>0</v>
      </c>
      <c r="M46" s="111" t="n">
        <v>73.201</v>
      </c>
    </row>
    <row r="47" customFormat="false" ht="13.5" hidden="false" customHeight="true" outlineLevel="0" collapsed="false">
      <c r="B47" s="112" t="s">
        <v>20</v>
      </c>
      <c r="C47" s="112" t="n">
        <v>2019</v>
      </c>
      <c r="D47" s="113" t="n">
        <v>20.64</v>
      </c>
      <c r="E47" s="114" t="n">
        <v>23.02</v>
      </c>
      <c r="F47" s="115" t="n">
        <v>7.5417</v>
      </c>
      <c r="G47" s="116" t="n">
        <v>7.6506</v>
      </c>
      <c r="H47" s="117" t="n">
        <v>17912</v>
      </c>
      <c r="I47" s="118" t="n">
        <v>9.7932</v>
      </c>
      <c r="J47" s="96" t="n">
        <v>11.1</v>
      </c>
      <c r="K47" s="119" t="n">
        <v>0</v>
      </c>
      <c r="L47" s="119" t="n">
        <v>0</v>
      </c>
      <c r="M47" s="120" t="n">
        <v>73.201</v>
      </c>
    </row>
    <row r="48" customFormat="false" ht="13.5" hidden="false" customHeight="true" outlineLevel="0" collapsed="false">
      <c r="B48" s="104" t="s">
        <v>20</v>
      </c>
      <c r="C48" s="104" t="n">
        <v>2020</v>
      </c>
      <c r="D48" s="105" t="n">
        <v>37.38</v>
      </c>
      <c r="E48" s="106" t="n">
        <v>33.93</v>
      </c>
      <c r="F48" s="107" t="n">
        <v>8.1415</v>
      </c>
      <c r="G48" s="108" t="n">
        <v>8.0446</v>
      </c>
      <c r="H48" s="84" t="n">
        <v>18168</v>
      </c>
      <c r="I48" s="109" t="n">
        <v>9.8074</v>
      </c>
      <c r="J48" s="93" t="n">
        <v>13.3</v>
      </c>
      <c r="K48" s="110" t="n">
        <v>0</v>
      </c>
      <c r="L48" s="121" t="n">
        <v>1</v>
      </c>
      <c r="M48" s="111" t="n">
        <v>73.201</v>
      </c>
    </row>
    <row r="49" customFormat="false" ht="13.5" hidden="false" customHeight="true" outlineLevel="0" collapsed="false">
      <c r="B49" s="112" t="s">
        <v>20</v>
      </c>
      <c r="C49" s="112" t="n">
        <v>2021</v>
      </c>
      <c r="D49" s="113" t="n">
        <v>32.1</v>
      </c>
      <c r="E49" s="114" t="n">
        <v>66.87</v>
      </c>
      <c r="F49" s="115" t="n">
        <v>7.995</v>
      </c>
      <c r="G49" s="116" t="n">
        <v>8.7289</v>
      </c>
      <c r="H49" s="117" t="n">
        <v>21090</v>
      </c>
      <c r="I49" s="118" t="n">
        <v>9.9566</v>
      </c>
      <c r="J49" s="93" t="n">
        <v>13.4</v>
      </c>
      <c r="K49" s="119" t="n">
        <v>0</v>
      </c>
      <c r="L49" s="121" t="n">
        <v>1</v>
      </c>
      <c r="M49" s="120" t="n">
        <v>73.201</v>
      </c>
    </row>
    <row r="50" customFormat="false" ht="13.5" hidden="false" customHeight="true" outlineLevel="0" collapsed="false">
      <c r="B50" s="104" t="s">
        <v>20</v>
      </c>
      <c r="C50" s="104" t="n">
        <v>2022</v>
      </c>
      <c r="D50" s="105" t="n">
        <v>28.13</v>
      </c>
      <c r="E50" s="106" t="n">
        <v>73.2</v>
      </c>
      <c r="F50" s="107" t="n">
        <v>7.8136</v>
      </c>
      <c r="G50" s="108" t="n">
        <v>8.77</v>
      </c>
      <c r="H50" s="84" t="n">
        <v>24287</v>
      </c>
      <c r="I50" s="109" t="n">
        <v>10.0977</v>
      </c>
      <c r="J50" s="92" t="n">
        <v>9.5</v>
      </c>
      <c r="K50" s="110" t="n">
        <v>0</v>
      </c>
      <c r="L50" s="110" t="n">
        <v>0</v>
      </c>
      <c r="M50" s="111" t="n">
        <v>73.201</v>
      </c>
    </row>
    <row r="51" customFormat="false" ht="13.5" hidden="false" customHeight="true" outlineLevel="0" collapsed="false">
      <c r="B51" s="112" t="s">
        <v>20</v>
      </c>
      <c r="C51" s="112" t="n">
        <v>2023</v>
      </c>
      <c r="D51" s="113" t="n">
        <v>28.57</v>
      </c>
      <c r="E51" s="114" t="n">
        <v>0.2</v>
      </c>
      <c r="F51" s="115" t="n">
        <v>7.8292</v>
      </c>
      <c r="G51" s="116" t="n">
        <v>2.8904</v>
      </c>
      <c r="H51" s="117" t="n">
        <v>26406</v>
      </c>
      <c r="I51" s="118" t="n">
        <v>10.1813</v>
      </c>
      <c r="J51" s="96" t="n">
        <v>9.1</v>
      </c>
      <c r="K51" s="122" t="n">
        <v>1</v>
      </c>
      <c r="L51" s="119" t="n">
        <v>0</v>
      </c>
      <c r="M51" s="120" t="n">
        <v>73.201</v>
      </c>
    </row>
    <row r="52" customFormat="false" ht="13.5" hidden="false" customHeight="true" outlineLevel="0" collapsed="false">
      <c r="B52" s="104" t="s">
        <v>21</v>
      </c>
      <c r="C52" s="104" t="n">
        <v>2016</v>
      </c>
      <c r="D52" s="105" t="n">
        <v>18.17</v>
      </c>
      <c r="E52" s="106" t="n">
        <v>6.35</v>
      </c>
      <c r="F52" s="107" t="n">
        <v>6.2934</v>
      </c>
      <c r="G52" s="108" t="n">
        <v>5.2417</v>
      </c>
      <c r="H52" s="84" t="n">
        <v>79114</v>
      </c>
      <c r="I52" s="109" t="n">
        <v>11.2786</v>
      </c>
      <c r="J52" s="92" t="n">
        <v>12.1</v>
      </c>
      <c r="K52" s="110" t="n">
        <v>0</v>
      </c>
      <c r="L52" s="110" t="n">
        <v>0</v>
      </c>
      <c r="M52" s="111" t="n">
        <v>385.4999</v>
      </c>
    </row>
    <row r="53" customFormat="false" ht="13.5" hidden="false" customHeight="true" outlineLevel="0" collapsed="false">
      <c r="B53" s="112" t="s">
        <v>21</v>
      </c>
      <c r="C53" s="112" t="n">
        <v>2017</v>
      </c>
      <c r="D53" s="113" t="n">
        <v>13.32</v>
      </c>
      <c r="E53" s="114" t="n">
        <v>10.5</v>
      </c>
      <c r="F53" s="115" t="n">
        <v>6.0039</v>
      </c>
      <c r="G53" s="116" t="n">
        <v>5.7652</v>
      </c>
      <c r="H53" s="117" t="n">
        <v>80515</v>
      </c>
      <c r="I53" s="118" t="n">
        <v>11.2962</v>
      </c>
      <c r="J53" s="96" t="n">
        <v>13.3</v>
      </c>
      <c r="K53" s="119" t="n">
        <v>0</v>
      </c>
      <c r="L53" s="119" t="n">
        <v>0</v>
      </c>
      <c r="M53" s="120" t="n">
        <v>385.4999</v>
      </c>
    </row>
    <row r="54" customFormat="false" ht="13.5" hidden="false" customHeight="true" outlineLevel="0" collapsed="false">
      <c r="B54" s="104" t="s">
        <v>21</v>
      </c>
      <c r="C54" s="104" t="n">
        <v>2018</v>
      </c>
      <c r="D54" s="105" t="n">
        <v>11.43</v>
      </c>
      <c r="E54" s="106" t="n">
        <v>16.81</v>
      </c>
      <c r="F54" s="107" t="n">
        <v>5.8289</v>
      </c>
      <c r="G54" s="108" t="n">
        <v>6.2146</v>
      </c>
      <c r="H54" s="84" t="n">
        <v>85661</v>
      </c>
      <c r="I54" s="109" t="n">
        <v>11.3582</v>
      </c>
      <c r="J54" s="92" t="n">
        <v>12.8</v>
      </c>
      <c r="K54" s="110" t="n">
        <v>0</v>
      </c>
      <c r="L54" s="110" t="n">
        <v>0</v>
      </c>
      <c r="M54" s="111" t="n">
        <v>385.4999</v>
      </c>
    </row>
    <row r="55" customFormat="false" ht="13.5" hidden="false" customHeight="true" outlineLevel="0" collapsed="false">
      <c r="B55" s="112" t="s">
        <v>21</v>
      </c>
      <c r="C55" s="112" t="n">
        <v>2019</v>
      </c>
      <c r="D55" s="113" t="n">
        <v>8.85</v>
      </c>
      <c r="E55" s="114" t="n">
        <v>82.35</v>
      </c>
      <c r="F55" s="115" t="n">
        <v>5.5872</v>
      </c>
      <c r="G55" s="116" t="n">
        <v>7.8172</v>
      </c>
      <c r="H55" s="117" t="n">
        <v>90743</v>
      </c>
      <c r="I55" s="118" t="n">
        <v>11.4158</v>
      </c>
      <c r="J55" s="96" t="n">
        <v>13.4</v>
      </c>
      <c r="K55" s="119" t="n">
        <v>0</v>
      </c>
      <c r="L55" s="119" t="n">
        <v>0</v>
      </c>
      <c r="M55" s="120" t="n">
        <v>385.4999</v>
      </c>
    </row>
    <row r="56" customFormat="false" ht="13.5" hidden="false" customHeight="true" outlineLevel="0" collapsed="false">
      <c r="B56" s="104" t="s">
        <v>21</v>
      </c>
      <c r="C56" s="104" t="n">
        <v>2020</v>
      </c>
      <c r="D56" s="105" t="n">
        <v>8.28</v>
      </c>
      <c r="E56" s="106" t="n">
        <v>165.13</v>
      </c>
      <c r="F56" s="107" t="n">
        <v>5.5334</v>
      </c>
      <c r="G56" s="108" t="n">
        <v>8.5262</v>
      </c>
      <c r="H56" s="84" t="n">
        <v>87016</v>
      </c>
      <c r="I56" s="109" t="n">
        <v>11.3738</v>
      </c>
      <c r="J56" s="93" t="n">
        <v>14.8</v>
      </c>
      <c r="K56" s="110" t="n">
        <v>0</v>
      </c>
      <c r="L56" s="121" t="n">
        <v>1</v>
      </c>
      <c r="M56" s="111" t="n">
        <v>385.4999</v>
      </c>
    </row>
    <row r="57" customFormat="false" ht="13.5" hidden="false" customHeight="true" outlineLevel="0" collapsed="false">
      <c r="B57" s="112" t="s">
        <v>21</v>
      </c>
      <c r="C57" s="112" t="n">
        <v>2021</v>
      </c>
      <c r="D57" s="113" t="n">
        <v>6.24</v>
      </c>
      <c r="E57" s="114" t="n">
        <v>267.88</v>
      </c>
      <c r="F57" s="115" t="n">
        <v>5.2627</v>
      </c>
      <c r="G57" s="116" t="n">
        <v>9.0227</v>
      </c>
      <c r="H57" s="117" t="n">
        <v>92732</v>
      </c>
      <c r="I57" s="118" t="n">
        <v>11.4375</v>
      </c>
      <c r="J57" s="93" t="n">
        <v>14</v>
      </c>
      <c r="K57" s="119" t="n">
        <v>0</v>
      </c>
      <c r="L57" s="121" t="n">
        <v>1</v>
      </c>
      <c r="M57" s="120" t="n">
        <v>385.4999</v>
      </c>
    </row>
    <row r="58" customFormat="false" ht="13.5" hidden="false" customHeight="true" outlineLevel="0" collapsed="false">
      <c r="B58" s="104" t="s">
        <v>21</v>
      </c>
      <c r="C58" s="104" t="n">
        <v>2022</v>
      </c>
      <c r="D58" s="105" t="n">
        <v>6.35</v>
      </c>
      <c r="E58" s="106" t="n">
        <v>385.5</v>
      </c>
      <c r="F58" s="107" t="n">
        <v>5.1874</v>
      </c>
      <c r="G58" s="108" t="n">
        <v>9.2929</v>
      </c>
      <c r="H58" s="84" t="n">
        <v>116700</v>
      </c>
      <c r="I58" s="109" t="n">
        <v>11.6674</v>
      </c>
      <c r="J58" s="92" t="n">
        <v>11.4</v>
      </c>
      <c r="K58" s="110" t="n">
        <v>0</v>
      </c>
      <c r="L58" s="110" t="n">
        <v>0</v>
      </c>
      <c r="M58" s="111" t="n">
        <v>385.4999</v>
      </c>
    </row>
    <row r="59" customFormat="false" ht="13.5" hidden="false" customHeight="true" outlineLevel="0" collapsed="false">
      <c r="B59" s="112" t="s">
        <v>21</v>
      </c>
      <c r="C59" s="112" t="n">
        <v>2023</v>
      </c>
      <c r="D59" s="113" t="n">
        <v>4.69</v>
      </c>
      <c r="E59" s="114" t="n">
        <v>0.64</v>
      </c>
      <c r="F59" s="115" t="n">
        <v>4.8828</v>
      </c>
      <c r="G59" s="116" t="n">
        <v>2.8904</v>
      </c>
      <c r="H59" s="117" t="n">
        <v>129790</v>
      </c>
      <c r="I59" s="118" t="n">
        <v>11.7737</v>
      </c>
      <c r="J59" s="96" t="n">
        <v>9.8</v>
      </c>
      <c r="K59" s="122" t="n">
        <v>1</v>
      </c>
      <c r="L59" s="119" t="n">
        <v>0</v>
      </c>
      <c r="M59" s="120" t="n">
        <v>385.4999</v>
      </c>
    </row>
    <row r="60" customFormat="false" ht="13.5" hidden="false" customHeight="true" outlineLevel="0" collapsed="false">
      <c r="B60" s="104" t="s">
        <v>22</v>
      </c>
      <c r="C60" s="104" t="n">
        <v>2016</v>
      </c>
      <c r="D60" s="105" t="n">
        <v>24.28</v>
      </c>
      <c r="E60" s="106" t="n">
        <v>1.01</v>
      </c>
      <c r="F60" s="107" t="n">
        <v>6.8721</v>
      </c>
      <c r="G60" s="108" t="n">
        <v>3.6889</v>
      </c>
      <c r="H60" s="84" t="n">
        <v>27497</v>
      </c>
      <c r="I60" s="109" t="n">
        <v>10.2218</v>
      </c>
      <c r="J60" s="92" t="n">
        <v>12.4</v>
      </c>
      <c r="K60" s="110" t="n">
        <v>0</v>
      </c>
      <c r="L60" s="110" t="n">
        <v>0</v>
      </c>
      <c r="M60" s="111" t="n">
        <v>78.6444</v>
      </c>
    </row>
    <row r="61" customFormat="false" ht="13.5" hidden="false" customHeight="true" outlineLevel="0" collapsed="false">
      <c r="B61" s="112" t="s">
        <v>22</v>
      </c>
      <c r="C61" s="112" t="n">
        <v>2017</v>
      </c>
      <c r="D61" s="113" t="n">
        <v>30.72</v>
      </c>
      <c r="E61" s="114" t="n">
        <v>3.36</v>
      </c>
      <c r="F61" s="115" t="n">
        <v>7.118</v>
      </c>
      <c r="G61" s="116" t="n">
        <v>4.9053</v>
      </c>
      <c r="H61" s="117" t="n">
        <v>28235</v>
      </c>
      <c r="I61" s="118" t="n">
        <v>10.2483</v>
      </c>
      <c r="J61" s="96" t="n">
        <v>13.3</v>
      </c>
      <c r="K61" s="119" t="n">
        <v>0</v>
      </c>
      <c r="L61" s="119" t="n">
        <v>0</v>
      </c>
      <c r="M61" s="120" t="n">
        <v>78.6444</v>
      </c>
    </row>
    <row r="62" customFormat="false" ht="13.5" hidden="false" customHeight="true" outlineLevel="0" collapsed="false">
      <c r="B62" s="104" t="s">
        <v>22</v>
      </c>
      <c r="C62" s="104" t="n">
        <v>2018</v>
      </c>
      <c r="D62" s="105" t="n">
        <v>22.28</v>
      </c>
      <c r="E62" s="106" t="n">
        <v>8.08</v>
      </c>
      <c r="F62" s="107" t="n">
        <v>6.7856</v>
      </c>
      <c r="G62" s="108" t="n">
        <v>5.7714</v>
      </c>
      <c r="H62" s="84" t="n">
        <v>34493</v>
      </c>
      <c r="I62" s="109" t="n">
        <v>10.4485</v>
      </c>
      <c r="J62" s="92" t="n">
        <v>11.7</v>
      </c>
      <c r="K62" s="110" t="n">
        <v>0</v>
      </c>
      <c r="L62" s="110" t="n">
        <v>0</v>
      </c>
      <c r="M62" s="111" t="n">
        <v>78.6444</v>
      </c>
    </row>
    <row r="63" customFormat="false" ht="13.5" hidden="false" customHeight="true" outlineLevel="0" collapsed="false">
      <c r="B63" s="112" t="s">
        <v>22</v>
      </c>
      <c r="C63" s="112" t="n">
        <v>2019</v>
      </c>
      <c r="D63" s="113" t="n">
        <v>19.33</v>
      </c>
      <c r="E63" s="114" t="n">
        <v>16.37</v>
      </c>
      <c r="F63" s="115" t="n">
        <v>6.6554</v>
      </c>
      <c r="G63" s="116" t="n">
        <v>6.4892</v>
      </c>
      <c r="H63" s="117" t="n">
        <v>34177</v>
      </c>
      <c r="I63" s="118" t="n">
        <v>10.4393</v>
      </c>
      <c r="J63" s="96" t="n">
        <v>11.2</v>
      </c>
      <c r="K63" s="119" t="n">
        <v>0</v>
      </c>
      <c r="L63" s="119" t="n">
        <v>0</v>
      </c>
      <c r="M63" s="120" t="n">
        <v>78.6444</v>
      </c>
    </row>
    <row r="64" customFormat="false" ht="13.5" hidden="false" customHeight="true" outlineLevel="0" collapsed="false">
      <c r="B64" s="104" t="s">
        <v>22</v>
      </c>
      <c r="C64" s="104" t="n">
        <v>2020</v>
      </c>
      <c r="D64" s="105" t="n">
        <v>22.98</v>
      </c>
      <c r="E64" s="106" t="n">
        <v>18.45</v>
      </c>
      <c r="F64" s="107" t="n">
        <v>6.8395</v>
      </c>
      <c r="G64" s="108" t="n">
        <v>6.6201</v>
      </c>
      <c r="H64" s="84" t="n">
        <v>34066</v>
      </c>
      <c r="I64" s="109" t="n">
        <v>10.4361</v>
      </c>
      <c r="J64" s="93" t="n">
        <v>12.9</v>
      </c>
      <c r="K64" s="110" t="n">
        <v>0</v>
      </c>
      <c r="L64" s="121" t="n">
        <v>1</v>
      </c>
      <c r="M64" s="111" t="n">
        <v>78.6444</v>
      </c>
    </row>
    <row r="65" customFormat="false" ht="13.5" hidden="false" customHeight="true" outlineLevel="0" collapsed="false">
      <c r="B65" s="112" t="s">
        <v>22</v>
      </c>
      <c r="C65" s="112" t="n">
        <v>2021</v>
      </c>
      <c r="D65" s="113" t="n">
        <v>22.1</v>
      </c>
      <c r="E65" s="114" t="n">
        <v>56.47</v>
      </c>
      <c r="F65" s="115" t="n">
        <v>6.8112</v>
      </c>
      <c r="G65" s="116" t="n">
        <v>7.7493</v>
      </c>
      <c r="H65" s="117" t="n">
        <v>45354</v>
      </c>
      <c r="I65" s="118" t="n">
        <v>10.7222</v>
      </c>
      <c r="J65" s="93" t="n">
        <v>11.2</v>
      </c>
      <c r="K65" s="119" t="n">
        <v>0</v>
      </c>
      <c r="L65" s="121" t="n">
        <v>1</v>
      </c>
      <c r="M65" s="120" t="n">
        <v>78.6444</v>
      </c>
    </row>
    <row r="66" customFormat="false" ht="13.5" hidden="false" customHeight="true" outlineLevel="0" collapsed="false">
      <c r="B66" s="104" t="s">
        <v>22</v>
      </c>
      <c r="C66" s="104" t="n">
        <v>2022</v>
      </c>
      <c r="D66" s="105" t="n">
        <v>22.43</v>
      </c>
      <c r="E66" s="106" t="n">
        <v>78.64</v>
      </c>
      <c r="F66" s="107" t="n">
        <v>6.7569</v>
      </c>
      <c r="G66" s="108" t="n">
        <v>8.0114</v>
      </c>
      <c r="H66" s="84" t="n">
        <v>47617</v>
      </c>
      <c r="I66" s="109" t="n">
        <v>10.7709</v>
      </c>
      <c r="J66" s="92" t="n">
        <v>8</v>
      </c>
      <c r="K66" s="110" t="n">
        <v>0</v>
      </c>
      <c r="L66" s="110" t="n">
        <v>0</v>
      </c>
      <c r="M66" s="111" t="n">
        <v>78.6444</v>
      </c>
    </row>
    <row r="67" customFormat="false" ht="13.5" hidden="false" customHeight="true" outlineLevel="0" collapsed="false">
      <c r="B67" s="112" t="s">
        <v>22</v>
      </c>
      <c r="C67" s="112" t="n">
        <v>2023</v>
      </c>
      <c r="D67" s="113" t="n">
        <v>21.96</v>
      </c>
      <c r="E67" s="114" t="n">
        <v>1.02</v>
      </c>
      <c r="F67" s="115" t="n">
        <v>6.7358</v>
      </c>
      <c r="G67" s="116" t="n">
        <v>3.6636</v>
      </c>
      <c r="H67" s="117" t="n">
        <v>54733</v>
      </c>
      <c r="I67" s="118" t="n">
        <v>10.9102</v>
      </c>
      <c r="J67" s="96" t="n">
        <v>6.1</v>
      </c>
      <c r="K67" s="122" t="n">
        <v>1</v>
      </c>
      <c r="L67" s="119" t="n">
        <v>0</v>
      </c>
      <c r="M67" s="120" t="n">
        <v>78.6444</v>
      </c>
    </row>
    <row r="68" customFormat="false" ht="13.5" hidden="false" customHeight="true" outlineLevel="0" collapsed="false">
      <c r="B68" s="104" t="s">
        <v>23</v>
      </c>
      <c r="C68" s="104" t="n">
        <v>2016</v>
      </c>
      <c r="D68" s="105" t="n">
        <v>31.86</v>
      </c>
      <c r="E68" s="106" t="n">
        <v>1.72</v>
      </c>
      <c r="F68" s="107" t="n">
        <v>7.6653</v>
      </c>
      <c r="G68" s="108" t="n">
        <v>4.7449</v>
      </c>
      <c r="H68" s="84" t="n">
        <v>27145</v>
      </c>
      <c r="I68" s="109" t="n">
        <v>10.209</v>
      </c>
      <c r="J68" s="92" t="n">
        <v>10.7</v>
      </c>
      <c r="K68" s="110" t="n">
        <v>0</v>
      </c>
      <c r="L68" s="110" t="n">
        <v>0</v>
      </c>
      <c r="M68" s="111" t="n">
        <v>412.6553</v>
      </c>
    </row>
    <row r="69" customFormat="false" ht="13.5" hidden="false" customHeight="true" outlineLevel="0" collapsed="false">
      <c r="B69" s="112" t="s">
        <v>23</v>
      </c>
      <c r="C69" s="112" t="n">
        <v>2017</v>
      </c>
      <c r="D69" s="113" t="n">
        <v>30.39</v>
      </c>
      <c r="E69" s="114" t="n">
        <v>4.44</v>
      </c>
      <c r="F69" s="115" t="n">
        <v>7.6305</v>
      </c>
      <c r="G69" s="116" t="n">
        <v>5.7071</v>
      </c>
      <c r="H69" s="117" t="n">
        <v>28316</v>
      </c>
      <c r="I69" s="118" t="n">
        <v>10.2512</v>
      </c>
      <c r="J69" s="96" t="n">
        <v>10.7</v>
      </c>
      <c r="K69" s="119" t="n">
        <v>0</v>
      </c>
      <c r="L69" s="119" t="n">
        <v>0</v>
      </c>
      <c r="M69" s="120" t="n">
        <v>412.6553</v>
      </c>
    </row>
    <row r="70" customFormat="false" ht="13.5" hidden="false" customHeight="true" outlineLevel="0" collapsed="false">
      <c r="B70" s="104" t="s">
        <v>23</v>
      </c>
      <c r="C70" s="104" t="n">
        <v>2018</v>
      </c>
      <c r="D70" s="105" t="n">
        <v>27.24</v>
      </c>
      <c r="E70" s="106" t="n">
        <v>8.58</v>
      </c>
      <c r="F70" s="107" t="n">
        <v>7.5417</v>
      </c>
      <c r="G70" s="108" t="n">
        <v>6.3869</v>
      </c>
      <c r="H70" s="84" t="n">
        <v>28273</v>
      </c>
      <c r="I70" s="109" t="n">
        <v>10.2497</v>
      </c>
      <c r="J70" s="92" t="n">
        <v>9.3</v>
      </c>
      <c r="K70" s="110" t="n">
        <v>0</v>
      </c>
      <c r="L70" s="110" t="n">
        <v>0</v>
      </c>
      <c r="M70" s="111" t="n">
        <v>412.6553</v>
      </c>
    </row>
    <row r="71" customFormat="false" ht="13.5" hidden="false" customHeight="true" outlineLevel="0" collapsed="false">
      <c r="B71" s="112" t="s">
        <v>23</v>
      </c>
      <c r="C71" s="112" t="n">
        <v>2019</v>
      </c>
      <c r="D71" s="113" t="n">
        <v>21.03</v>
      </c>
      <c r="E71" s="114" t="n">
        <v>43.4</v>
      </c>
      <c r="F71" s="115" t="n">
        <v>7.2971</v>
      </c>
      <c r="G71" s="116" t="n">
        <v>8.0216</v>
      </c>
      <c r="H71" s="117" t="n">
        <v>29732</v>
      </c>
      <c r="I71" s="118" t="n">
        <v>10.3</v>
      </c>
      <c r="J71" s="96" t="n">
        <v>10.8</v>
      </c>
      <c r="K71" s="119" t="n">
        <v>0</v>
      </c>
      <c r="L71" s="119" t="n">
        <v>0</v>
      </c>
      <c r="M71" s="120" t="n">
        <v>412.6553</v>
      </c>
    </row>
    <row r="72" customFormat="false" ht="13.5" hidden="false" customHeight="true" outlineLevel="0" collapsed="false">
      <c r="B72" s="104" t="s">
        <v>23</v>
      </c>
      <c r="C72" s="104" t="n">
        <v>2020</v>
      </c>
      <c r="D72" s="105" t="n">
        <v>19.86</v>
      </c>
      <c r="E72" s="106" t="n">
        <v>119.46</v>
      </c>
      <c r="F72" s="107" t="n">
        <v>7.2535</v>
      </c>
      <c r="G72" s="108" t="n">
        <v>9.0476</v>
      </c>
      <c r="H72" s="84" t="n">
        <v>31507</v>
      </c>
      <c r="I72" s="109" t="n">
        <v>10.358</v>
      </c>
      <c r="J72" s="93" t="n">
        <v>12.8</v>
      </c>
      <c r="K72" s="110" t="n">
        <v>0</v>
      </c>
      <c r="L72" s="121" t="n">
        <v>1</v>
      </c>
      <c r="M72" s="111" t="n">
        <v>412.6553</v>
      </c>
    </row>
    <row r="73" customFormat="false" ht="13.5" hidden="false" customHeight="true" outlineLevel="0" collapsed="false">
      <c r="B73" s="112" t="s">
        <v>23</v>
      </c>
      <c r="C73" s="112" t="n">
        <v>2021</v>
      </c>
      <c r="D73" s="113" t="n">
        <v>14.11</v>
      </c>
      <c r="E73" s="114" t="n">
        <v>305.83</v>
      </c>
      <c r="F73" s="115" t="n">
        <v>6.9246</v>
      </c>
      <c r="G73" s="116" t="n">
        <v>10.0006</v>
      </c>
      <c r="H73" s="117" t="n">
        <v>37414</v>
      </c>
      <c r="I73" s="118" t="n">
        <v>10.5298</v>
      </c>
      <c r="J73" s="93" t="n">
        <v>11.3</v>
      </c>
      <c r="K73" s="119" t="n">
        <v>0</v>
      </c>
      <c r="L73" s="121" t="n">
        <v>1</v>
      </c>
      <c r="M73" s="120" t="n">
        <v>412.6553</v>
      </c>
    </row>
    <row r="74" customFormat="false" ht="13.5" hidden="false" customHeight="true" outlineLevel="0" collapsed="false">
      <c r="B74" s="104" t="s">
        <v>23</v>
      </c>
      <c r="C74" s="104" t="n">
        <v>2022</v>
      </c>
      <c r="D74" s="105" t="n">
        <v>13.41</v>
      </c>
      <c r="E74" s="106" t="n">
        <v>412.66</v>
      </c>
      <c r="F74" s="107" t="n">
        <v>6.8522</v>
      </c>
      <c r="G74" s="108" t="n">
        <v>10.2791</v>
      </c>
      <c r="H74" s="84" t="n">
        <v>45148</v>
      </c>
      <c r="I74" s="109" t="n">
        <v>10.7177</v>
      </c>
      <c r="J74" s="92" t="n">
        <v>7.2</v>
      </c>
      <c r="K74" s="110" t="n">
        <v>0</v>
      </c>
      <c r="L74" s="110" t="n">
        <v>0</v>
      </c>
      <c r="M74" s="111" t="n">
        <v>412.6553</v>
      </c>
    </row>
    <row r="75" customFormat="false" ht="13.5" hidden="false" customHeight="true" outlineLevel="0" collapsed="false">
      <c r="B75" s="112" t="s">
        <v>23</v>
      </c>
      <c r="C75" s="112" t="n">
        <v>2023</v>
      </c>
      <c r="D75" s="113" t="n">
        <v>11.9</v>
      </c>
      <c r="E75" s="114" t="n">
        <v>0.74</v>
      </c>
      <c r="F75" s="115" t="n">
        <v>6.7334</v>
      </c>
      <c r="G75" s="116" t="n">
        <v>3.9512</v>
      </c>
      <c r="H75" s="117" t="n">
        <v>47722</v>
      </c>
      <c r="I75" s="118" t="n">
        <v>10.7731</v>
      </c>
      <c r="J75" s="96" t="n">
        <v>6.2</v>
      </c>
      <c r="K75" s="122" t="n">
        <v>1</v>
      </c>
      <c r="L75" s="119" t="n">
        <v>0</v>
      </c>
      <c r="M75" s="120" t="n">
        <v>412.6553</v>
      </c>
    </row>
    <row r="76" customFormat="false" ht="13.5" hidden="false" customHeight="true" outlineLevel="0" collapsed="false">
      <c r="B76" s="104" t="s">
        <v>24</v>
      </c>
      <c r="C76" s="104" t="n">
        <v>2016</v>
      </c>
      <c r="D76" s="105" t="n">
        <v>23.37</v>
      </c>
      <c r="E76" s="106" t="n">
        <v>0.46</v>
      </c>
      <c r="F76" s="107" t="n">
        <v>7.3933</v>
      </c>
      <c r="G76" s="108" t="n">
        <v>3.4657</v>
      </c>
      <c r="H76" s="84" t="n">
        <v>12268</v>
      </c>
      <c r="I76" s="109" t="n">
        <v>9.4147</v>
      </c>
      <c r="J76" s="92" t="n">
        <v>12.1</v>
      </c>
      <c r="K76" s="110" t="n">
        <v>0</v>
      </c>
      <c r="L76" s="110" t="n">
        <v>0</v>
      </c>
      <c r="M76" s="111" t="n">
        <v>73.5314</v>
      </c>
    </row>
    <row r="77" customFormat="false" ht="13.5" hidden="false" customHeight="true" outlineLevel="0" collapsed="false">
      <c r="B77" s="112" t="s">
        <v>24</v>
      </c>
      <c r="C77" s="112" t="n">
        <v>2017</v>
      </c>
      <c r="D77" s="113" t="n">
        <v>21.06</v>
      </c>
      <c r="E77" s="114" t="n">
        <v>1.29</v>
      </c>
      <c r="F77" s="115" t="n">
        <v>7.2957</v>
      </c>
      <c r="G77" s="116" t="n">
        <v>4.4998</v>
      </c>
      <c r="H77" s="117" t="n">
        <v>12791</v>
      </c>
      <c r="I77" s="118" t="n">
        <v>9.4565</v>
      </c>
      <c r="J77" s="96" t="n">
        <v>14.5</v>
      </c>
      <c r="K77" s="119" t="n">
        <v>0</v>
      </c>
      <c r="L77" s="119" t="n">
        <v>0</v>
      </c>
      <c r="M77" s="120" t="n">
        <v>73.5314</v>
      </c>
    </row>
    <row r="78" customFormat="false" ht="13.5" hidden="false" customHeight="true" outlineLevel="0" collapsed="false">
      <c r="B78" s="104" t="s">
        <v>24</v>
      </c>
      <c r="C78" s="104" t="n">
        <v>2018</v>
      </c>
      <c r="D78" s="105" t="n">
        <v>17.87</v>
      </c>
      <c r="E78" s="106" t="n">
        <v>1.68</v>
      </c>
      <c r="F78" s="107" t="n">
        <v>7.1365</v>
      </c>
      <c r="G78" s="108" t="n">
        <v>4.7707</v>
      </c>
      <c r="H78" s="84" t="n">
        <v>13956</v>
      </c>
      <c r="I78" s="109" t="n">
        <v>9.5436</v>
      </c>
      <c r="J78" s="92" t="n">
        <v>14.7</v>
      </c>
      <c r="K78" s="110" t="n">
        <v>0</v>
      </c>
      <c r="L78" s="110" t="n">
        <v>0</v>
      </c>
      <c r="M78" s="111" t="n">
        <v>73.5314</v>
      </c>
    </row>
    <row r="79" customFormat="false" ht="13.5" hidden="false" customHeight="true" outlineLevel="0" collapsed="false">
      <c r="B79" s="112" t="s">
        <v>24</v>
      </c>
      <c r="C79" s="112" t="n">
        <v>2019</v>
      </c>
      <c r="D79" s="113" t="n">
        <v>15</v>
      </c>
      <c r="E79" s="114" t="n">
        <v>8.99</v>
      </c>
      <c r="F79" s="115" t="n">
        <v>6.967</v>
      </c>
      <c r="G79" s="116" t="n">
        <v>6.4552</v>
      </c>
      <c r="H79" s="117" t="n">
        <v>13758</v>
      </c>
      <c r="I79" s="118" t="n">
        <v>9.5294</v>
      </c>
      <c r="J79" s="96" t="n">
        <v>14.7</v>
      </c>
      <c r="K79" s="119" t="n">
        <v>0</v>
      </c>
      <c r="L79" s="119" t="n">
        <v>0</v>
      </c>
      <c r="M79" s="120" t="n">
        <v>73.5314</v>
      </c>
    </row>
    <row r="80" customFormat="false" ht="13.5" hidden="false" customHeight="true" outlineLevel="0" collapsed="false">
      <c r="B80" s="104" t="s">
        <v>24</v>
      </c>
      <c r="C80" s="104" t="n">
        <v>2020</v>
      </c>
      <c r="D80" s="105" t="n">
        <v>20.04</v>
      </c>
      <c r="E80" s="106" t="n">
        <v>21.08</v>
      </c>
      <c r="F80" s="107" t="n">
        <v>7.2626</v>
      </c>
      <c r="G80" s="108" t="n">
        <v>7.3132</v>
      </c>
      <c r="H80" s="84" t="n">
        <v>15028</v>
      </c>
      <c r="I80" s="109" t="n">
        <v>9.6176</v>
      </c>
      <c r="J80" s="93" t="n">
        <v>16.4</v>
      </c>
      <c r="K80" s="110" t="n">
        <v>0</v>
      </c>
      <c r="L80" s="121" t="n">
        <v>1</v>
      </c>
      <c r="M80" s="111" t="n">
        <v>73.5314</v>
      </c>
    </row>
    <row r="81" customFormat="false" ht="13.5" hidden="false" customHeight="true" outlineLevel="0" collapsed="false">
      <c r="B81" s="112" t="s">
        <v>24</v>
      </c>
      <c r="C81" s="112" t="n">
        <v>2021</v>
      </c>
      <c r="D81" s="113" t="n">
        <v>20.12</v>
      </c>
      <c r="E81" s="114" t="n">
        <v>39.87</v>
      </c>
      <c r="F81" s="115" t="n">
        <v>7.2717</v>
      </c>
      <c r="G81" s="116" t="n">
        <v>7.9558</v>
      </c>
      <c r="H81" s="117" t="n">
        <v>17472</v>
      </c>
      <c r="I81" s="118" t="n">
        <v>9.7683</v>
      </c>
      <c r="J81" s="93" t="n">
        <v>16.1</v>
      </c>
      <c r="K81" s="119" t="n">
        <v>0</v>
      </c>
      <c r="L81" s="121" t="n">
        <v>1</v>
      </c>
      <c r="M81" s="120" t="n">
        <v>73.5314</v>
      </c>
    </row>
    <row r="82" customFormat="false" ht="13.5" hidden="false" customHeight="true" outlineLevel="0" collapsed="false">
      <c r="B82" s="104" t="s">
        <v>24</v>
      </c>
      <c r="C82" s="104" t="n">
        <v>2022</v>
      </c>
      <c r="D82" s="105" t="n">
        <v>19.51</v>
      </c>
      <c r="E82" s="106" t="n">
        <v>73.53</v>
      </c>
      <c r="F82" s="107" t="n">
        <v>7.1869</v>
      </c>
      <c r="G82" s="108" t="n">
        <v>8.5138</v>
      </c>
      <c r="H82" s="84" t="n">
        <v>20628</v>
      </c>
      <c r="I82" s="109" t="n">
        <v>9.9344</v>
      </c>
      <c r="J82" s="92" t="n">
        <v>10.5</v>
      </c>
      <c r="K82" s="110" t="n">
        <v>0</v>
      </c>
      <c r="L82" s="110" t="n">
        <v>0</v>
      </c>
      <c r="M82" s="111" t="n">
        <v>73.5314</v>
      </c>
    </row>
    <row r="83" customFormat="false" ht="13.5" hidden="false" customHeight="true" outlineLevel="0" collapsed="false">
      <c r="B83" s="112" t="s">
        <v>24</v>
      </c>
      <c r="C83" s="112" t="n">
        <v>2023</v>
      </c>
      <c r="D83" s="113" t="n">
        <v>21.21</v>
      </c>
      <c r="E83" s="114" t="n">
        <v>0.03</v>
      </c>
      <c r="F83" s="115" t="n">
        <v>7.2703</v>
      </c>
      <c r="G83" s="116" t="n">
        <v>0.6931</v>
      </c>
      <c r="H83" s="117" t="n">
        <v>22021</v>
      </c>
      <c r="I83" s="118" t="n">
        <v>9.9997</v>
      </c>
      <c r="J83" s="96" t="n">
        <v>8.2</v>
      </c>
      <c r="K83" s="122" t="n">
        <v>1</v>
      </c>
      <c r="L83" s="119" t="n">
        <v>0</v>
      </c>
      <c r="M83" s="120" t="n">
        <v>73.5314</v>
      </c>
    </row>
    <row r="84" customFormat="false" ht="13.5" hidden="false" customHeight="true" outlineLevel="0" collapsed="false">
      <c r="B84" s="104" t="s">
        <v>25</v>
      </c>
      <c r="C84" s="104" t="n">
        <v>2016</v>
      </c>
      <c r="D84" s="105" t="n">
        <v>15.76</v>
      </c>
      <c r="E84" s="106" t="n">
        <v>1.3</v>
      </c>
      <c r="F84" s="107" t="n">
        <v>8.1047</v>
      </c>
      <c r="G84" s="108" t="n">
        <v>5.6058</v>
      </c>
      <c r="H84" s="84" t="n">
        <v>25946</v>
      </c>
      <c r="I84" s="109" t="n">
        <v>10.1638</v>
      </c>
      <c r="J84" s="92" t="n">
        <v>11.2</v>
      </c>
      <c r="K84" s="110" t="n">
        <v>0</v>
      </c>
      <c r="L84" s="110" t="n">
        <v>0</v>
      </c>
      <c r="M84" s="111" t="n">
        <v>178.189</v>
      </c>
    </row>
    <row r="85" customFormat="false" ht="13.5" hidden="false" customHeight="true" outlineLevel="0" collapsed="false">
      <c r="B85" s="112" t="s">
        <v>25</v>
      </c>
      <c r="C85" s="112" t="n">
        <v>2017</v>
      </c>
      <c r="D85" s="113" t="n">
        <v>14.49</v>
      </c>
      <c r="E85" s="114" t="n">
        <v>2.32</v>
      </c>
      <c r="F85" s="115" t="n">
        <v>8.0262</v>
      </c>
      <c r="G85" s="116" t="n">
        <v>6.1924</v>
      </c>
      <c r="H85" s="117" t="n">
        <v>27291</v>
      </c>
      <c r="I85" s="118" t="n">
        <v>10.2143</v>
      </c>
      <c r="J85" s="96" t="n">
        <v>12.2</v>
      </c>
      <c r="K85" s="119" t="n">
        <v>0</v>
      </c>
      <c r="L85" s="119" t="n">
        <v>0</v>
      </c>
      <c r="M85" s="120" t="n">
        <v>178.189</v>
      </c>
    </row>
    <row r="86" customFormat="false" ht="13.5" hidden="false" customHeight="true" outlineLevel="0" collapsed="false">
      <c r="B86" s="104" t="s">
        <v>25</v>
      </c>
      <c r="C86" s="104" t="n">
        <v>2018</v>
      </c>
      <c r="D86" s="105" t="n">
        <v>10.62</v>
      </c>
      <c r="E86" s="106" t="n">
        <v>5.18</v>
      </c>
      <c r="F86" s="107" t="n">
        <v>7.7115</v>
      </c>
      <c r="G86" s="108" t="n">
        <v>6.993</v>
      </c>
      <c r="H86" s="84" t="n">
        <v>29223</v>
      </c>
      <c r="I86" s="109" t="n">
        <v>10.2827</v>
      </c>
      <c r="J86" s="92" t="n">
        <v>10.8</v>
      </c>
      <c r="K86" s="110" t="n">
        <v>0</v>
      </c>
      <c r="L86" s="110" t="n">
        <v>0</v>
      </c>
      <c r="M86" s="111" t="n">
        <v>178.189</v>
      </c>
    </row>
    <row r="87" customFormat="false" ht="13.5" hidden="false" customHeight="true" outlineLevel="0" collapsed="false">
      <c r="B87" s="112" t="s">
        <v>25</v>
      </c>
      <c r="C87" s="112" t="n">
        <v>2019</v>
      </c>
      <c r="D87" s="113" t="n">
        <v>8.83</v>
      </c>
      <c r="E87" s="114" t="n">
        <v>31.14</v>
      </c>
      <c r="F87" s="115" t="n">
        <v>7.5332</v>
      </c>
      <c r="G87" s="116" t="n">
        <v>8.7935</v>
      </c>
      <c r="H87" s="117" t="n">
        <v>30794</v>
      </c>
      <c r="I87" s="118" t="n">
        <v>10.3351</v>
      </c>
      <c r="J87" s="96" t="n">
        <v>10.1</v>
      </c>
      <c r="K87" s="119" t="n">
        <v>0</v>
      </c>
      <c r="L87" s="119" t="n">
        <v>0</v>
      </c>
      <c r="M87" s="120" t="n">
        <v>178.189</v>
      </c>
    </row>
    <row r="88" customFormat="false" ht="13.5" hidden="false" customHeight="true" outlineLevel="0" collapsed="false">
      <c r="B88" s="104" t="s">
        <v>25</v>
      </c>
      <c r="C88" s="104" t="n">
        <v>2020</v>
      </c>
      <c r="D88" s="105" t="n">
        <v>7.95</v>
      </c>
      <c r="E88" s="106" t="n">
        <v>47.49</v>
      </c>
      <c r="F88" s="107" t="n">
        <v>7.4337</v>
      </c>
      <c r="G88" s="108" t="n">
        <v>9.2214</v>
      </c>
      <c r="H88" s="84" t="n">
        <v>32067</v>
      </c>
      <c r="I88" s="109" t="n">
        <v>10.3756</v>
      </c>
      <c r="J88" s="93" t="n">
        <v>12.8</v>
      </c>
      <c r="K88" s="110" t="n">
        <v>0</v>
      </c>
      <c r="L88" s="121" t="n">
        <v>1</v>
      </c>
      <c r="M88" s="111" t="n">
        <v>178.189</v>
      </c>
    </row>
    <row r="89" customFormat="false" ht="13.5" hidden="false" customHeight="true" outlineLevel="0" collapsed="false">
      <c r="B89" s="112" t="s">
        <v>25</v>
      </c>
      <c r="C89" s="112" t="n">
        <v>2021</v>
      </c>
      <c r="D89" s="113" t="n">
        <v>7.42</v>
      </c>
      <c r="E89" s="114" t="n">
        <v>111.51</v>
      </c>
      <c r="F89" s="115" t="n">
        <v>7.3702</v>
      </c>
      <c r="G89" s="116" t="n">
        <v>10.0806</v>
      </c>
      <c r="H89" s="117" t="n">
        <v>40052</v>
      </c>
      <c r="I89" s="118" t="n">
        <v>10.5979</v>
      </c>
      <c r="J89" s="93" t="n">
        <v>11.7</v>
      </c>
      <c r="K89" s="119" t="n">
        <v>0</v>
      </c>
      <c r="L89" s="121" t="n">
        <v>1</v>
      </c>
      <c r="M89" s="120" t="n">
        <v>178.189</v>
      </c>
    </row>
    <row r="90" customFormat="false" ht="13.5" hidden="false" customHeight="true" outlineLevel="0" collapsed="false">
      <c r="B90" s="104" t="s">
        <v>25</v>
      </c>
      <c r="C90" s="104" t="n">
        <v>2022</v>
      </c>
      <c r="D90" s="105" t="n">
        <v>8.46</v>
      </c>
      <c r="E90" s="106" t="n">
        <v>178.19</v>
      </c>
      <c r="F90" s="107" t="n">
        <v>7.4599</v>
      </c>
      <c r="G90" s="108" t="n">
        <v>10.5078</v>
      </c>
      <c r="H90" s="84" t="n">
        <v>44145</v>
      </c>
      <c r="I90" s="109" t="n">
        <v>10.6952</v>
      </c>
      <c r="J90" s="92" t="n">
        <v>7.2</v>
      </c>
      <c r="K90" s="110" t="n">
        <v>0</v>
      </c>
      <c r="L90" s="110" t="n">
        <v>0</v>
      </c>
      <c r="M90" s="111" t="n">
        <v>178.189</v>
      </c>
    </row>
    <row r="91" customFormat="false" ht="13.5" hidden="false" customHeight="true" outlineLevel="0" collapsed="false">
      <c r="B91" s="112" t="s">
        <v>25</v>
      </c>
      <c r="C91" s="112" t="n">
        <v>2023</v>
      </c>
      <c r="D91" s="113" t="n">
        <v>8.52</v>
      </c>
      <c r="E91" s="114" t="n">
        <v>0.49</v>
      </c>
      <c r="F91" s="115" t="n">
        <v>7.4668</v>
      </c>
      <c r="G91" s="116" t="n">
        <v>4.6151</v>
      </c>
      <c r="H91" s="117" t="n">
        <v>47321</v>
      </c>
      <c r="I91" s="118" t="n">
        <v>10.7647</v>
      </c>
      <c r="J91" s="96" t="n">
        <v>6.1</v>
      </c>
      <c r="K91" s="122" t="n">
        <v>1</v>
      </c>
      <c r="L91" s="119" t="n">
        <v>0</v>
      </c>
      <c r="M91" s="120" t="n">
        <v>178.189</v>
      </c>
    </row>
    <row r="92" customFormat="false" ht="13.5" hidden="false" customHeight="true" outlineLevel="0" collapsed="false">
      <c r="B92" s="104" t="s">
        <v>26</v>
      </c>
      <c r="C92" s="104" t="n">
        <v>2016</v>
      </c>
      <c r="D92" s="105" t="n">
        <v>12.23</v>
      </c>
      <c r="E92" s="106" t="n">
        <v>4.36</v>
      </c>
      <c r="F92" s="107" t="n">
        <v>5.793</v>
      </c>
      <c r="G92" s="108" t="n">
        <v>4.7622</v>
      </c>
      <c r="H92" s="84" t="n">
        <v>34258</v>
      </c>
      <c r="I92" s="109" t="n">
        <v>10.4417</v>
      </c>
      <c r="J92" s="92" t="n">
        <v>7.7</v>
      </c>
      <c r="K92" s="110" t="n">
        <v>0</v>
      </c>
      <c r="L92" s="110" t="n">
        <v>0</v>
      </c>
      <c r="M92" s="111" t="n">
        <v>325.6786</v>
      </c>
    </row>
    <row r="93" customFormat="false" ht="13.5" hidden="false" customHeight="true" outlineLevel="0" collapsed="false">
      <c r="B93" s="112" t="s">
        <v>26</v>
      </c>
      <c r="C93" s="112" t="n">
        <v>2017</v>
      </c>
      <c r="D93" s="113" t="n">
        <v>11.72</v>
      </c>
      <c r="E93" s="114" t="n">
        <v>7</v>
      </c>
      <c r="F93" s="115" t="n">
        <v>5.7621</v>
      </c>
      <c r="G93" s="116" t="n">
        <v>5.247</v>
      </c>
      <c r="H93" s="117" t="n">
        <v>35529</v>
      </c>
      <c r="I93" s="118" t="n">
        <v>10.4781</v>
      </c>
      <c r="J93" s="96" t="n">
        <v>8.6</v>
      </c>
      <c r="K93" s="119" t="n">
        <v>0</v>
      </c>
      <c r="L93" s="119" t="n">
        <v>0</v>
      </c>
      <c r="M93" s="120" t="n">
        <v>325.6786</v>
      </c>
    </row>
    <row r="94" customFormat="false" ht="13.5" hidden="false" customHeight="true" outlineLevel="0" collapsed="false">
      <c r="B94" s="104" t="s">
        <v>26</v>
      </c>
      <c r="C94" s="104" t="n">
        <v>2018</v>
      </c>
      <c r="D94" s="105" t="n">
        <v>8.95</v>
      </c>
      <c r="E94" s="106" t="n">
        <v>6.8</v>
      </c>
      <c r="F94" s="107" t="n">
        <v>5.5053</v>
      </c>
      <c r="G94" s="108" t="n">
        <v>5.2311</v>
      </c>
      <c r="H94" s="84" t="n">
        <v>38926</v>
      </c>
      <c r="I94" s="109" t="n">
        <v>10.5694</v>
      </c>
      <c r="J94" s="92" t="n">
        <v>7.6</v>
      </c>
      <c r="K94" s="110" t="n">
        <v>0</v>
      </c>
      <c r="L94" s="110" t="n">
        <v>0</v>
      </c>
      <c r="M94" s="111" t="n">
        <v>325.6786</v>
      </c>
    </row>
    <row r="95" customFormat="false" ht="13.5" hidden="false" customHeight="true" outlineLevel="0" collapsed="false">
      <c r="B95" s="112" t="s">
        <v>26</v>
      </c>
      <c r="C95" s="112" t="n">
        <v>2019</v>
      </c>
      <c r="D95" s="113" t="n">
        <v>8.31</v>
      </c>
      <c r="E95" s="114" t="n">
        <v>37.89</v>
      </c>
      <c r="F95" s="115" t="n">
        <v>5.4424</v>
      </c>
      <c r="G95" s="116" t="n">
        <v>6.9594</v>
      </c>
      <c r="H95" s="117" t="n">
        <v>38483</v>
      </c>
      <c r="I95" s="118" t="n">
        <v>10.558</v>
      </c>
      <c r="J95" s="96" t="n">
        <v>8.1</v>
      </c>
      <c r="K95" s="119" t="n">
        <v>0</v>
      </c>
      <c r="L95" s="119" t="n">
        <v>0</v>
      </c>
      <c r="M95" s="120" t="n">
        <v>325.6786</v>
      </c>
    </row>
    <row r="96" customFormat="false" ht="13.5" hidden="false" customHeight="true" outlineLevel="0" collapsed="false">
      <c r="B96" s="104" t="s">
        <v>26</v>
      </c>
      <c r="C96" s="104" t="n">
        <v>2020</v>
      </c>
      <c r="D96" s="105" t="n">
        <v>7.65</v>
      </c>
      <c r="E96" s="106" t="n">
        <v>84.15</v>
      </c>
      <c r="F96" s="107" t="n">
        <v>5.3706</v>
      </c>
      <c r="G96" s="108" t="n">
        <v>7.7681</v>
      </c>
      <c r="H96" s="84" t="n">
        <v>43649</v>
      </c>
      <c r="I96" s="109" t="n">
        <v>10.6839</v>
      </c>
      <c r="J96" s="93" t="n">
        <v>10.2</v>
      </c>
      <c r="K96" s="110" t="n">
        <v>0</v>
      </c>
      <c r="L96" s="121" t="n">
        <v>1</v>
      </c>
      <c r="M96" s="111" t="n">
        <v>325.6786</v>
      </c>
    </row>
    <row r="97" customFormat="false" ht="13.5" hidden="false" customHeight="true" outlineLevel="0" collapsed="false">
      <c r="B97" s="112" t="s">
        <v>26</v>
      </c>
      <c r="C97" s="112" t="n">
        <v>2021</v>
      </c>
      <c r="D97" s="113" t="n">
        <v>9.47</v>
      </c>
      <c r="E97" s="114" t="n">
        <v>167.3</v>
      </c>
      <c r="F97" s="115" t="n">
        <v>5.5947</v>
      </c>
      <c r="G97" s="116" t="n">
        <v>8.4659</v>
      </c>
      <c r="H97" s="117" t="n">
        <v>50086</v>
      </c>
      <c r="I97" s="118" t="n">
        <v>10.8215</v>
      </c>
      <c r="J97" s="93" t="n">
        <v>8.7</v>
      </c>
      <c r="K97" s="119" t="n">
        <v>0</v>
      </c>
      <c r="L97" s="121" t="n">
        <v>1</v>
      </c>
      <c r="M97" s="120" t="n">
        <v>325.6786</v>
      </c>
    </row>
    <row r="98" customFormat="false" ht="13.5" hidden="false" customHeight="true" outlineLevel="0" collapsed="false">
      <c r="B98" s="104" t="s">
        <v>26</v>
      </c>
      <c r="C98" s="104" t="n">
        <v>2022</v>
      </c>
      <c r="D98" s="105" t="n">
        <v>9.03</v>
      </c>
      <c r="E98" s="106" t="n">
        <v>325.68</v>
      </c>
      <c r="F98" s="107" t="n">
        <v>5.5175</v>
      </c>
      <c r="G98" s="108" t="n">
        <v>9.1026</v>
      </c>
      <c r="H98" s="84" t="n">
        <v>60358</v>
      </c>
      <c r="I98" s="109" t="n">
        <v>11.008</v>
      </c>
      <c r="J98" s="92" t="n">
        <v>5</v>
      </c>
      <c r="K98" s="110" t="n">
        <v>0</v>
      </c>
      <c r="L98" s="110" t="n">
        <v>0</v>
      </c>
      <c r="M98" s="111" t="n">
        <v>325.6786</v>
      </c>
    </row>
    <row r="99" customFormat="false" ht="13.5" hidden="false" customHeight="true" outlineLevel="0" collapsed="false">
      <c r="B99" s="112" t="s">
        <v>26</v>
      </c>
      <c r="C99" s="112" t="n">
        <v>2023</v>
      </c>
      <c r="D99" s="113" t="n">
        <v>8.23</v>
      </c>
      <c r="E99" s="114" t="n">
        <v>0.65</v>
      </c>
      <c r="F99" s="115" t="n">
        <v>5.425</v>
      </c>
      <c r="G99" s="116" t="n">
        <v>2.8904</v>
      </c>
      <c r="H99" s="117" t="n">
        <v>66885</v>
      </c>
      <c r="I99" s="118" t="n">
        <v>11.1107</v>
      </c>
      <c r="J99" s="96" t="n">
        <v>4.2</v>
      </c>
      <c r="K99" s="122" t="n">
        <v>1</v>
      </c>
      <c r="L99" s="119" t="n">
        <v>0</v>
      </c>
      <c r="M99" s="120" t="n">
        <v>325.6786</v>
      </c>
    </row>
    <row r="100" customFormat="false" ht="13.5" hidden="false" customHeight="true" outlineLevel="0" collapsed="false">
      <c r="B100" s="104" t="s">
        <v>27</v>
      </c>
      <c r="C100" s="104" t="n">
        <v>2016</v>
      </c>
      <c r="D100" s="105" t="n">
        <v>22.9</v>
      </c>
      <c r="E100" s="106" t="n">
        <v>4.33</v>
      </c>
      <c r="F100" s="107" t="n">
        <v>6.6294</v>
      </c>
      <c r="G100" s="108" t="n">
        <v>4.9628</v>
      </c>
      <c r="H100" s="84" t="n">
        <v>37477</v>
      </c>
      <c r="I100" s="109" t="n">
        <v>10.5315</v>
      </c>
      <c r="J100" s="92" t="n">
        <v>9.5</v>
      </c>
      <c r="K100" s="110" t="n">
        <v>0</v>
      </c>
      <c r="L100" s="110" t="n">
        <v>0</v>
      </c>
      <c r="M100" s="111" t="n">
        <v>362.7569</v>
      </c>
    </row>
    <row r="101" customFormat="false" ht="13.5" hidden="false" customHeight="true" outlineLevel="0" collapsed="false">
      <c r="B101" s="112" t="s">
        <v>27</v>
      </c>
      <c r="C101" s="112" t="n">
        <v>2017</v>
      </c>
      <c r="D101" s="113" t="n">
        <v>20.18</v>
      </c>
      <c r="E101" s="114" t="n">
        <v>6.76</v>
      </c>
      <c r="F101" s="115" t="n">
        <v>6.5147</v>
      </c>
      <c r="G101" s="116" t="n">
        <v>5.4205</v>
      </c>
      <c r="H101" s="117" t="n">
        <v>37926</v>
      </c>
      <c r="I101" s="118" t="n">
        <v>10.5434</v>
      </c>
      <c r="J101" s="96" t="n">
        <v>9.1</v>
      </c>
      <c r="K101" s="119" t="n">
        <v>0</v>
      </c>
      <c r="L101" s="119" t="n">
        <v>0</v>
      </c>
      <c r="M101" s="120" t="n">
        <v>362.7569</v>
      </c>
    </row>
    <row r="102" customFormat="false" ht="13.5" hidden="false" customHeight="true" outlineLevel="0" collapsed="false">
      <c r="B102" s="104" t="s">
        <v>27</v>
      </c>
      <c r="C102" s="104" t="n">
        <v>2018</v>
      </c>
      <c r="D102" s="105" t="n">
        <v>16.33</v>
      </c>
      <c r="E102" s="106" t="n">
        <v>9.44</v>
      </c>
      <c r="F102" s="107" t="n">
        <v>6.3315</v>
      </c>
      <c r="G102" s="108" t="n">
        <v>5.7838</v>
      </c>
      <c r="H102" s="84" t="n">
        <v>39931</v>
      </c>
      <c r="I102" s="109" t="n">
        <v>10.5949</v>
      </c>
      <c r="J102" s="92" t="n">
        <v>8</v>
      </c>
      <c r="K102" s="110" t="n">
        <v>0</v>
      </c>
      <c r="L102" s="110" t="n">
        <v>0</v>
      </c>
      <c r="M102" s="111" t="n">
        <v>362.7569</v>
      </c>
    </row>
    <row r="103" customFormat="false" ht="13.5" hidden="false" customHeight="true" outlineLevel="0" collapsed="false">
      <c r="B103" s="112" t="s">
        <v>27</v>
      </c>
      <c r="C103" s="112" t="n">
        <v>2019</v>
      </c>
      <c r="D103" s="113" t="n">
        <v>14.52</v>
      </c>
      <c r="E103" s="114" t="n">
        <v>47.47</v>
      </c>
      <c r="F103" s="115" t="n">
        <v>6.2265</v>
      </c>
      <c r="G103" s="116" t="n">
        <v>7.411</v>
      </c>
      <c r="H103" s="117" t="n">
        <v>40787</v>
      </c>
      <c r="I103" s="118" t="n">
        <v>10.6161</v>
      </c>
      <c r="J103" s="96" t="n">
        <v>8</v>
      </c>
      <c r="K103" s="119" t="n">
        <v>0</v>
      </c>
      <c r="L103" s="119" t="n">
        <v>0</v>
      </c>
      <c r="M103" s="120" t="n">
        <v>362.7569</v>
      </c>
    </row>
    <row r="104" customFormat="false" ht="13.5" hidden="false" customHeight="true" outlineLevel="0" collapsed="false">
      <c r="B104" s="104" t="s">
        <v>27</v>
      </c>
      <c r="C104" s="104" t="n">
        <v>2020</v>
      </c>
      <c r="D104" s="105" t="n">
        <v>16.85</v>
      </c>
      <c r="E104" s="106" t="n">
        <v>64.35</v>
      </c>
      <c r="F104" s="107" t="n">
        <v>6.3869</v>
      </c>
      <c r="G104" s="108" t="n">
        <v>7.7271</v>
      </c>
      <c r="H104" s="84" t="n">
        <v>50663</v>
      </c>
      <c r="I104" s="109" t="n">
        <v>10.833</v>
      </c>
      <c r="J104" s="93" t="n">
        <v>9.9</v>
      </c>
      <c r="K104" s="110" t="n">
        <v>0</v>
      </c>
      <c r="L104" s="121" t="n">
        <v>1</v>
      </c>
      <c r="M104" s="111" t="n">
        <v>362.7569</v>
      </c>
    </row>
    <row r="105" customFormat="false" ht="13.5" hidden="false" customHeight="true" outlineLevel="0" collapsed="false">
      <c r="B105" s="112" t="s">
        <v>27</v>
      </c>
      <c r="C105" s="112" t="n">
        <v>2021</v>
      </c>
      <c r="D105" s="113" t="n">
        <v>15.59</v>
      </c>
      <c r="E105" s="114" t="n">
        <v>169.43</v>
      </c>
      <c r="F105" s="115" t="n">
        <v>6.3208</v>
      </c>
      <c r="G105" s="116" t="n">
        <v>8.7068</v>
      </c>
      <c r="H105" s="117" t="n">
        <v>65426</v>
      </c>
      <c r="I105" s="118" t="n">
        <v>11.0887</v>
      </c>
      <c r="J105" s="93" t="n">
        <v>8</v>
      </c>
      <c r="K105" s="119" t="n">
        <v>0</v>
      </c>
      <c r="L105" s="121" t="n">
        <v>1</v>
      </c>
      <c r="M105" s="120" t="n">
        <v>362.7569</v>
      </c>
    </row>
    <row r="106" customFormat="false" ht="13.5" hidden="false" customHeight="true" outlineLevel="0" collapsed="false">
      <c r="B106" s="104" t="s">
        <v>27</v>
      </c>
      <c r="C106" s="104" t="n">
        <v>2022</v>
      </c>
      <c r="D106" s="105" t="n">
        <v>18.48</v>
      </c>
      <c r="E106" s="106" t="n">
        <v>362.76</v>
      </c>
      <c r="F106" s="107" t="n">
        <v>6.5162</v>
      </c>
      <c r="G106" s="108" t="n">
        <v>9.4934</v>
      </c>
      <c r="H106" s="84" t="n">
        <v>69842</v>
      </c>
      <c r="I106" s="109" t="n">
        <v>11.154</v>
      </c>
      <c r="J106" s="92" t="n">
        <v>4.3</v>
      </c>
      <c r="K106" s="110" t="n">
        <v>0</v>
      </c>
      <c r="L106" s="110" t="n">
        <v>0</v>
      </c>
      <c r="M106" s="111" t="n">
        <v>362.7569</v>
      </c>
    </row>
    <row r="107" customFormat="false" ht="13.5" hidden="false" customHeight="true" outlineLevel="0" collapsed="false">
      <c r="B107" s="112" t="s">
        <v>27</v>
      </c>
      <c r="C107" s="112" t="n">
        <v>2023</v>
      </c>
      <c r="D107" s="113" t="n">
        <v>20.91</v>
      </c>
      <c r="E107" s="114" t="n">
        <v>1.01</v>
      </c>
      <c r="F107" s="115" t="n">
        <v>6.6399</v>
      </c>
      <c r="G107" s="116" t="n">
        <v>3.6109</v>
      </c>
      <c r="H107" s="117" t="n">
        <v>74620</v>
      </c>
      <c r="I107" s="118" t="n">
        <v>11.2202</v>
      </c>
      <c r="J107" s="96" t="n">
        <v>3.5</v>
      </c>
      <c r="K107" s="122" t="n">
        <v>1</v>
      </c>
      <c r="L107" s="119" t="n">
        <v>0</v>
      </c>
      <c r="M107" s="120" t="n">
        <v>362.7569</v>
      </c>
    </row>
    <row r="108" customFormat="false" ht="13.5" hidden="false" customHeight="true" outlineLevel="0" collapsed="false">
      <c r="B108" s="104" t="s">
        <v>28</v>
      </c>
      <c r="C108" s="104" t="n">
        <v>2016</v>
      </c>
      <c r="D108" s="105" t="n">
        <v>37</v>
      </c>
      <c r="E108" s="106" t="n">
        <v>0.62</v>
      </c>
      <c r="F108" s="107" t="n">
        <v>8.0265</v>
      </c>
      <c r="G108" s="108" t="n">
        <v>3.9318</v>
      </c>
      <c r="H108" s="84" t="n">
        <v>16694</v>
      </c>
      <c r="I108" s="109" t="n">
        <v>9.7228</v>
      </c>
      <c r="J108" s="92" t="n">
        <v>11.2</v>
      </c>
      <c r="K108" s="110" t="n">
        <v>0</v>
      </c>
      <c r="L108" s="110" t="n">
        <v>0</v>
      </c>
      <c r="M108" s="111" t="n">
        <v>75.4668</v>
      </c>
    </row>
    <row r="109" customFormat="false" ht="13.5" hidden="false" customHeight="true" outlineLevel="0" collapsed="false">
      <c r="B109" s="112" t="s">
        <v>28</v>
      </c>
      <c r="C109" s="112" t="n">
        <v>2017</v>
      </c>
      <c r="D109" s="113" t="n">
        <v>40.37</v>
      </c>
      <c r="E109" s="114" t="n">
        <v>0.81</v>
      </c>
      <c r="F109" s="115" t="n">
        <v>8.125</v>
      </c>
      <c r="G109" s="116" t="n">
        <v>4.2195</v>
      </c>
      <c r="H109" s="117" t="n">
        <v>18554</v>
      </c>
      <c r="I109" s="118" t="n">
        <v>9.8284</v>
      </c>
      <c r="J109" s="96" t="n">
        <v>11.8</v>
      </c>
      <c r="K109" s="119" t="n">
        <v>0</v>
      </c>
      <c r="L109" s="119" t="n">
        <v>0</v>
      </c>
      <c r="M109" s="120" t="n">
        <v>75.4668</v>
      </c>
    </row>
    <row r="110" customFormat="false" ht="13.5" hidden="false" customHeight="true" outlineLevel="0" collapsed="false">
      <c r="B110" s="104" t="s">
        <v>28</v>
      </c>
      <c r="C110" s="104" t="n">
        <v>2018</v>
      </c>
      <c r="D110" s="105" t="n">
        <v>40.65</v>
      </c>
      <c r="E110" s="106" t="n">
        <v>0.99</v>
      </c>
      <c r="F110" s="107" t="n">
        <v>8.1493</v>
      </c>
      <c r="G110" s="108" t="n">
        <v>4.4308</v>
      </c>
      <c r="H110" s="84" t="n">
        <v>18952</v>
      </c>
      <c r="I110" s="109" t="n">
        <v>9.8497</v>
      </c>
      <c r="J110" s="92" t="n">
        <v>11.2</v>
      </c>
      <c r="K110" s="110" t="n">
        <v>0</v>
      </c>
      <c r="L110" s="110" t="n">
        <v>0</v>
      </c>
      <c r="M110" s="111" t="n">
        <v>75.4668</v>
      </c>
    </row>
    <row r="111" customFormat="false" ht="13.5" hidden="false" customHeight="true" outlineLevel="0" collapsed="false">
      <c r="B111" s="112" t="s">
        <v>28</v>
      </c>
      <c r="C111" s="112" t="n">
        <v>2019</v>
      </c>
      <c r="D111" s="113" t="n">
        <v>27.39</v>
      </c>
      <c r="E111" s="114" t="n">
        <v>5.7</v>
      </c>
      <c r="F111" s="115" t="n">
        <v>7.7647</v>
      </c>
      <c r="G111" s="116" t="n">
        <v>6.1944</v>
      </c>
      <c r="H111" s="117" t="n">
        <v>20735</v>
      </c>
      <c r="I111" s="118" t="n">
        <v>9.9396</v>
      </c>
      <c r="J111" s="96" t="n">
        <v>10.8</v>
      </c>
      <c r="K111" s="119" t="n">
        <v>0</v>
      </c>
      <c r="L111" s="119" t="n">
        <v>0</v>
      </c>
      <c r="M111" s="120" t="n">
        <v>75.4668</v>
      </c>
    </row>
    <row r="112" customFormat="false" ht="13.5" hidden="false" customHeight="true" outlineLevel="0" collapsed="false">
      <c r="B112" s="104" t="s">
        <v>28</v>
      </c>
      <c r="C112" s="104" t="n">
        <v>2020</v>
      </c>
      <c r="D112" s="105" t="n">
        <v>21.85</v>
      </c>
      <c r="E112" s="106" t="n">
        <v>22.29</v>
      </c>
      <c r="F112" s="107" t="n">
        <v>7.5491</v>
      </c>
      <c r="G112" s="108" t="n">
        <v>7.5689</v>
      </c>
      <c r="H112" s="84" t="n">
        <v>24847</v>
      </c>
      <c r="I112" s="109" t="n">
        <v>10.1205</v>
      </c>
      <c r="J112" s="93" t="n">
        <v>10.5</v>
      </c>
      <c r="K112" s="110" t="n">
        <v>0</v>
      </c>
      <c r="L112" s="121" t="n">
        <v>1</v>
      </c>
      <c r="M112" s="111" t="n">
        <v>75.4668</v>
      </c>
    </row>
    <row r="113" customFormat="false" ht="13.5" hidden="false" customHeight="true" outlineLevel="0" collapsed="false">
      <c r="B113" s="112" t="s">
        <v>28</v>
      </c>
      <c r="C113" s="112" t="n">
        <v>2021</v>
      </c>
      <c r="D113" s="113" t="n">
        <v>22.32</v>
      </c>
      <c r="E113" s="114" t="n">
        <v>46.17</v>
      </c>
      <c r="F113" s="115" t="n">
        <v>7.5802</v>
      </c>
      <c r="G113" s="116" t="n">
        <v>8.307</v>
      </c>
      <c r="H113" s="117" t="n">
        <v>29953</v>
      </c>
      <c r="I113" s="118" t="n">
        <v>10.3074</v>
      </c>
      <c r="J113" s="93" t="n">
        <v>12.5</v>
      </c>
      <c r="K113" s="119" t="n">
        <v>0</v>
      </c>
      <c r="L113" s="121" t="n">
        <v>1</v>
      </c>
      <c r="M113" s="120" t="n">
        <v>75.4668</v>
      </c>
    </row>
    <row r="114" customFormat="false" ht="13.5" hidden="false" customHeight="true" outlineLevel="0" collapsed="false">
      <c r="B114" s="104" t="s">
        <v>28</v>
      </c>
      <c r="C114" s="104" t="n">
        <v>2022</v>
      </c>
      <c r="D114" s="105" t="n">
        <v>25.11</v>
      </c>
      <c r="E114" s="106" t="n">
        <v>75.47</v>
      </c>
      <c r="F114" s="107" t="n">
        <v>7.6202</v>
      </c>
      <c r="G114" s="108" t="n">
        <v>8.7206</v>
      </c>
      <c r="H114" s="84" t="n">
        <v>29081</v>
      </c>
      <c r="I114" s="109" t="n">
        <v>10.2778</v>
      </c>
      <c r="J114" s="92" t="n">
        <v>9.6</v>
      </c>
      <c r="K114" s="110" t="n">
        <v>0</v>
      </c>
      <c r="L114" s="110" t="n">
        <v>0</v>
      </c>
      <c r="M114" s="111" t="n">
        <v>75.4668</v>
      </c>
    </row>
    <row r="115" customFormat="false" ht="13.5" hidden="false" customHeight="true" outlineLevel="0" collapsed="false">
      <c r="B115" s="112" t="s">
        <v>28</v>
      </c>
      <c r="C115" s="112" t="n">
        <v>2023</v>
      </c>
      <c r="D115" s="113" t="n">
        <v>21.74</v>
      </c>
      <c r="E115" s="114" t="n">
        <v>0.22</v>
      </c>
      <c r="F115" s="115" t="n">
        <v>7.4759</v>
      </c>
      <c r="G115" s="116" t="n">
        <v>2.8904</v>
      </c>
      <c r="H115" s="117" t="n">
        <v>31348</v>
      </c>
      <c r="I115" s="118" t="n">
        <v>10.3529</v>
      </c>
      <c r="J115" s="96" t="n">
        <v>8.5</v>
      </c>
      <c r="K115" s="122" t="n">
        <v>1</v>
      </c>
      <c r="L115" s="119" t="n">
        <v>0</v>
      </c>
      <c r="M115" s="120" t="n">
        <v>75.4668</v>
      </c>
    </row>
    <row r="116" customFormat="false" ht="13.5" hidden="false" customHeight="true" outlineLevel="0" collapsed="false">
      <c r="B116" s="104" t="s">
        <v>29</v>
      </c>
      <c r="C116" s="104" t="n">
        <v>2016</v>
      </c>
      <c r="D116" s="105" t="n">
        <v>26.6</v>
      </c>
      <c r="E116" s="106" t="n">
        <v>1.5</v>
      </c>
      <c r="F116" s="107" t="n">
        <v>6.9698</v>
      </c>
      <c r="G116" s="108" t="n">
        <v>4.0943</v>
      </c>
      <c r="H116" s="84" t="n">
        <v>14778</v>
      </c>
      <c r="I116" s="109" t="n">
        <v>9.6009</v>
      </c>
      <c r="J116" s="92" t="n">
        <v>11.6</v>
      </c>
      <c r="K116" s="110" t="n">
        <v>0</v>
      </c>
      <c r="L116" s="110" t="n">
        <v>0</v>
      </c>
      <c r="M116" s="111" t="n">
        <v>93.391</v>
      </c>
    </row>
    <row r="117" customFormat="false" ht="13.5" hidden="false" customHeight="true" outlineLevel="0" collapsed="false">
      <c r="B117" s="112" t="s">
        <v>29</v>
      </c>
      <c r="C117" s="112" t="n">
        <v>2017</v>
      </c>
      <c r="D117" s="113" t="n">
        <v>25.79</v>
      </c>
      <c r="E117" s="114" t="n">
        <v>2.58</v>
      </c>
      <c r="F117" s="115" t="n">
        <v>6.9451</v>
      </c>
      <c r="G117" s="116" t="n">
        <v>4.6444</v>
      </c>
      <c r="H117" s="117" t="n">
        <v>15500</v>
      </c>
      <c r="I117" s="118" t="n">
        <v>9.6486</v>
      </c>
      <c r="J117" s="96" t="n">
        <v>11.5</v>
      </c>
      <c r="K117" s="119" t="n">
        <v>0</v>
      </c>
      <c r="L117" s="119" t="n">
        <v>0</v>
      </c>
      <c r="M117" s="120" t="n">
        <v>93.391</v>
      </c>
    </row>
    <row r="118" customFormat="false" ht="13.5" hidden="false" customHeight="true" outlineLevel="0" collapsed="false">
      <c r="B118" s="104" t="s">
        <v>29</v>
      </c>
      <c r="C118" s="104" t="n">
        <v>2018</v>
      </c>
      <c r="D118" s="105" t="n">
        <v>24.9</v>
      </c>
      <c r="E118" s="106" t="n">
        <v>15.99</v>
      </c>
      <c r="F118" s="107" t="n">
        <v>6.9027</v>
      </c>
      <c r="G118" s="108" t="n">
        <v>6.4599</v>
      </c>
      <c r="H118" s="84" t="n">
        <v>16108</v>
      </c>
      <c r="I118" s="109" t="n">
        <v>9.687</v>
      </c>
      <c r="J118" s="92" t="n">
        <v>11.3</v>
      </c>
      <c r="K118" s="110" t="n">
        <v>0</v>
      </c>
      <c r="L118" s="110" t="n">
        <v>0</v>
      </c>
      <c r="M118" s="111" t="n">
        <v>93.391</v>
      </c>
    </row>
    <row r="119" customFormat="false" ht="13.5" hidden="false" customHeight="true" outlineLevel="0" collapsed="false">
      <c r="B119" s="112" t="s">
        <v>29</v>
      </c>
      <c r="C119" s="112" t="n">
        <v>2019</v>
      </c>
      <c r="D119" s="113" t="n">
        <v>17.87</v>
      </c>
      <c r="E119" s="114" t="n">
        <v>29.34</v>
      </c>
      <c r="F119" s="115" t="n">
        <v>6.5765</v>
      </c>
      <c r="G119" s="116" t="n">
        <v>7.0724</v>
      </c>
      <c r="H119" s="117" t="n">
        <v>16920</v>
      </c>
      <c r="I119" s="118" t="n">
        <v>9.7362</v>
      </c>
      <c r="J119" s="96" t="n">
        <v>11.8</v>
      </c>
      <c r="K119" s="119" t="n">
        <v>0</v>
      </c>
      <c r="L119" s="119" t="n">
        <v>0</v>
      </c>
      <c r="M119" s="120" t="n">
        <v>93.391</v>
      </c>
    </row>
    <row r="120" customFormat="false" ht="13.5" hidden="false" customHeight="true" outlineLevel="0" collapsed="false">
      <c r="B120" s="104" t="s">
        <v>29</v>
      </c>
      <c r="C120" s="104" t="n">
        <v>2020</v>
      </c>
      <c r="D120" s="105" t="n">
        <v>22.85</v>
      </c>
      <c r="E120" s="106" t="n">
        <v>40.5</v>
      </c>
      <c r="F120" s="107" t="n">
        <v>6.8276</v>
      </c>
      <c r="G120" s="108" t="n">
        <v>7.4</v>
      </c>
      <c r="H120" s="84" t="n">
        <v>17402</v>
      </c>
      <c r="I120" s="109" t="n">
        <v>9.7643</v>
      </c>
      <c r="J120" s="93" t="n">
        <v>15</v>
      </c>
      <c r="K120" s="110" t="n">
        <v>0</v>
      </c>
      <c r="L120" s="121" t="n">
        <v>1</v>
      </c>
      <c r="M120" s="111" t="n">
        <v>93.391</v>
      </c>
    </row>
    <row r="121" customFormat="false" ht="13.5" hidden="false" customHeight="true" outlineLevel="0" collapsed="false">
      <c r="B121" s="112" t="s">
        <v>29</v>
      </c>
      <c r="C121" s="112" t="n">
        <v>2021</v>
      </c>
      <c r="D121" s="113" t="n">
        <v>23.15</v>
      </c>
      <c r="E121" s="114" t="n">
        <v>71.75</v>
      </c>
      <c r="F121" s="115" t="n">
        <v>6.8459</v>
      </c>
      <c r="G121" s="116" t="n">
        <v>7.9769</v>
      </c>
      <c r="H121" s="117" t="n">
        <v>19082</v>
      </c>
      <c r="I121" s="118" t="n">
        <v>9.8565</v>
      </c>
      <c r="J121" s="93" t="n">
        <v>14.8</v>
      </c>
      <c r="K121" s="119" t="n">
        <v>0</v>
      </c>
      <c r="L121" s="121" t="n">
        <v>1</v>
      </c>
      <c r="M121" s="120" t="n">
        <v>93.391</v>
      </c>
    </row>
    <row r="122" customFormat="false" ht="13.5" hidden="false" customHeight="true" outlineLevel="0" collapsed="false">
      <c r="B122" s="104" t="s">
        <v>29</v>
      </c>
      <c r="C122" s="104" t="n">
        <v>2022</v>
      </c>
      <c r="D122" s="105" t="n">
        <v>22.69</v>
      </c>
      <c r="E122" s="106" t="n">
        <v>93.39</v>
      </c>
      <c r="F122" s="107" t="n">
        <v>6.8046</v>
      </c>
      <c r="G122" s="108" t="n">
        <v>8.2193</v>
      </c>
      <c r="H122" s="84" t="n">
        <v>21661</v>
      </c>
      <c r="I122" s="109" t="n">
        <v>9.9833</v>
      </c>
      <c r="J122" s="92" t="n">
        <v>12</v>
      </c>
      <c r="K122" s="110" t="n">
        <v>0</v>
      </c>
      <c r="L122" s="110" t="n">
        <v>0</v>
      </c>
      <c r="M122" s="111" t="n">
        <v>93.391</v>
      </c>
    </row>
    <row r="123" customFormat="false" ht="13.5" hidden="false" customHeight="true" outlineLevel="0" collapsed="false">
      <c r="B123" s="112" t="s">
        <v>29</v>
      </c>
      <c r="C123" s="112" t="n">
        <v>2023</v>
      </c>
      <c r="D123" s="113" t="n">
        <v>22.54</v>
      </c>
      <c r="E123" s="114" t="n">
        <v>0.1</v>
      </c>
      <c r="F123" s="115" t="n">
        <v>6.7979</v>
      </c>
      <c r="G123" s="116" t="n">
        <v>1.3863</v>
      </c>
      <c r="H123" s="117" t="n">
        <v>24395</v>
      </c>
      <c r="I123" s="118" t="n">
        <v>10.1021</v>
      </c>
      <c r="J123" s="96" t="n">
        <v>10.1</v>
      </c>
      <c r="K123" s="122" t="n">
        <v>1</v>
      </c>
      <c r="L123" s="119" t="n">
        <v>0</v>
      </c>
      <c r="M123" s="120" t="n">
        <v>93.391</v>
      </c>
    </row>
    <row r="124" customFormat="false" ht="13.5" hidden="false" customHeight="true" outlineLevel="0" collapsed="false">
      <c r="B124" s="104" t="s">
        <v>30</v>
      </c>
      <c r="C124" s="104" t="n">
        <v>2016</v>
      </c>
      <c r="D124" s="105" t="n">
        <v>37.09</v>
      </c>
      <c r="E124" s="106" t="n">
        <v>1.33</v>
      </c>
      <c r="F124" s="107" t="n">
        <v>8.1577</v>
      </c>
      <c r="G124" s="108" t="n">
        <v>4.8283</v>
      </c>
      <c r="H124" s="84" t="n">
        <v>17783</v>
      </c>
      <c r="I124" s="109" t="n">
        <v>9.786</v>
      </c>
      <c r="J124" s="92" t="n">
        <v>14.8</v>
      </c>
      <c r="K124" s="110" t="n">
        <v>0</v>
      </c>
      <c r="L124" s="110" t="n">
        <v>0</v>
      </c>
      <c r="M124" s="111" t="n">
        <v>91.6996</v>
      </c>
    </row>
    <row r="125" customFormat="false" ht="13.5" hidden="false" customHeight="true" outlineLevel="0" collapsed="false">
      <c r="B125" s="112" t="s">
        <v>30</v>
      </c>
      <c r="C125" s="112" t="n">
        <v>2017</v>
      </c>
      <c r="D125" s="113" t="n">
        <v>47.45</v>
      </c>
      <c r="E125" s="114" t="n">
        <v>3.02</v>
      </c>
      <c r="F125" s="115" t="n">
        <v>8.4107</v>
      </c>
      <c r="G125" s="116" t="n">
        <v>5.656</v>
      </c>
      <c r="H125" s="117" t="n">
        <v>19171</v>
      </c>
      <c r="I125" s="118" t="n">
        <v>9.8611</v>
      </c>
      <c r="J125" s="96" t="n">
        <v>17.9</v>
      </c>
      <c r="K125" s="119" t="n">
        <v>0</v>
      </c>
      <c r="L125" s="119" t="n">
        <v>0</v>
      </c>
      <c r="M125" s="120" t="n">
        <v>91.6996</v>
      </c>
    </row>
    <row r="126" customFormat="false" ht="13.5" hidden="false" customHeight="true" outlineLevel="0" collapsed="false">
      <c r="B126" s="104" t="s">
        <v>30</v>
      </c>
      <c r="C126" s="104" t="n">
        <v>2018</v>
      </c>
      <c r="D126" s="105" t="n">
        <v>35.57</v>
      </c>
      <c r="E126" s="106" t="n">
        <v>4.04</v>
      </c>
      <c r="F126" s="107" t="n">
        <v>8.125</v>
      </c>
      <c r="G126" s="108" t="n">
        <v>5.9506</v>
      </c>
      <c r="H126" s="84" t="n">
        <v>19624</v>
      </c>
      <c r="I126" s="109" t="n">
        <v>9.8845</v>
      </c>
      <c r="J126" s="92" t="n">
        <v>16.9</v>
      </c>
      <c r="K126" s="110" t="n">
        <v>0</v>
      </c>
      <c r="L126" s="110" t="n">
        <v>0</v>
      </c>
      <c r="M126" s="111" t="n">
        <v>91.6996</v>
      </c>
    </row>
    <row r="127" customFormat="false" ht="13.5" hidden="false" customHeight="true" outlineLevel="0" collapsed="false">
      <c r="B127" s="112" t="s">
        <v>30</v>
      </c>
      <c r="C127" s="112" t="n">
        <v>2019</v>
      </c>
      <c r="D127" s="113" t="n">
        <v>28.24</v>
      </c>
      <c r="E127" s="114" t="n">
        <v>20.59</v>
      </c>
      <c r="F127" s="115" t="n">
        <v>7.9006</v>
      </c>
      <c r="G127" s="116" t="n">
        <v>7.5848</v>
      </c>
      <c r="H127" s="117" t="n">
        <v>20702</v>
      </c>
      <c r="I127" s="118" t="n">
        <v>9.938</v>
      </c>
      <c r="J127" s="96" t="n">
        <v>15.7</v>
      </c>
      <c r="K127" s="119" t="n">
        <v>0</v>
      </c>
      <c r="L127" s="119" t="n">
        <v>0</v>
      </c>
      <c r="M127" s="120" t="n">
        <v>91.6996</v>
      </c>
    </row>
    <row r="128" customFormat="false" ht="13.5" hidden="false" customHeight="true" outlineLevel="0" collapsed="false">
      <c r="B128" s="104" t="s">
        <v>30</v>
      </c>
      <c r="C128" s="104" t="n">
        <v>2020</v>
      </c>
      <c r="D128" s="105" t="n">
        <v>31.85</v>
      </c>
      <c r="E128" s="106" t="n">
        <v>39.15</v>
      </c>
      <c r="F128" s="107" t="n">
        <v>8.0272</v>
      </c>
      <c r="G128" s="108" t="n">
        <v>8.2335</v>
      </c>
      <c r="H128" s="84" t="n">
        <v>20101</v>
      </c>
      <c r="I128" s="109" t="n">
        <v>9.9085</v>
      </c>
      <c r="J128" s="93" t="n">
        <v>17.2</v>
      </c>
      <c r="K128" s="110" t="n">
        <v>0</v>
      </c>
      <c r="L128" s="121" t="n">
        <v>1</v>
      </c>
      <c r="M128" s="111" t="n">
        <v>91.6996</v>
      </c>
    </row>
    <row r="129" customFormat="false" ht="13.5" hidden="false" customHeight="true" outlineLevel="0" collapsed="false">
      <c r="B129" s="112" t="s">
        <v>30</v>
      </c>
      <c r="C129" s="112" t="n">
        <v>2021</v>
      </c>
      <c r="D129" s="113" t="n">
        <v>28.87</v>
      </c>
      <c r="E129" s="114" t="n">
        <v>65.48</v>
      </c>
      <c r="F129" s="115" t="n">
        <v>7.9349</v>
      </c>
      <c r="G129" s="116" t="n">
        <v>8.7538</v>
      </c>
      <c r="H129" s="117" t="n">
        <v>22824</v>
      </c>
      <c r="I129" s="118" t="n">
        <v>10.0355</v>
      </c>
      <c r="J129" s="93" t="n">
        <v>19.9</v>
      </c>
      <c r="K129" s="119" t="n">
        <v>0</v>
      </c>
      <c r="L129" s="121" t="n">
        <v>1</v>
      </c>
      <c r="M129" s="120" t="n">
        <v>91.6996</v>
      </c>
    </row>
    <row r="130" customFormat="false" ht="13.5" hidden="false" customHeight="true" outlineLevel="0" collapsed="false">
      <c r="B130" s="104" t="s">
        <v>30</v>
      </c>
      <c r="C130" s="104" t="n">
        <v>2022</v>
      </c>
      <c r="D130" s="105" t="n">
        <v>30.53</v>
      </c>
      <c r="E130" s="106" t="n">
        <v>91.7</v>
      </c>
      <c r="F130" s="107" t="n">
        <v>7.9252</v>
      </c>
      <c r="G130" s="108" t="n">
        <v>9.0249</v>
      </c>
      <c r="H130" s="84" t="n">
        <v>27137</v>
      </c>
      <c r="I130" s="109" t="n">
        <v>10.2086</v>
      </c>
      <c r="J130" s="92" t="n">
        <v>14.2</v>
      </c>
      <c r="K130" s="110" t="n">
        <v>0</v>
      </c>
      <c r="L130" s="110" t="n">
        <v>0</v>
      </c>
      <c r="M130" s="111" t="n">
        <v>91.6996</v>
      </c>
    </row>
    <row r="131" customFormat="false" ht="13.5" hidden="false" customHeight="true" outlineLevel="0" collapsed="false">
      <c r="B131" s="112" t="s">
        <v>30</v>
      </c>
      <c r="C131" s="112" t="n">
        <v>2023</v>
      </c>
      <c r="D131" s="113" t="n">
        <v>33.08</v>
      </c>
      <c r="E131" s="114" t="n">
        <v>0.11</v>
      </c>
      <c r="F131" s="115" t="n">
        <v>8.0054</v>
      </c>
      <c r="G131" s="116" t="n">
        <v>2.3026</v>
      </c>
      <c r="H131" s="117" t="n">
        <v>29857</v>
      </c>
      <c r="I131" s="118" t="n">
        <v>10.3042</v>
      </c>
      <c r="J131" s="96" t="n">
        <v>13.4</v>
      </c>
      <c r="K131" s="122" t="n">
        <v>1</v>
      </c>
      <c r="L131" s="119" t="n">
        <v>0</v>
      </c>
      <c r="M131" s="120" t="n">
        <v>91.6996</v>
      </c>
    </row>
    <row r="132" customFormat="false" ht="13.5" hidden="false" customHeight="true" outlineLevel="0" collapsed="false">
      <c r="B132" s="104" t="s">
        <v>31</v>
      </c>
      <c r="C132" s="104" t="n">
        <v>2016</v>
      </c>
      <c r="D132" s="105" t="n">
        <v>13.95</v>
      </c>
      <c r="E132" s="106" t="n">
        <v>1.15</v>
      </c>
      <c r="F132" s="107" t="n">
        <v>6.1048</v>
      </c>
      <c r="G132" s="108" t="n">
        <v>3.6109</v>
      </c>
      <c r="H132" s="84" t="n">
        <v>12894</v>
      </c>
      <c r="I132" s="109" t="n">
        <v>9.4645</v>
      </c>
      <c r="J132" s="92" t="n">
        <v>9.6</v>
      </c>
      <c r="K132" s="110" t="n">
        <v>0</v>
      </c>
      <c r="L132" s="110" t="n">
        <v>0</v>
      </c>
      <c r="M132" s="111" t="n">
        <v>43.5926</v>
      </c>
    </row>
    <row r="133" customFormat="false" ht="13.5" hidden="false" customHeight="true" outlineLevel="0" collapsed="false">
      <c r="B133" s="112" t="s">
        <v>31</v>
      </c>
      <c r="C133" s="112" t="n">
        <v>2017</v>
      </c>
      <c r="D133" s="113" t="n">
        <v>11.96</v>
      </c>
      <c r="E133" s="114" t="n">
        <v>3.48</v>
      </c>
      <c r="F133" s="115" t="n">
        <v>5.9532</v>
      </c>
      <c r="G133" s="116" t="n">
        <v>4.7185</v>
      </c>
      <c r="H133" s="117" t="n">
        <v>14092</v>
      </c>
      <c r="I133" s="118" t="n">
        <v>9.5534</v>
      </c>
      <c r="J133" s="96" t="n">
        <v>13</v>
      </c>
      <c r="K133" s="119" t="n">
        <v>0</v>
      </c>
      <c r="L133" s="119" t="n">
        <v>0</v>
      </c>
      <c r="M133" s="120" t="n">
        <v>43.5926</v>
      </c>
    </row>
    <row r="134" customFormat="false" ht="13.5" hidden="false" customHeight="true" outlineLevel="0" collapsed="false">
      <c r="B134" s="104" t="s">
        <v>31</v>
      </c>
      <c r="C134" s="104" t="n">
        <v>2018</v>
      </c>
      <c r="D134" s="105" t="n">
        <v>11.79</v>
      </c>
      <c r="E134" s="106" t="n">
        <v>3.95</v>
      </c>
      <c r="F134" s="107" t="n">
        <v>5.9532</v>
      </c>
      <c r="G134" s="108" t="n">
        <v>4.8598</v>
      </c>
      <c r="H134" s="84" t="n">
        <v>15432</v>
      </c>
      <c r="I134" s="109" t="n">
        <v>9.6442</v>
      </c>
      <c r="J134" s="92" t="n">
        <v>12.9</v>
      </c>
      <c r="K134" s="110" t="n">
        <v>0</v>
      </c>
      <c r="L134" s="110" t="n">
        <v>0</v>
      </c>
      <c r="M134" s="111" t="n">
        <v>43.5926</v>
      </c>
    </row>
    <row r="135" customFormat="false" ht="13.5" hidden="false" customHeight="true" outlineLevel="0" collapsed="false">
      <c r="B135" s="112" t="s">
        <v>31</v>
      </c>
      <c r="C135" s="112" t="n">
        <v>2019</v>
      </c>
      <c r="D135" s="113" t="n">
        <v>10.75</v>
      </c>
      <c r="E135" s="114" t="n">
        <v>8.8</v>
      </c>
      <c r="F135" s="115" t="n">
        <v>5.8636</v>
      </c>
      <c r="G135" s="116" t="n">
        <v>5.663</v>
      </c>
      <c r="H135" s="117" t="n">
        <v>16125</v>
      </c>
      <c r="I135" s="118" t="n">
        <v>9.6881</v>
      </c>
      <c r="J135" s="96" t="n">
        <v>13</v>
      </c>
      <c r="K135" s="119" t="n">
        <v>0</v>
      </c>
      <c r="L135" s="119" t="n">
        <v>0</v>
      </c>
      <c r="M135" s="120" t="n">
        <v>43.5926</v>
      </c>
    </row>
    <row r="136" customFormat="false" ht="13.5" hidden="false" customHeight="true" outlineLevel="0" collapsed="false">
      <c r="B136" s="104" t="s">
        <v>31</v>
      </c>
      <c r="C136" s="104" t="n">
        <v>2020</v>
      </c>
      <c r="D136" s="105" t="n">
        <v>13.9</v>
      </c>
      <c r="E136" s="106" t="n">
        <v>14.08</v>
      </c>
      <c r="F136" s="107" t="n">
        <v>6.1225</v>
      </c>
      <c r="G136" s="108" t="n">
        <v>6.1356</v>
      </c>
      <c r="H136" s="84" t="n">
        <v>17185</v>
      </c>
      <c r="I136" s="109" t="n">
        <v>9.7518</v>
      </c>
      <c r="J136" s="93" t="n">
        <v>13.3</v>
      </c>
      <c r="K136" s="110" t="n">
        <v>0</v>
      </c>
      <c r="L136" s="121" t="n">
        <v>1</v>
      </c>
      <c r="M136" s="111" t="n">
        <v>43.5926</v>
      </c>
    </row>
    <row r="137" customFormat="false" ht="13.5" hidden="false" customHeight="true" outlineLevel="0" collapsed="false">
      <c r="B137" s="112" t="s">
        <v>31</v>
      </c>
      <c r="C137" s="112" t="n">
        <v>2021</v>
      </c>
      <c r="D137" s="113" t="n">
        <v>17.21</v>
      </c>
      <c r="E137" s="114" t="n">
        <v>36.76</v>
      </c>
      <c r="F137" s="115" t="n">
        <v>6.3386</v>
      </c>
      <c r="G137" s="116" t="n">
        <v>7.0975</v>
      </c>
      <c r="H137" s="117" t="n">
        <v>19466</v>
      </c>
      <c r="I137" s="118" t="n">
        <v>9.8764</v>
      </c>
      <c r="J137" s="93" t="n">
        <v>13.6</v>
      </c>
      <c r="K137" s="119" t="n">
        <v>0</v>
      </c>
      <c r="L137" s="121" t="n">
        <v>1</v>
      </c>
      <c r="M137" s="120" t="n">
        <v>43.5926</v>
      </c>
    </row>
    <row r="138" customFormat="false" ht="13.5" hidden="false" customHeight="true" outlineLevel="0" collapsed="false">
      <c r="B138" s="104" t="s">
        <v>31</v>
      </c>
      <c r="C138" s="104" t="n">
        <v>2022</v>
      </c>
      <c r="D138" s="105" t="n">
        <v>18.56</v>
      </c>
      <c r="E138" s="106" t="n">
        <v>43.59</v>
      </c>
      <c r="F138" s="107" t="n">
        <v>6.4085</v>
      </c>
      <c r="G138" s="108" t="n">
        <v>7.2626</v>
      </c>
      <c r="H138" s="84" t="n">
        <v>22265</v>
      </c>
      <c r="I138" s="109" t="n">
        <v>10.0108</v>
      </c>
      <c r="J138" s="92" t="n">
        <v>10.2</v>
      </c>
      <c r="K138" s="110" t="n">
        <v>0</v>
      </c>
      <c r="L138" s="110" t="n">
        <v>0</v>
      </c>
      <c r="M138" s="111" t="n">
        <v>43.5926</v>
      </c>
    </row>
    <row r="139" customFormat="false" ht="13.5" hidden="false" customHeight="true" outlineLevel="0" collapsed="false">
      <c r="B139" s="112" t="s">
        <v>31</v>
      </c>
      <c r="C139" s="112" t="n">
        <v>2023</v>
      </c>
      <c r="D139" s="113" t="n">
        <v>15.99</v>
      </c>
      <c r="E139" s="114" t="n">
        <v>0</v>
      </c>
      <c r="F139" s="115" t="n">
        <v>6.2596</v>
      </c>
      <c r="G139" s="116"/>
      <c r="H139" s="117" t="n">
        <v>24736</v>
      </c>
      <c r="I139" s="118" t="n">
        <v>10.116</v>
      </c>
      <c r="J139" s="96" t="n">
        <v>10.3</v>
      </c>
      <c r="K139" s="122" t="n">
        <v>1</v>
      </c>
      <c r="L139" s="119" t="n">
        <v>0</v>
      </c>
      <c r="M139" s="120" t="n">
        <v>43.5926</v>
      </c>
    </row>
    <row r="140" customFormat="false" ht="13.5" hidden="false" customHeight="true" outlineLevel="0" collapsed="false">
      <c r="B140" s="104" t="s">
        <v>32</v>
      </c>
      <c r="C140" s="104" t="n">
        <v>2016</v>
      </c>
      <c r="D140" s="105" t="n">
        <v>18.95</v>
      </c>
      <c r="E140" s="106" t="n">
        <v>3.43</v>
      </c>
      <c r="F140" s="107" t="n">
        <v>7.6643</v>
      </c>
      <c r="G140" s="108" t="n">
        <v>5.9558</v>
      </c>
      <c r="H140" s="84" t="n">
        <v>35740</v>
      </c>
      <c r="I140" s="109" t="n">
        <v>10.484</v>
      </c>
      <c r="J140" s="92" t="n">
        <v>8.3</v>
      </c>
      <c r="K140" s="110" t="n">
        <v>0</v>
      </c>
      <c r="L140" s="110" t="n">
        <v>0</v>
      </c>
      <c r="M140" s="111" t="n">
        <v>339.4679</v>
      </c>
    </row>
    <row r="141" customFormat="false" ht="13.5" hidden="false" customHeight="true" outlineLevel="0" collapsed="false">
      <c r="B141" s="112" t="s">
        <v>32</v>
      </c>
      <c r="C141" s="112" t="n">
        <v>2017</v>
      </c>
      <c r="D141" s="113" t="n">
        <v>16.23</v>
      </c>
      <c r="E141" s="114" t="n">
        <v>4.58</v>
      </c>
      <c r="F141" s="115" t="n">
        <v>7.5159</v>
      </c>
      <c r="G141" s="116" t="n">
        <v>6.25</v>
      </c>
      <c r="H141" s="117" t="n">
        <v>37232</v>
      </c>
      <c r="I141" s="118" t="n">
        <v>10.5249</v>
      </c>
      <c r="J141" s="96" t="n">
        <v>9</v>
      </c>
      <c r="K141" s="119" t="n">
        <v>0</v>
      </c>
      <c r="L141" s="119" t="n">
        <v>0</v>
      </c>
      <c r="M141" s="120" t="n">
        <v>339.4679</v>
      </c>
    </row>
    <row r="142" customFormat="false" ht="13.5" hidden="false" customHeight="true" outlineLevel="0" collapsed="false">
      <c r="B142" s="104" t="s">
        <v>32</v>
      </c>
      <c r="C142" s="104" t="n">
        <v>2018</v>
      </c>
      <c r="D142" s="105" t="n">
        <v>13.45</v>
      </c>
      <c r="E142" s="106" t="n">
        <v>10.91</v>
      </c>
      <c r="F142" s="107" t="n">
        <v>7.3304</v>
      </c>
      <c r="G142" s="108" t="n">
        <v>7.1213</v>
      </c>
      <c r="H142" s="84" t="n">
        <v>38773</v>
      </c>
      <c r="I142" s="109" t="n">
        <v>10.5655</v>
      </c>
      <c r="J142" s="92" t="n">
        <v>8.8</v>
      </c>
      <c r="K142" s="110" t="n">
        <v>0</v>
      </c>
      <c r="L142" s="110" t="n">
        <v>0</v>
      </c>
      <c r="M142" s="111" t="n">
        <v>339.4679</v>
      </c>
    </row>
    <row r="143" customFormat="false" ht="13.5" hidden="false" customHeight="true" outlineLevel="0" collapsed="false">
      <c r="B143" s="112" t="s">
        <v>32</v>
      </c>
      <c r="C143" s="112" t="n">
        <v>2019</v>
      </c>
      <c r="D143" s="113" t="n">
        <v>10.34</v>
      </c>
      <c r="E143" s="114" t="n">
        <v>64.2</v>
      </c>
      <c r="F143" s="115" t="n">
        <v>7.075</v>
      </c>
      <c r="G143" s="116" t="n">
        <v>8.9012</v>
      </c>
      <c r="H143" s="117" t="n">
        <v>40789</v>
      </c>
      <c r="I143" s="118" t="n">
        <v>10.6162</v>
      </c>
      <c r="J143" s="96" t="n">
        <v>8.7</v>
      </c>
      <c r="K143" s="119" t="n">
        <v>0</v>
      </c>
      <c r="L143" s="119" t="n">
        <v>0</v>
      </c>
      <c r="M143" s="120" t="n">
        <v>339.4679</v>
      </c>
    </row>
    <row r="144" customFormat="false" ht="13.5" hidden="false" customHeight="true" outlineLevel="0" collapsed="false">
      <c r="B144" s="104" t="s">
        <v>32</v>
      </c>
      <c r="C144" s="104" t="n">
        <v>2020</v>
      </c>
      <c r="D144" s="105" t="n">
        <v>12.22</v>
      </c>
      <c r="E144" s="106" t="n">
        <v>150.15</v>
      </c>
      <c r="F144" s="107" t="n">
        <v>7.2492</v>
      </c>
      <c r="G144" s="108" t="n">
        <v>9.758</v>
      </c>
      <c r="H144" s="84" t="n">
        <v>42367</v>
      </c>
      <c r="I144" s="109" t="n">
        <v>10.6541</v>
      </c>
      <c r="J144" s="93" t="n">
        <v>9.6</v>
      </c>
      <c r="K144" s="110" t="n">
        <v>0</v>
      </c>
      <c r="L144" s="121" t="n">
        <v>1</v>
      </c>
      <c r="M144" s="111" t="n">
        <v>339.4679</v>
      </c>
    </row>
    <row r="145" customFormat="false" ht="13.5" hidden="false" customHeight="true" outlineLevel="0" collapsed="false">
      <c r="B145" s="112" t="s">
        <v>32</v>
      </c>
      <c r="C145" s="112" t="n">
        <v>2021</v>
      </c>
      <c r="D145" s="113" t="n">
        <v>11.87</v>
      </c>
      <c r="E145" s="114" t="n">
        <v>131.36</v>
      </c>
      <c r="F145" s="115" t="n">
        <v>7.2277</v>
      </c>
      <c r="G145" s="116" t="n">
        <v>9.6314</v>
      </c>
      <c r="H145" s="117" t="n">
        <v>47422</v>
      </c>
      <c r="I145" s="118" t="n">
        <v>10.7668</v>
      </c>
      <c r="J145" s="93" t="n">
        <v>8.4</v>
      </c>
      <c r="K145" s="119" t="n">
        <v>0</v>
      </c>
      <c r="L145" s="121" t="n">
        <v>1</v>
      </c>
      <c r="M145" s="120" t="n">
        <v>339.4679</v>
      </c>
    </row>
    <row r="146" customFormat="false" ht="13.5" hidden="false" customHeight="true" outlineLevel="0" collapsed="false">
      <c r="B146" s="104" t="s">
        <v>32</v>
      </c>
      <c r="C146" s="104" t="n">
        <v>2022</v>
      </c>
      <c r="D146" s="105" t="n">
        <v>13.12</v>
      </c>
      <c r="E146" s="106" t="n">
        <v>339.47</v>
      </c>
      <c r="F146" s="107" t="n">
        <v>7.3139</v>
      </c>
      <c r="G146" s="108" t="n">
        <v>10.5675</v>
      </c>
      <c r="H146" s="84" t="n">
        <v>53704</v>
      </c>
      <c r="I146" s="109" t="n">
        <v>10.8912</v>
      </c>
      <c r="J146" s="92" t="n">
        <v>5.8</v>
      </c>
      <c r="K146" s="110" t="n">
        <v>0</v>
      </c>
      <c r="L146" s="110" t="n">
        <v>0</v>
      </c>
      <c r="M146" s="111" t="n">
        <v>339.4679</v>
      </c>
    </row>
    <row r="147" customFormat="false" ht="13.5" hidden="false" customHeight="true" outlineLevel="0" collapsed="false">
      <c r="B147" s="112" t="s">
        <v>32</v>
      </c>
      <c r="C147" s="112" t="n">
        <v>2023</v>
      </c>
      <c r="D147" s="113" t="n">
        <v>10.94</v>
      </c>
      <c r="E147" s="114" t="n">
        <v>0.76</v>
      </c>
      <c r="F147" s="115" t="n">
        <v>7.1325</v>
      </c>
      <c r="G147" s="116" t="n">
        <v>4.4659</v>
      </c>
      <c r="H147" s="117" t="n">
        <v>58624</v>
      </c>
      <c r="I147" s="118" t="n">
        <v>10.9789</v>
      </c>
      <c r="J147" s="96" t="n">
        <v>4.9</v>
      </c>
      <c r="K147" s="122" t="n">
        <v>1</v>
      </c>
      <c r="L147" s="119" t="n">
        <v>0</v>
      </c>
      <c r="M147" s="120" t="n">
        <v>339.4679</v>
      </c>
    </row>
    <row r="148" customFormat="false" ht="13.5" hidden="false" customHeight="true" outlineLevel="0" collapsed="false">
      <c r="B148" s="104" t="s">
        <v>33</v>
      </c>
      <c r="C148" s="104" t="n">
        <v>2016</v>
      </c>
      <c r="D148" s="105" t="n">
        <v>24.26</v>
      </c>
      <c r="E148" s="106" t="n">
        <v>2.4</v>
      </c>
      <c r="F148" s="107" t="n">
        <v>8.303</v>
      </c>
      <c r="G148" s="108" t="n">
        <v>5.989</v>
      </c>
      <c r="H148" s="84" t="n">
        <v>38495</v>
      </c>
      <c r="I148" s="109" t="n">
        <v>10.5583</v>
      </c>
      <c r="J148" s="92" t="n">
        <v>11.9</v>
      </c>
      <c r="K148" s="110" t="n">
        <v>0</v>
      </c>
      <c r="L148" s="110" t="n">
        <v>0</v>
      </c>
      <c r="M148" s="111" t="n">
        <v>91.5966</v>
      </c>
    </row>
    <row r="149" customFormat="false" ht="13.5" hidden="false" customHeight="true" outlineLevel="0" collapsed="false">
      <c r="B149" s="112" t="s">
        <v>33</v>
      </c>
      <c r="C149" s="112" t="n">
        <v>2017</v>
      </c>
      <c r="D149" s="113" t="n">
        <v>26.43</v>
      </c>
      <c r="E149" s="114" t="n">
        <v>4.02</v>
      </c>
      <c r="F149" s="115" t="n">
        <v>8.3937</v>
      </c>
      <c r="G149" s="116" t="n">
        <v>6.5103</v>
      </c>
      <c r="H149" s="117" t="n">
        <v>40170</v>
      </c>
      <c r="I149" s="118" t="n">
        <v>10.6009</v>
      </c>
      <c r="J149" s="96" t="n">
        <v>15.1</v>
      </c>
      <c r="K149" s="119" t="n">
        <v>0</v>
      </c>
      <c r="L149" s="119" t="n">
        <v>0</v>
      </c>
      <c r="M149" s="120" t="n">
        <v>91.5966</v>
      </c>
    </row>
    <row r="150" customFormat="false" ht="13.5" hidden="false" customHeight="true" outlineLevel="0" collapsed="false">
      <c r="B150" s="104" t="s">
        <v>33</v>
      </c>
      <c r="C150" s="104" t="n">
        <v>2018</v>
      </c>
      <c r="D150" s="105" t="n">
        <v>24.87</v>
      </c>
      <c r="E150" s="106" t="n">
        <v>8.63</v>
      </c>
      <c r="F150" s="107" t="n">
        <v>8.3587</v>
      </c>
      <c r="G150" s="108" t="n">
        <v>7.3005</v>
      </c>
      <c r="H150" s="84" t="n">
        <v>44223</v>
      </c>
      <c r="I150" s="109" t="n">
        <v>10.697</v>
      </c>
      <c r="J150" s="92" t="n">
        <v>15.1</v>
      </c>
      <c r="K150" s="110" t="n">
        <v>0</v>
      </c>
      <c r="L150" s="110" t="n">
        <v>0</v>
      </c>
      <c r="M150" s="111" t="n">
        <v>91.5966</v>
      </c>
    </row>
    <row r="151" customFormat="false" ht="13.5" hidden="false" customHeight="true" outlineLevel="0" collapsed="false">
      <c r="B151" s="112" t="s">
        <v>33</v>
      </c>
      <c r="C151" s="112" t="n">
        <v>2019</v>
      </c>
      <c r="D151" s="113" t="n">
        <v>13.39</v>
      </c>
      <c r="E151" s="114" t="n">
        <v>8.7</v>
      </c>
      <c r="F151" s="115" t="n">
        <v>7.7454</v>
      </c>
      <c r="G151" s="116" t="n">
        <v>7.3146</v>
      </c>
      <c r="H151" s="117" t="n">
        <v>45174</v>
      </c>
      <c r="I151" s="118" t="n">
        <v>10.7183</v>
      </c>
      <c r="J151" s="96" t="n">
        <v>14.8</v>
      </c>
      <c r="K151" s="119" t="n">
        <v>0</v>
      </c>
      <c r="L151" s="119" t="n">
        <v>0</v>
      </c>
      <c r="M151" s="120" t="n">
        <v>91.5966</v>
      </c>
    </row>
    <row r="152" customFormat="false" ht="13.5" hidden="false" customHeight="true" outlineLevel="0" collapsed="false">
      <c r="B152" s="104" t="s">
        <v>33</v>
      </c>
      <c r="C152" s="104" t="n">
        <v>2020</v>
      </c>
      <c r="D152" s="105" t="n">
        <v>15.8</v>
      </c>
      <c r="E152" s="106" t="n">
        <v>18.55</v>
      </c>
      <c r="F152" s="107" t="n">
        <v>7.9172</v>
      </c>
      <c r="G152" s="108" t="n">
        <v>8.0774</v>
      </c>
      <c r="H152" s="84" t="n">
        <v>43408</v>
      </c>
      <c r="I152" s="109" t="n">
        <v>10.6784</v>
      </c>
      <c r="J152" s="93" t="n">
        <v>17.6</v>
      </c>
      <c r="K152" s="110" t="n">
        <v>0</v>
      </c>
      <c r="L152" s="121" t="n">
        <v>1</v>
      </c>
      <c r="M152" s="111" t="n">
        <v>91.5966</v>
      </c>
    </row>
    <row r="153" customFormat="false" ht="13.5" hidden="false" customHeight="true" outlineLevel="0" collapsed="false">
      <c r="B153" s="112" t="s">
        <v>33</v>
      </c>
      <c r="C153" s="112" t="n">
        <v>2021</v>
      </c>
      <c r="D153" s="113" t="n">
        <v>17.18</v>
      </c>
      <c r="E153" s="114" t="n">
        <v>45.56</v>
      </c>
      <c r="F153" s="115" t="n">
        <v>8.0064</v>
      </c>
      <c r="G153" s="116" t="n">
        <v>8.9818</v>
      </c>
      <c r="H153" s="117" t="n">
        <v>54360</v>
      </c>
      <c r="I153" s="118" t="n">
        <v>10.9034</v>
      </c>
      <c r="J153" s="93" t="n">
        <v>16.9</v>
      </c>
      <c r="K153" s="119" t="n">
        <v>0</v>
      </c>
      <c r="L153" s="121" t="n">
        <v>1</v>
      </c>
      <c r="M153" s="120" t="n">
        <v>91.5966</v>
      </c>
    </row>
    <row r="154" customFormat="false" ht="13.5" hidden="false" customHeight="true" outlineLevel="0" collapsed="false">
      <c r="B154" s="104" t="s">
        <v>33</v>
      </c>
      <c r="C154" s="104" t="n">
        <v>2022</v>
      </c>
      <c r="D154" s="105" t="n">
        <v>15.19</v>
      </c>
      <c r="E154" s="106" t="n">
        <v>91.6</v>
      </c>
      <c r="F154" s="107" t="n">
        <v>7.7989</v>
      </c>
      <c r="G154" s="108" t="n">
        <v>9.596</v>
      </c>
      <c r="H154" s="84" t="n">
        <v>71847</v>
      </c>
      <c r="I154" s="109" t="n">
        <v>11.1823</v>
      </c>
      <c r="J154" s="92" t="n">
        <v>12.8</v>
      </c>
      <c r="K154" s="110" t="n">
        <v>0</v>
      </c>
      <c r="L154" s="110" t="n">
        <v>0</v>
      </c>
      <c r="M154" s="111" t="n">
        <v>91.5966</v>
      </c>
    </row>
    <row r="155" customFormat="false" ht="13.5" hidden="false" customHeight="true" outlineLevel="0" collapsed="false">
      <c r="B155" s="112" t="s">
        <v>33</v>
      </c>
      <c r="C155" s="112" t="n">
        <v>2023</v>
      </c>
      <c r="D155" s="113" t="n">
        <v>16.09</v>
      </c>
      <c r="E155" s="114" t="n">
        <v>0.31</v>
      </c>
      <c r="F155" s="115" t="n">
        <v>7.8571</v>
      </c>
      <c r="G155" s="116" t="n">
        <v>3.8918</v>
      </c>
      <c r="H155" s="117" t="n">
        <v>73053</v>
      </c>
      <c r="I155" s="118" t="n">
        <v>11.1989</v>
      </c>
      <c r="J155" s="96" t="n">
        <v>11</v>
      </c>
      <c r="K155" s="122" t="n">
        <v>1</v>
      </c>
      <c r="L155" s="119" t="n">
        <v>0</v>
      </c>
      <c r="M155" s="120" t="n">
        <v>91.5966</v>
      </c>
    </row>
    <row r="156" customFormat="false" ht="13.5" hidden="false" customHeight="true" outlineLevel="0" collapsed="false">
      <c r="B156" s="104" t="s">
        <v>34</v>
      </c>
      <c r="C156" s="104" t="n">
        <v>2016</v>
      </c>
      <c r="D156" s="105" t="n">
        <v>45.12</v>
      </c>
      <c r="E156" s="106" t="n">
        <v>2.19</v>
      </c>
      <c r="F156" s="107" t="n">
        <v>7.3576</v>
      </c>
      <c r="G156" s="108" t="n">
        <v>4.3307</v>
      </c>
      <c r="H156" s="84" t="n">
        <v>17173</v>
      </c>
      <c r="I156" s="109" t="n">
        <v>9.7511</v>
      </c>
      <c r="J156" s="92" t="n">
        <v>14.3</v>
      </c>
      <c r="K156" s="110" t="n">
        <v>0</v>
      </c>
      <c r="L156" s="110" t="n">
        <v>0</v>
      </c>
      <c r="M156" s="111" t="n">
        <v>74.9986</v>
      </c>
    </row>
    <row r="157" customFormat="false" ht="13.5" hidden="false" customHeight="true" outlineLevel="0" collapsed="false">
      <c r="B157" s="112" t="s">
        <v>34</v>
      </c>
      <c r="C157" s="112" t="n">
        <v>2017</v>
      </c>
      <c r="D157" s="113" t="n">
        <v>54.86</v>
      </c>
      <c r="E157" s="114" t="n">
        <v>2.22</v>
      </c>
      <c r="F157" s="115" t="n">
        <v>7.5622</v>
      </c>
      <c r="G157" s="116" t="n">
        <v>4.3567</v>
      </c>
      <c r="H157" s="117" t="n">
        <v>18336</v>
      </c>
      <c r="I157" s="118" t="n">
        <v>9.8166</v>
      </c>
      <c r="J157" s="96" t="n">
        <v>14.7</v>
      </c>
      <c r="K157" s="119" t="n">
        <v>0</v>
      </c>
      <c r="L157" s="119" t="n">
        <v>0</v>
      </c>
      <c r="M157" s="120" t="n">
        <v>74.9986</v>
      </c>
    </row>
    <row r="158" customFormat="false" ht="13.5" hidden="false" customHeight="true" outlineLevel="0" collapsed="false">
      <c r="B158" s="104" t="s">
        <v>34</v>
      </c>
      <c r="C158" s="104" t="n">
        <v>2018</v>
      </c>
      <c r="D158" s="105" t="n">
        <v>47.17</v>
      </c>
      <c r="E158" s="106" t="n">
        <v>3.08</v>
      </c>
      <c r="F158" s="107" t="n">
        <v>7.4031</v>
      </c>
      <c r="G158" s="108" t="n">
        <v>4.6728</v>
      </c>
      <c r="H158" s="84" t="n">
        <v>19250</v>
      </c>
      <c r="I158" s="109" t="n">
        <v>9.8652</v>
      </c>
      <c r="J158" s="92" t="n">
        <v>13.7</v>
      </c>
      <c r="K158" s="110" t="n">
        <v>0</v>
      </c>
      <c r="L158" s="110" t="n">
        <v>0</v>
      </c>
      <c r="M158" s="111" t="n">
        <v>74.9986</v>
      </c>
    </row>
    <row r="159" customFormat="false" ht="13.5" hidden="false" customHeight="true" outlineLevel="0" collapsed="false">
      <c r="B159" s="112" t="s">
        <v>34</v>
      </c>
      <c r="C159" s="112" t="n">
        <v>2019</v>
      </c>
      <c r="D159" s="113" t="n">
        <v>33.56</v>
      </c>
      <c r="E159" s="114" t="n">
        <v>26.78</v>
      </c>
      <c r="F159" s="115" t="n">
        <v>7.0707</v>
      </c>
      <c r="G159" s="116" t="n">
        <v>6.8448</v>
      </c>
      <c r="H159" s="117" t="n">
        <v>20342</v>
      </c>
      <c r="I159" s="118" t="n">
        <v>9.9204</v>
      </c>
      <c r="J159" s="96" t="n">
        <v>13.3</v>
      </c>
      <c r="K159" s="119" t="n">
        <v>0</v>
      </c>
      <c r="L159" s="119" t="n">
        <v>0</v>
      </c>
      <c r="M159" s="120" t="n">
        <v>74.9986</v>
      </c>
    </row>
    <row r="160" customFormat="false" ht="13.5" hidden="false" customHeight="true" outlineLevel="0" collapsed="false">
      <c r="B160" s="104" t="s">
        <v>34</v>
      </c>
      <c r="C160" s="104" t="n">
        <v>2020</v>
      </c>
      <c r="D160" s="105" t="n">
        <v>34.8</v>
      </c>
      <c r="E160" s="106" t="n">
        <v>33.42</v>
      </c>
      <c r="F160" s="107" t="n">
        <v>7.1148</v>
      </c>
      <c r="G160" s="108" t="n">
        <v>7.0741</v>
      </c>
      <c r="H160" s="84" t="n">
        <v>20253</v>
      </c>
      <c r="I160" s="109" t="n">
        <v>9.9161</v>
      </c>
      <c r="J160" s="93" t="n">
        <v>16.1</v>
      </c>
      <c r="K160" s="110" t="n">
        <v>0</v>
      </c>
      <c r="L160" s="121" t="n">
        <v>1</v>
      </c>
      <c r="M160" s="111" t="n">
        <v>74.9986</v>
      </c>
    </row>
    <row r="161" customFormat="false" ht="13.5" hidden="false" customHeight="true" outlineLevel="0" collapsed="false">
      <c r="B161" s="112" t="s">
        <v>34</v>
      </c>
      <c r="C161" s="112" t="n">
        <v>2021</v>
      </c>
      <c r="D161" s="113" t="n">
        <v>28.48</v>
      </c>
      <c r="E161" s="114" t="n">
        <v>54.26</v>
      </c>
      <c r="F161" s="115" t="n">
        <v>6.9217</v>
      </c>
      <c r="G161" s="116" t="n">
        <v>7.5663</v>
      </c>
      <c r="H161" s="117" t="n">
        <v>22517</v>
      </c>
      <c r="I161" s="118" t="n">
        <v>10.022</v>
      </c>
      <c r="J161" s="93" t="n">
        <v>14.9</v>
      </c>
      <c r="K161" s="119" t="n">
        <v>0</v>
      </c>
      <c r="L161" s="121" t="n">
        <v>1</v>
      </c>
      <c r="M161" s="120" t="n">
        <v>74.9986</v>
      </c>
    </row>
    <row r="162" customFormat="false" ht="13.5" hidden="false" customHeight="true" outlineLevel="0" collapsed="false">
      <c r="B162" s="104" t="s">
        <v>34</v>
      </c>
      <c r="C162" s="104" t="n">
        <v>2022</v>
      </c>
      <c r="D162" s="105" t="n">
        <v>29.22</v>
      </c>
      <c r="E162" s="106" t="n">
        <v>75</v>
      </c>
      <c r="F162" s="107" t="n">
        <v>6.8721</v>
      </c>
      <c r="G162" s="108" t="n">
        <v>7.8148</v>
      </c>
      <c r="H162" s="84" t="n">
        <v>28407</v>
      </c>
      <c r="I162" s="109" t="n">
        <v>10.2544</v>
      </c>
      <c r="J162" s="92" t="n">
        <v>11.7</v>
      </c>
      <c r="K162" s="110" t="n">
        <v>0</v>
      </c>
      <c r="L162" s="110" t="n">
        <v>0</v>
      </c>
      <c r="M162" s="111" t="n">
        <v>74.9986</v>
      </c>
    </row>
    <row r="163" customFormat="false" ht="13.5" hidden="false" customHeight="true" outlineLevel="0" collapsed="false">
      <c r="B163" s="112" t="s">
        <v>34</v>
      </c>
      <c r="C163" s="112" t="n">
        <v>2023</v>
      </c>
      <c r="D163" s="113" t="n">
        <v>21.38</v>
      </c>
      <c r="E163" s="114" t="n">
        <v>0.09</v>
      </c>
      <c r="F163" s="115" t="n">
        <v>6.5596</v>
      </c>
      <c r="G163" s="116" t="n">
        <v>1.0986</v>
      </c>
      <c r="H163" s="117" t="n">
        <v>30805</v>
      </c>
      <c r="I163" s="118" t="n">
        <v>10.3354</v>
      </c>
      <c r="J163" s="96" t="n">
        <v>10.3</v>
      </c>
      <c r="K163" s="122" t="n">
        <v>1</v>
      </c>
      <c r="L163" s="119" t="n">
        <v>0</v>
      </c>
      <c r="M163" s="120" t="n">
        <v>74.9986</v>
      </c>
    </row>
    <row r="164" customFormat="false" ht="13.5" hidden="false" customHeight="true" outlineLevel="0" collapsed="false">
      <c r="B164" s="104" t="s">
        <v>35</v>
      </c>
      <c r="C164" s="104" t="n">
        <v>2016</v>
      </c>
      <c r="D164" s="105" t="n">
        <v>26.02</v>
      </c>
      <c r="E164" s="106" t="n">
        <v>4.7</v>
      </c>
      <c r="F164" s="107" t="n">
        <v>6.142</v>
      </c>
      <c r="G164" s="108" t="n">
        <v>4.4308</v>
      </c>
      <c r="H164" s="84" t="n">
        <v>22078</v>
      </c>
      <c r="I164" s="109" t="n">
        <v>10.0024</v>
      </c>
      <c r="J164" s="92" t="n">
        <v>8</v>
      </c>
      <c r="K164" s="110" t="n">
        <v>0</v>
      </c>
      <c r="L164" s="110" t="n">
        <v>0</v>
      </c>
      <c r="M164" s="111" t="n">
        <v>351.0001</v>
      </c>
    </row>
    <row r="165" customFormat="false" ht="13.5" hidden="false" customHeight="true" outlineLevel="0" collapsed="false">
      <c r="B165" s="112" t="s">
        <v>35</v>
      </c>
      <c r="C165" s="112" t="n">
        <v>2017</v>
      </c>
      <c r="D165" s="113" t="n">
        <v>20.82</v>
      </c>
      <c r="E165" s="114" t="n">
        <v>4.87</v>
      </c>
      <c r="F165" s="115" t="n">
        <v>5.9296</v>
      </c>
      <c r="G165" s="116" t="n">
        <v>4.4773</v>
      </c>
      <c r="H165" s="117" t="n">
        <v>24098</v>
      </c>
      <c r="I165" s="118" t="n">
        <v>10.0899</v>
      </c>
      <c r="J165" s="96" t="n">
        <v>8.2</v>
      </c>
      <c r="K165" s="119" t="n">
        <v>0</v>
      </c>
      <c r="L165" s="119" t="n">
        <v>0</v>
      </c>
      <c r="M165" s="120" t="n">
        <v>351.0001</v>
      </c>
    </row>
    <row r="166" customFormat="false" ht="13.5" hidden="false" customHeight="true" outlineLevel="0" collapsed="false">
      <c r="B166" s="104" t="s">
        <v>35</v>
      </c>
      <c r="C166" s="104" t="n">
        <v>2018</v>
      </c>
      <c r="D166" s="105" t="n">
        <v>17.18</v>
      </c>
      <c r="E166" s="106" t="n">
        <v>11.78</v>
      </c>
      <c r="F166" s="107" t="n">
        <v>5.7104</v>
      </c>
      <c r="G166" s="108" t="n">
        <v>5.3327</v>
      </c>
      <c r="H166" s="84" t="n">
        <v>25554</v>
      </c>
      <c r="I166" s="109" t="n">
        <v>10.1486</v>
      </c>
      <c r="J166" s="92" t="n">
        <v>9.2</v>
      </c>
      <c r="K166" s="110" t="n">
        <v>0</v>
      </c>
      <c r="L166" s="110" t="n">
        <v>0</v>
      </c>
      <c r="M166" s="111" t="n">
        <v>351.0001</v>
      </c>
    </row>
    <row r="167" customFormat="false" ht="13.5" hidden="false" customHeight="true" outlineLevel="0" collapsed="false">
      <c r="B167" s="112" t="s">
        <v>35</v>
      </c>
      <c r="C167" s="112" t="n">
        <v>2019</v>
      </c>
      <c r="D167" s="113" t="n">
        <v>14.52</v>
      </c>
      <c r="E167" s="114" t="n">
        <v>53.79</v>
      </c>
      <c r="F167" s="115" t="n">
        <v>5.553</v>
      </c>
      <c r="G167" s="116" t="n">
        <v>6.8628</v>
      </c>
      <c r="H167" s="117" t="n">
        <v>26497</v>
      </c>
      <c r="I167" s="118" t="n">
        <v>10.1848</v>
      </c>
      <c r="J167" s="96" t="n">
        <v>8.1</v>
      </c>
      <c r="K167" s="119" t="n">
        <v>0</v>
      </c>
      <c r="L167" s="119" t="n">
        <v>0</v>
      </c>
      <c r="M167" s="120" t="n">
        <v>351.0001</v>
      </c>
    </row>
    <row r="168" customFormat="false" ht="13.5" hidden="false" customHeight="true" outlineLevel="0" collapsed="false">
      <c r="B168" s="104" t="s">
        <v>35</v>
      </c>
      <c r="C168" s="104" t="n">
        <v>2020</v>
      </c>
      <c r="D168" s="105" t="n">
        <v>14.25</v>
      </c>
      <c r="E168" s="106" t="n">
        <v>105.71</v>
      </c>
      <c r="F168" s="107" t="n">
        <v>5.5452</v>
      </c>
      <c r="G168" s="108" t="n">
        <v>7.5491</v>
      </c>
      <c r="H168" s="84" t="n">
        <v>28722</v>
      </c>
      <c r="I168" s="109" t="n">
        <v>10.2654</v>
      </c>
      <c r="J168" s="93" t="n">
        <v>10.6</v>
      </c>
      <c r="K168" s="110" t="n">
        <v>0</v>
      </c>
      <c r="L168" s="121" t="n">
        <v>1</v>
      </c>
      <c r="M168" s="111" t="n">
        <v>351.0001</v>
      </c>
    </row>
    <row r="169" customFormat="false" ht="13.5" hidden="false" customHeight="true" outlineLevel="0" collapsed="false">
      <c r="B169" s="112" t="s">
        <v>35</v>
      </c>
      <c r="C169" s="112" t="n">
        <v>2021</v>
      </c>
      <c r="D169" s="113" t="n">
        <v>17.85</v>
      </c>
      <c r="E169" s="114" t="n">
        <v>195.18</v>
      </c>
      <c r="F169" s="115" t="n">
        <v>5.7807</v>
      </c>
      <c r="G169" s="116" t="n">
        <v>8.1727</v>
      </c>
      <c r="H169" s="117" t="n">
        <v>32045</v>
      </c>
      <c r="I169" s="118" t="n">
        <v>10.3749</v>
      </c>
      <c r="J169" s="93" t="n">
        <v>8.9</v>
      </c>
      <c r="K169" s="119" t="n">
        <v>0</v>
      </c>
      <c r="L169" s="121" t="n">
        <v>1</v>
      </c>
      <c r="M169" s="120" t="n">
        <v>351.0001</v>
      </c>
    </row>
    <row r="170" customFormat="false" ht="13.5" hidden="false" customHeight="true" outlineLevel="0" collapsed="false">
      <c r="B170" s="104" t="s">
        <v>35</v>
      </c>
      <c r="C170" s="104" t="n">
        <v>2022</v>
      </c>
      <c r="D170" s="105" t="n">
        <v>23.91</v>
      </c>
      <c r="E170" s="106" t="n">
        <v>351</v>
      </c>
      <c r="F170" s="107" t="n">
        <v>5.9349</v>
      </c>
      <c r="G170" s="108" t="n">
        <v>8.6216</v>
      </c>
      <c r="H170" s="84" t="n">
        <v>42244</v>
      </c>
      <c r="I170" s="109" t="n">
        <v>10.6512</v>
      </c>
      <c r="J170" s="92" t="n">
        <v>4.9</v>
      </c>
      <c r="K170" s="110" t="n">
        <v>0</v>
      </c>
      <c r="L170" s="110" t="n">
        <v>0</v>
      </c>
      <c r="M170" s="111" t="n">
        <v>351.0001</v>
      </c>
    </row>
    <row r="171" customFormat="false" ht="13.5" hidden="false" customHeight="true" outlineLevel="0" collapsed="false">
      <c r="B171" s="112" t="s">
        <v>35</v>
      </c>
      <c r="C171" s="112" t="n">
        <v>2023</v>
      </c>
      <c r="D171" s="113" t="n">
        <v>20.68</v>
      </c>
      <c r="E171" s="114" t="n">
        <v>0.51</v>
      </c>
      <c r="F171" s="115" t="n">
        <v>5.79</v>
      </c>
      <c r="G171" s="116" t="n">
        <v>2.0794</v>
      </c>
      <c r="H171" s="117" t="n">
        <v>48353</v>
      </c>
      <c r="I171" s="118" t="n">
        <v>10.7863</v>
      </c>
      <c r="J171" s="96" t="n">
        <v>2.9</v>
      </c>
      <c r="K171" s="122" t="n">
        <v>1</v>
      </c>
      <c r="L171" s="119" t="n">
        <v>0</v>
      </c>
      <c r="M171" s="120" t="n">
        <v>351.0001</v>
      </c>
    </row>
    <row r="172" customFormat="false" ht="13.5" hidden="false" customHeight="true" outlineLevel="0" collapsed="false">
      <c r="B172" s="104" t="s">
        <v>36</v>
      </c>
      <c r="C172" s="104" t="n">
        <v>2016</v>
      </c>
      <c r="D172" s="105" t="n">
        <v>13.61</v>
      </c>
      <c r="E172" s="106" t="n">
        <v>0</v>
      </c>
      <c r="F172" s="107" t="n">
        <v>4.2485</v>
      </c>
      <c r="G172" s="108"/>
      <c r="H172" s="84" t="n">
        <v>21417</v>
      </c>
      <c r="I172" s="109" t="n">
        <v>9.9719</v>
      </c>
      <c r="J172" s="92" t="n">
        <v>8.9</v>
      </c>
      <c r="K172" s="110" t="n">
        <v>0</v>
      </c>
      <c r="L172" s="110" t="n">
        <v>0</v>
      </c>
      <c r="M172" s="111" t="n">
        <v>80.8849</v>
      </c>
    </row>
    <row r="173" customFormat="false" ht="13.5" hidden="false" customHeight="true" outlineLevel="0" collapsed="false">
      <c r="B173" s="112" t="s">
        <v>36</v>
      </c>
      <c r="C173" s="112" t="n">
        <v>2017</v>
      </c>
      <c r="D173" s="113" t="n">
        <v>18.37</v>
      </c>
      <c r="E173" s="114" t="n">
        <v>1.34</v>
      </c>
      <c r="F173" s="115" t="n">
        <v>4.5643</v>
      </c>
      <c r="G173" s="116" t="n">
        <v>1.9459</v>
      </c>
      <c r="H173" s="117" t="n">
        <v>23161</v>
      </c>
      <c r="I173" s="118" t="n">
        <v>10.0502</v>
      </c>
      <c r="J173" s="96" t="n">
        <v>10</v>
      </c>
      <c r="K173" s="119" t="n">
        <v>0</v>
      </c>
      <c r="L173" s="119" t="n">
        <v>0</v>
      </c>
      <c r="M173" s="120" t="n">
        <v>80.8849</v>
      </c>
    </row>
    <row r="174" customFormat="false" ht="13.5" hidden="false" customHeight="true" outlineLevel="0" collapsed="false">
      <c r="B174" s="104" t="s">
        <v>36</v>
      </c>
      <c r="C174" s="104" t="n">
        <v>2018</v>
      </c>
      <c r="D174" s="105" t="n">
        <v>31.57</v>
      </c>
      <c r="E174" s="106" t="n">
        <v>2.78</v>
      </c>
      <c r="F174" s="107" t="n">
        <v>5.204</v>
      </c>
      <c r="G174" s="108" t="n">
        <v>2.7726</v>
      </c>
      <c r="H174" s="84" t="n">
        <v>23189</v>
      </c>
      <c r="I174" s="109" t="n">
        <v>10.0514</v>
      </c>
      <c r="J174" s="92" t="n">
        <v>12.4</v>
      </c>
      <c r="K174" s="110" t="n">
        <v>0</v>
      </c>
      <c r="L174" s="110" t="n">
        <v>0</v>
      </c>
      <c r="M174" s="111" t="n">
        <v>80.8849</v>
      </c>
    </row>
    <row r="175" customFormat="false" ht="13.5" hidden="false" customHeight="true" outlineLevel="0" collapsed="false">
      <c r="B175" s="112" t="s">
        <v>36</v>
      </c>
      <c r="C175" s="112" t="n">
        <v>2019</v>
      </c>
      <c r="D175" s="113" t="n">
        <v>13.7</v>
      </c>
      <c r="E175" s="114" t="n">
        <v>10.4</v>
      </c>
      <c r="F175" s="115" t="n">
        <v>4.4188</v>
      </c>
      <c r="G175" s="116" t="n">
        <v>4.1431</v>
      </c>
      <c r="H175" s="117" t="n">
        <v>23594</v>
      </c>
      <c r="I175" s="118" t="n">
        <v>10.0687</v>
      </c>
      <c r="J175" s="96" t="n">
        <v>15.1</v>
      </c>
      <c r="K175" s="119" t="n">
        <v>0</v>
      </c>
      <c r="L175" s="119" t="n">
        <v>0</v>
      </c>
      <c r="M175" s="120" t="n">
        <v>80.8849</v>
      </c>
    </row>
    <row r="176" customFormat="false" ht="13.5" hidden="false" customHeight="true" outlineLevel="0" collapsed="false">
      <c r="B176" s="104" t="s">
        <v>36</v>
      </c>
      <c r="C176" s="104" t="n">
        <v>2020</v>
      </c>
      <c r="D176" s="105" t="n">
        <v>16</v>
      </c>
      <c r="E176" s="106" t="n">
        <v>16.48</v>
      </c>
      <c r="F176" s="107" t="n">
        <v>4.6151</v>
      </c>
      <c r="G176" s="108" t="n">
        <v>4.6444</v>
      </c>
      <c r="H176" s="84" t="n">
        <v>25388</v>
      </c>
      <c r="I176" s="109" t="n">
        <v>10.142</v>
      </c>
      <c r="J176" s="93" t="n">
        <v>16.8</v>
      </c>
      <c r="K176" s="110" t="n">
        <v>0</v>
      </c>
      <c r="L176" s="121" t="n">
        <v>1</v>
      </c>
      <c r="M176" s="111" t="n">
        <v>80.8849</v>
      </c>
    </row>
    <row r="177" customFormat="false" ht="13.5" hidden="false" customHeight="true" outlineLevel="0" collapsed="false">
      <c r="B177" s="112" t="s">
        <v>36</v>
      </c>
      <c r="C177" s="112" t="n">
        <v>2021</v>
      </c>
      <c r="D177" s="113" t="n">
        <v>16.09</v>
      </c>
      <c r="E177" s="114" t="n">
        <v>36.92</v>
      </c>
      <c r="F177" s="115" t="n">
        <v>4.654</v>
      </c>
      <c r="G177" s="116" t="n">
        <v>5.4848</v>
      </c>
      <c r="H177" s="117" t="n">
        <v>27888</v>
      </c>
      <c r="I177" s="118" t="n">
        <v>10.2359</v>
      </c>
      <c r="J177" s="93" t="n">
        <v>12.1</v>
      </c>
      <c r="K177" s="119" t="n">
        <v>0</v>
      </c>
      <c r="L177" s="121" t="n">
        <v>1</v>
      </c>
      <c r="M177" s="120" t="n">
        <v>80.8849</v>
      </c>
    </row>
    <row r="178" customFormat="false" ht="13.5" hidden="false" customHeight="true" outlineLevel="0" collapsed="false">
      <c r="B178" s="104" t="s">
        <v>36</v>
      </c>
      <c r="C178" s="104" t="n">
        <v>2022</v>
      </c>
      <c r="D178" s="105" t="n">
        <v>16.18</v>
      </c>
      <c r="E178" s="106" t="n">
        <v>80.88</v>
      </c>
      <c r="F178" s="107" t="n">
        <v>4.6347</v>
      </c>
      <c r="G178" s="108" t="n">
        <v>6.2442</v>
      </c>
      <c r="H178" s="84" t="n">
        <v>33132</v>
      </c>
      <c r="I178" s="109" t="n">
        <v>10.4083</v>
      </c>
      <c r="J178" s="92" t="n">
        <v>6.1</v>
      </c>
      <c r="K178" s="110" t="n">
        <v>0</v>
      </c>
      <c r="L178" s="110" t="n">
        <v>0</v>
      </c>
      <c r="M178" s="111" t="n">
        <v>80.8849</v>
      </c>
    </row>
    <row r="179" customFormat="false" ht="13.5" hidden="false" customHeight="true" outlineLevel="0" collapsed="false">
      <c r="B179" s="112" t="s">
        <v>36</v>
      </c>
      <c r="C179" s="112" t="n">
        <v>2023</v>
      </c>
      <c r="D179" s="113" t="n">
        <v>16.49</v>
      </c>
      <c r="E179" s="114" t="n">
        <v>0.94</v>
      </c>
      <c r="F179" s="115" t="n">
        <v>4.654</v>
      </c>
      <c r="G179" s="116" t="n">
        <v>1.7918</v>
      </c>
      <c r="H179" s="117" t="n">
        <v>39461</v>
      </c>
      <c r="I179" s="118" t="n">
        <v>10.5831</v>
      </c>
      <c r="J179" s="96" t="n">
        <v>6.7</v>
      </c>
      <c r="K179" s="122" t="n">
        <v>1</v>
      </c>
      <c r="L179" s="119" t="n">
        <v>0</v>
      </c>
      <c r="M179" s="120" t="n">
        <v>80.8849</v>
      </c>
    </row>
    <row r="180" customFormat="false" ht="13.5" hidden="false" customHeight="true" outlineLevel="0" collapsed="false">
      <c r="B180" s="104" t="s">
        <v>37</v>
      </c>
      <c r="C180" s="104" t="n">
        <v>2016</v>
      </c>
      <c r="D180" s="105" t="n">
        <v>22.2</v>
      </c>
      <c r="E180" s="106" t="n">
        <v>7.65</v>
      </c>
      <c r="F180" s="107" t="n">
        <v>7.8264</v>
      </c>
      <c r="G180" s="108" t="n">
        <v>6.7604</v>
      </c>
      <c r="H180" s="84" t="n">
        <v>36219</v>
      </c>
      <c r="I180" s="109" t="n">
        <v>10.4973</v>
      </c>
      <c r="J180" s="92" t="n">
        <v>8.3</v>
      </c>
      <c r="K180" s="110" t="n">
        <v>0</v>
      </c>
      <c r="L180" s="110" t="n">
        <v>0</v>
      </c>
      <c r="M180" s="111" t="n">
        <v>273.3079</v>
      </c>
    </row>
    <row r="181" customFormat="false" ht="13.5" hidden="false" customHeight="true" outlineLevel="0" collapsed="false">
      <c r="B181" s="112" t="s">
        <v>37</v>
      </c>
      <c r="C181" s="112" t="n">
        <v>2017</v>
      </c>
      <c r="D181" s="113" t="n">
        <v>22.8</v>
      </c>
      <c r="E181" s="114" t="n">
        <v>12.89</v>
      </c>
      <c r="F181" s="115" t="n">
        <v>7.8563</v>
      </c>
      <c r="G181" s="116" t="n">
        <v>7.2862</v>
      </c>
      <c r="H181" s="117" t="n">
        <v>37382</v>
      </c>
      <c r="I181" s="118" t="n">
        <v>10.5289</v>
      </c>
      <c r="J181" s="96" t="n">
        <v>8.5</v>
      </c>
      <c r="K181" s="119" t="n">
        <v>0</v>
      </c>
      <c r="L181" s="119" t="n">
        <v>0</v>
      </c>
      <c r="M181" s="120" t="n">
        <v>273.3079</v>
      </c>
    </row>
    <row r="182" customFormat="false" ht="13.5" hidden="false" customHeight="true" outlineLevel="0" collapsed="false">
      <c r="B182" s="104" t="s">
        <v>37</v>
      </c>
      <c r="C182" s="104" t="n">
        <v>2018</v>
      </c>
      <c r="D182" s="105" t="n">
        <v>18.26</v>
      </c>
      <c r="E182" s="106" t="n">
        <v>18.17</v>
      </c>
      <c r="F182" s="107" t="n">
        <v>7.6348</v>
      </c>
      <c r="G182" s="108" t="n">
        <v>7.63</v>
      </c>
      <c r="H182" s="84" t="n">
        <v>40363</v>
      </c>
      <c r="I182" s="109" t="n">
        <v>10.6057</v>
      </c>
      <c r="J182" s="92" t="n">
        <v>8.2</v>
      </c>
      <c r="K182" s="110" t="n">
        <v>0</v>
      </c>
      <c r="L182" s="110" t="n">
        <v>0</v>
      </c>
      <c r="M182" s="111" t="n">
        <v>273.3079</v>
      </c>
    </row>
    <row r="183" customFormat="false" ht="13.5" hidden="false" customHeight="true" outlineLevel="0" collapsed="false">
      <c r="B183" s="112" t="s">
        <v>37</v>
      </c>
      <c r="C183" s="112" t="n">
        <v>2019</v>
      </c>
      <c r="D183" s="113" t="n">
        <v>14.05</v>
      </c>
      <c r="E183" s="114" t="n">
        <v>96.31</v>
      </c>
      <c r="F183" s="115" t="n">
        <v>7.3771</v>
      </c>
      <c r="G183" s="116" t="n">
        <v>9.3017</v>
      </c>
      <c r="H183" s="117" t="n">
        <v>42406</v>
      </c>
      <c r="I183" s="118" t="n">
        <v>10.655</v>
      </c>
      <c r="J183" s="96" t="n">
        <v>8.2</v>
      </c>
      <c r="K183" s="119" t="n">
        <v>0</v>
      </c>
      <c r="L183" s="119" t="n">
        <v>0</v>
      </c>
      <c r="M183" s="120" t="n">
        <v>273.3079</v>
      </c>
    </row>
    <row r="184" customFormat="false" ht="13.5" hidden="false" customHeight="true" outlineLevel="0" collapsed="false">
      <c r="B184" s="104" t="s">
        <v>37</v>
      </c>
      <c r="C184" s="104" t="n">
        <v>2020</v>
      </c>
      <c r="D184" s="105" t="n">
        <v>13.46</v>
      </c>
      <c r="E184" s="106" t="n">
        <v>138.97</v>
      </c>
      <c r="F184" s="107" t="n">
        <v>7.3376</v>
      </c>
      <c r="G184" s="108" t="n">
        <v>9.6725</v>
      </c>
      <c r="H184" s="84" t="n">
        <v>41228</v>
      </c>
      <c r="I184" s="109" t="n">
        <v>10.6269</v>
      </c>
      <c r="J184" s="93" t="n">
        <v>9.3</v>
      </c>
      <c r="K184" s="110" t="n">
        <v>0</v>
      </c>
      <c r="L184" s="121" t="n">
        <v>1</v>
      </c>
      <c r="M184" s="111" t="n">
        <v>273.3079</v>
      </c>
    </row>
    <row r="185" customFormat="false" ht="13.5" hidden="false" customHeight="true" outlineLevel="0" collapsed="false">
      <c r="B185" s="112" t="s">
        <v>37</v>
      </c>
      <c r="C185" s="112" t="n">
        <v>2021</v>
      </c>
      <c r="D185" s="113" t="n">
        <v>12.02</v>
      </c>
      <c r="E185" s="114" t="n">
        <v>215.13</v>
      </c>
      <c r="F185" s="115" t="n">
        <v>7.2284</v>
      </c>
      <c r="G185" s="116" t="n">
        <v>10.1133</v>
      </c>
      <c r="H185" s="117" t="n">
        <v>50694</v>
      </c>
      <c r="I185" s="118" t="n">
        <v>10.8336</v>
      </c>
      <c r="J185" s="93" t="n">
        <v>8.7</v>
      </c>
      <c r="K185" s="119" t="n">
        <v>0</v>
      </c>
      <c r="L185" s="121" t="n">
        <v>1</v>
      </c>
      <c r="M185" s="120" t="n">
        <v>273.3079</v>
      </c>
    </row>
    <row r="186" customFormat="false" ht="13.5" hidden="false" customHeight="true" outlineLevel="0" collapsed="false">
      <c r="B186" s="104" t="s">
        <v>37</v>
      </c>
      <c r="C186" s="104" t="n">
        <v>2022</v>
      </c>
      <c r="D186" s="105" t="n">
        <v>13.58</v>
      </c>
      <c r="E186" s="106" t="n">
        <v>273.31</v>
      </c>
      <c r="F186" s="107" t="n">
        <v>7.2984</v>
      </c>
      <c r="G186" s="108" t="n">
        <v>10.3004</v>
      </c>
      <c r="H186" s="84" t="n">
        <v>54547</v>
      </c>
      <c r="I186" s="109" t="n">
        <v>10.9068</v>
      </c>
      <c r="J186" s="92" t="n">
        <v>6.1</v>
      </c>
      <c r="K186" s="110" t="n">
        <v>0</v>
      </c>
      <c r="L186" s="110" t="n">
        <v>0</v>
      </c>
      <c r="M186" s="111" t="n">
        <v>273.3079</v>
      </c>
    </row>
    <row r="187" customFormat="false" ht="13.5" hidden="false" customHeight="true" outlineLevel="0" collapsed="false">
      <c r="B187" s="112" t="s">
        <v>37</v>
      </c>
      <c r="C187" s="112" t="n">
        <v>2023</v>
      </c>
      <c r="D187" s="113" t="n">
        <v>12.93</v>
      </c>
      <c r="E187" s="114" t="n">
        <v>1.38</v>
      </c>
      <c r="F187" s="115" t="n">
        <v>7.2492</v>
      </c>
      <c r="G187" s="116" t="n">
        <v>5.0106</v>
      </c>
      <c r="H187" s="117" t="n">
        <v>59736</v>
      </c>
      <c r="I187" s="118" t="n">
        <v>10.9977</v>
      </c>
      <c r="J187" s="96" t="n">
        <v>5.3</v>
      </c>
      <c r="K187" s="122" t="n">
        <v>1</v>
      </c>
      <c r="L187" s="119" t="n">
        <v>0</v>
      </c>
      <c r="M187" s="120" t="n">
        <v>273.3079</v>
      </c>
    </row>
    <row r="188" customFormat="false" ht="13.5" hidden="false" customHeight="true" outlineLevel="0" collapsed="false">
      <c r="B188" s="104" t="s">
        <v>38</v>
      </c>
      <c r="C188" s="104" t="n">
        <v>2016</v>
      </c>
      <c r="D188" s="105" t="n">
        <v>8.8</v>
      </c>
      <c r="E188" s="106" t="n">
        <v>6.29</v>
      </c>
      <c r="F188" s="107" t="n">
        <v>6.4102</v>
      </c>
      <c r="G188" s="108" t="n">
        <v>6.0753</v>
      </c>
      <c r="H188" s="84" t="n">
        <v>37154</v>
      </c>
      <c r="I188" s="109" t="n">
        <v>10.5228</v>
      </c>
      <c r="J188" s="92" t="n">
        <v>6.4</v>
      </c>
      <c r="K188" s="110" t="n">
        <v>0</v>
      </c>
      <c r="L188" s="110" t="n">
        <v>0</v>
      </c>
      <c r="M188" s="111" t="n">
        <v>371.165</v>
      </c>
    </row>
    <row r="189" customFormat="false" ht="13.5" hidden="false" customHeight="true" outlineLevel="0" collapsed="false">
      <c r="B189" s="112" t="s">
        <v>38</v>
      </c>
      <c r="C189" s="112" t="n">
        <v>2017</v>
      </c>
      <c r="D189" s="113" t="n">
        <v>9.56</v>
      </c>
      <c r="E189" s="114" t="n">
        <v>7.14</v>
      </c>
      <c r="F189" s="115" t="n">
        <v>6.5058</v>
      </c>
      <c r="G189" s="116" t="n">
        <v>6.2146</v>
      </c>
      <c r="H189" s="117" t="n">
        <v>39603</v>
      </c>
      <c r="I189" s="118" t="n">
        <v>10.5867</v>
      </c>
      <c r="J189" s="96" t="n">
        <v>7.2</v>
      </c>
      <c r="K189" s="119" t="n">
        <v>0</v>
      </c>
      <c r="L189" s="119" t="n">
        <v>0</v>
      </c>
      <c r="M189" s="120" t="n">
        <v>371.165</v>
      </c>
    </row>
    <row r="190" customFormat="false" ht="13.5" hidden="false" customHeight="true" outlineLevel="0" collapsed="false">
      <c r="B190" s="104" t="s">
        <v>38</v>
      </c>
      <c r="C190" s="104" t="n">
        <v>2018</v>
      </c>
      <c r="D190" s="105" t="n">
        <v>6.35</v>
      </c>
      <c r="E190" s="106" t="n">
        <v>14.74</v>
      </c>
      <c r="F190" s="107" t="n">
        <v>6.107</v>
      </c>
      <c r="G190" s="108" t="n">
        <v>6.9499</v>
      </c>
      <c r="H190" s="84" t="n">
        <v>42149</v>
      </c>
      <c r="I190" s="109" t="n">
        <v>10.649</v>
      </c>
      <c r="J190" s="92" t="n">
        <v>6.5</v>
      </c>
      <c r="K190" s="110" t="n">
        <v>0</v>
      </c>
      <c r="L190" s="110" t="n">
        <v>0</v>
      </c>
      <c r="M190" s="111" t="n">
        <v>371.165</v>
      </c>
    </row>
    <row r="191" customFormat="false" ht="13.5" hidden="false" customHeight="true" outlineLevel="0" collapsed="false">
      <c r="B191" s="112" t="s">
        <v>38</v>
      </c>
      <c r="C191" s="112" t="n">
        <v>2019</v>
      </c>
      <c r="D191" s="113" t="n">
        <v>5.51</v>
      </c>
      <c r="E191" s="114" t="n">
        <v>100.77</v>
      </c>
      <c r="F191" s="115" t="n">
        <v>5.9789</v>
      </c>
      <c r="G191" s="116" t="n">
        <v>8.8846</v>
      </c>
      <c r="H191" s="117" t="n">
        <v>45118</v>
      </c>
      <c r="I191" s="118" t="n">
        <v>10.717</v>
      </c>
      <c r="J191" s="96" t="n">
        <v>6.2</v>
      </c>
      <c r="K191" s="119" t="n">
        <v>0</v>
      </c>
      <c r="L191" s="119" t="n">
        <v>0</v>
      </c>
      <c r="M191" s="120" t="n">
        <v>371.165</v>
      </c>
    </row>
    <row r="192" customFormat="false" ht="13.5" hidden="false" customHeight="true" outlineLevel="0" collapsed="false">
      <c r="B192" s="104" t="s">
        <v>38</v>
      </c>
      <c r="C192" s="104" t="n">
        <v>2020</v>
      </c>
      <c r="D192" s="105" t="n">
        <v>5.27</v>
      </c>
      <c r="E192" s="106" t="n">
        <v>179.33</v>
      </c>
      <c r="F192" s="107" t="n">
        <v>5.9454</v>
      </c>
      <c r="G192" s="108" t="n">
        <v>9.4732</v>
      </c>
      <c r="H192" s="84" t="n">
        <v>48159</v>
      </c>
      <c r="I192" s="109" t="n">
        <v>10.7823</v>
      </c>
      <c r="J192" s="93" t="n">
        <v>6.3</v>
      </c>
      <c r="K192" s="110" t="n">
        <v>0</v>
      </c>
      <c r="L192" s="121" t="n">
        <v>1</v>
      </c>
      <c r="M192" s="111" t="n">
        <v>371.165</v>
      </c>
    </row>
    <row r="193" customFormat="false" ht="13.5" hidden="false" customHeight="true" outlineLevel="0" collapsed="false">
      <c r="B193" s="112" t="s">
        <v>38</v>
      </c>
      <c r="C193" s="112" t="n">
        <v>2021</v>
      </c>
      <c r="D193" s="113" t="n">
        <v>5.18</v>
      </c>
      <c r="E193" s="114" t="n">
        <v>153.79</v>
      </c>
      <c r="F193" s="115" t="n">
        <v>5.9402</v>
      </c>
      <c r="G193" s="116" t="n">
        <v>9.3313</v>
      </c>
      <c r="H193" s="117" t="n">
        <v>58401</v>
      </c>
      <c r="I193" s="118" t="n">
        <v>10.9751</v>
      </c>
      <c r="J193" s="93" t="n">
        <v>5.5</v>
      </c>
      <c r="K193" s="119" t="n">
        <v>0</v>
      </c>
      <c r="L193" s="121" t="n">
        <v>1</v>
      </c>
      <c r="M193" s="120" t="n">
        <v>371.165</v>
      </c>
    </row>
    <row r="194" customFormat="false" ht="13.5" hidden="false" customHeight="true" outlineLevel="0" collapsed="false">
      <c r="B194" s="104" t="s">
        <v>38</v>
      </c>
      <c r="C194" s="104" t="n">
        <v>2022</v>
      </c>
      <c r="D194" s="105" t="n">
        <v>4.11</v>
      </c>
      <c r="E194" s="106" t="n">
        <v>371.17</v>
      </c>
      <c r="F194" s="107" t="n">
        <v>5.7462</v>
      </c>
      <c r="G194" s="108" t="n">
        <v>10.2487</v>
      </c>
      <c r="H194" s="84" t="n">
        <v>61268</v>
      </c>
      <c r="I194" s="109" t="n">
        <v>11.023</v>
      </c>
      <c r="J194" s="92" t="n">
        <v>3.9</v>
      </c>
      <c r="K194" s="110" t="n">
        <v>0</v>
      </c>
      <c r="L194" s="110" t="n">
        <v>0</v>
      </c>
      <c r="M194" s="111" t="n">
        <v>371.165</v>
      </c>
    </row>
    <row r="195" customFormat="false" ht="13.5" hidden="false" customHeight="true" outlineLevel="0" collapsed="false">
      <c r="B195" s="112" t="s">
        <v>38</v>
      </c>
      <c r="C195" s="112" t="n">
        <v>2023</v>
      </c>
      <c r="D195" s="113" t="n">
        <v>3.9</v>
      </c>
      <c r="E195" s="114" t="n">
        <v>0.97</v>
      </c>
      <c r="F195" s="115" t="n">
        <v>5.6937</v>
      </c>
      <c r="G195" s="116" t="n">
        <v>4.3041</v>
      </c>
      <c r="H195" s="117" t="n">
        <v>67460</v>
      </c>
      <c r="I195" s="118" t="n">
        <v>11.1193</v>
      </c>
      <c r="J195" s="96" t="n">
        <v>3.5</v>
      </c>
      <c r="K195" s="122" t="n">
        <v>1</v>
      </c>
      <c r="L195" s="119" t="n">
        <v>0</v>
      </c>
      <c r="M195" s="120" t="n">
        <v>371.165</v>
      </c>
    </row>
    <row r="196" customFormat="false" ht="13.5" hidden="false" customHeight="true" outlineLevel="0" collapsed="false">
      <c r="B196" s="104" t="s">
        <v>39</v>
      </c>
      <c r="C196" s="104" t="n">
        <v>2016</v>
      </c>
      <c r="D196" s="105" t="n">
        <v>55.74</v>
      </c>
      <c r="E196" s="106" t="n">
        <v>2.43</v>
      </c>
      <c r="F196" s="107" t="n">
        <v>7.1412</v>
      </c>
      <c r="G196" s="108" t="n">
        <v>4.0073</v>
      </c>
      <c r="H196" s="84" t="n">
        <v>17159</v>
      </c>
      <c r="I196" s="109" t="n">
        <v>9.7503</v>
      </c>
      <c r="J196" s="92" t="n">
        <v>13.6</v>
      </c>
      <c r="K196" s="110" t="n">
        <v>0</v>
      </c>
      <c r="L196" s="110" t="n">
        <v>0</v>
      </c>
      <c r="M196" s="111" t="n">
        <v>47.4207</v>
      </c>
    </row>
    <row r="197" customFormat="false" ht="13.5" hidden="false" customHeight="true" outlineLevel="0" collapsed="false">
      <c r="B197" s="112" t="s">
        <v>39</v>
      </c>
      <c r="C197" s="112" t="n">
        <v>2017</v>
      </c>
      <c r="D197" s="113" t="n">
        <v>47.94</v>
      </c>
      <c r="E197" s="114" t="n">
        <v>3.76</v>
      </c>
      <c r="F197" s="115" t="n">
        <v>7.0003</v>
      </c>
      <c r="G197" s="116" t="n">
        <v>4.4543</v>
      </c>
      <c r="H197" s="117" t="n">
        <v>17793</v>
      </c>
      <c r="I197" s="118" t="n">
        <v>9.7865</v>
      </c>
      <c r="J197" s="96" t="n">
        <v>14.6</v>
      </c>
      <c r="K197" s="119" t="n">
        <v>0</v>
      </c>
      <c r="L197" s="119" t="n">
        <v>0</v>
      </c>
      <c r="M197" s="120" t="n">
        <v>47.4207</v>
      </c>
    </row>
    <row r="198" customFormat="false" ht="13.5" hidden="false" customHeight="true" outlineLevel="0" collapsed="false">
      <c r="B198" s="104" t="s">
        <v>39</v>
      </c>
      <c r="C198" s="104" t="n">
        <v>2018</v>
      </c>
      <c r="D198" s="105" t="n">
        <v>42.18</v>
      </c>
      <c r="E198" s="106" t="n">
        <v>4.13</v>
      </c>
      <c r="F198" s="107" t="n">
        <v>6.868</v>
      </c>
      <c r="G198" s="108" t="n">
        <v>4.5433</v>
      </c>
      <c r="H198" s="84" t="n">
        <v>18443</v>
      </c>
      <c r="I198" s="109" t="n">
        <v>9.8224</v>
      </c>
      <c r="J198" s="92" t="n">
        <v>16.8</v>
      </c>
      <c r="K198" s="110" t="n">
        <v>0</v>
      </c>
      <c r="L198" s="110" t="n">
        <v>0</v>
      </c>
      <c r="M198" s="111" t="n">
        <v>47.4207</v>
      </c>
    </row>
    <row r="199" customFormat="false" ht="13.5" hidden="false" customHeight="true" outlineLevel="0" collapsed="false">
      <c r="B199" s="112" t="s">
        <v>39</v>
      </c>
      <c r="C199" s="112" t="n">
        <v>2019</v>
      </c>
      <c r="D199" s="113" t="n">
        <v>33.93</v>
      </c>
      <c r="E199" s="114" t="n">
        <v>15.84</v>
      </c>
      <c r="F199" s="115" t="n">
        <v>6.6593</v>
      </c>
      <c r="G199" s="116" t="n">
        <v>5.8972</v>
      </c>
      <c r="H199" s="117" t="n">
        <v>19441</v>
      </c>
      <c r="I199" s="118" t="n">
        <v>9.8752</v>
      </c>
      <c r="J199" s="96" t="n">
        <v>15.2</v>
      </c>
      <c r="K199" s="119" t="n">
        <v>0</v>
      </c>
      <c r="L199" s="119" t="n">
        <v>0</v>
      </c>
      <c r="M199" s="120" t="n">
        <v>47.4207</v>
      </c>
    </row>
    <row r="200" customFormat="false" ht="13.5" hidden="false" customHeight="true" outlineLevel="0" collapsed="false">
      <c r="B200" s="104" t="s">
        <v>39</v>
      </c>
      <c r="C200" s="104" t="n">
        <v>2020</v>
      </c>
      <c r="D200" s="105" t="n">
        <v>35.49</v>
      </c>
      <c r="E200" s="106" t="n">
        <v>26.69</v>
      </c>
      <c r="F200" s="107" t="n">
        <v>6.713</v>
      </c>
      <c r="G200" s="108" t="n">
        <v>6.4281</v>
      </c>
      <c r="H200" s="84" t="n">
        <v>19583</v>
      </c>
      <c r="I200" s="109" t="n">
        <v>9.8824</v>
      </c>
      <c r="J200" s="93" t="n">
        <v>18.9</v>
      </c>
      <c r="K200" s="110" t="n">
        <v>0</v>
      </c>
      <c r="L200" s="121" t="n">
        <v>1</v>
      </c>
      <c r="M200" s="111" t="n">
        <v>47.4207</v>
      </c>
    </row>
    <row r="201" customFormat="false" ht="13.5" hidden="false" customHeight="true" outlineLevel="0" collapsed="false">
      <c r="B201" s="112" t="s">
        <v>39</v>
      </c>
      <c r="C201" s="112" t="n">
        <v>2021</v>
      </c>
      <c r="D201" s="113" t="n">
        <v>28.39</v>
      </c>
      <c r="E201" s="114" t="n">
        <v>42.89</v>
      </c>
      <c r="F201" s="115" t="n">
        <v>6.4983</v>
      </c>
      <c r="G201" s="116" t="n">
        <v>6.9108</v>
      </c>
      <c r="H201" s="117" t="n">
        <v>22177</v>
      </c>
      <c r="I201" s="118" t="n">
        <v>10.0068</v>
      </c>
      <c r="J201" s="93" t="n">
        <v>18</v>
      </c>
      <c r="K201" s="119" t="n">
        <v>0</v>
      </c>
      <c r="L201" s="121" t="n">
        <v>1</v>
      </c>
      <c r="M201" s="120" t="n">
        <v>47.4207</v>
      </c>
    </row>
    <row r="202" customFormat="false" ht="13.5" hidden="false" customHeight="true" outlineLevel="0" collapsed="false">
      <c r="B202" s="104" t="s">
        <v>39</v>
      </c>
      <c r="C202" s="104" t="n">
        <v>2022</v>
      </c>
      <c r="D202" s="105" t="n">
        <v>29.59</v>
      </c>
      <c r="E202" s="106" t="n">
        <v>47.42</v>
      </c>
      <c r="F202" s="107" t="n">
        <v>6.4831</v>
      </c>
      <c r="G202" s="108" t="n">
        <v>6.9546</v>
      </c>
      <c r="H202" s="84" t="n">
        <v>25960</v>
      </c>
      <c r="I202" s="109" t="n">
        <v>10.1643</v>
      </c>
      <c r="J202" s="92" t="n">
        <v>13.1</v>
      </c>
      <c r="K202" s="110" t="n">
        <v>0</v>
      </c>
      <c r="L202" s="110" t="n">
        <v>0</v>
      </c>
      <c r="M202" s="111" t="n">
        <v>47.4207</v>
      </c>
    </row>
    <row r="203" customFormat="false" ht="13.5" hidden="false" customHeight="true" outlineLevel="0" collapsed="false">
      <c r="B203" s="112" t="s">
        <v>39</v>
      </c>
      <c r="C203" s="112" t="n">
        <v>2023</v>
      </c>
      <c r="D203" s="113" t="n">
        <v>25.88</v>
      </c>
      <c r="E203" s="114" t="n">
        <v>0.05</v>
      </c>
      <c r="F203" s="115" t="n">
        <v>6.3491</v>
      </c>
      <c r="G203" s="116" t="n">
        <v>0</v>
      </c>
      <c r="H203" s="117" t="n">
        <v>27519</v>
      </c>
      <c r="I203" s="118" t="n">
        <v>10.2226</v>
      </c>
      <c r="J203" s="96" t="n">
        <v>10.9</v>
      </c>
      <c r="K203" s="122" t="n">
        <v>1</v>
      </c>
      <c r="L203" s="119" t="n">
        <v>0</v>
      </c>
      <c r="M203" s="120" t="n">
        <v>47.4207</v>
      </c>
    </row>
    <row r="204" customFormat="false" ht="13.5" hidden="false" customHeight="true" outlineLevel="0" collapsed="false">
      <c r="B204" s="104" t="s">
        <v>40</v>
      </c>
      <c r="C204" s="104" t="n">
        <v>2016</v>
      </c>
      <c r="D204" s="105" t="n">
        <v>6.01</v>
      </c>
      <c r="E204" s="106" t="n">
        <v>4.46</v>
      </c>
      <c r="F204" s="107" t="n">
        <v>7.8973</v>
      </c>
      <c r="G204" s="108" t="n">
        <v>7.5979</v>
      </c>
      <c r="H204" s="84" t="n">
        <v>45559</v>
      </c>
      <c r="I204" s="109" t="n">
        <v>10.7268</v>
      </c>
      <c r="J204" s="92" t="n">
        <v>12.5</v>
      </c>
      <c r="K204" s="110" t="n">
        <v>0</v>
      </c>
      <c r="L204" s="110" t="n">
        <v>0</v>
      </c>
      <c r="M204" s="111" t="n">
        <v>190.7603</v>
      </c>
    </row>
    <row r="205" customFormat="false" ht="13.5" hidden="false" customHeight="true" outlineLevel="0" collapsed="false">
      <c r="B205" s="112" t="s">
        <v>40</v>
      </c>
      <c r="C205" s="112" t="n">
        <v>2017</v>
      </c>
      <c r="D205" s="113" t="n">
        <v>5.52</v>
      </c>
      <c r="E205" s="114" t="n">
        <v>7.2</v>
      </c>
      <c r="F205" s="115" t="n">
        <v>7.82</v>
      </c>
      <c r="G205" s="116" t="n">
        <v>8.0858</v>
      </c>
      <c r="H205" s="117" t="n">
        <v>47029</v>
      </c>
      <c r="I205" s="118" t="n">
        <v>10.7585</v>
      </c>
      <c r="J205" s="96" t="n">
        <v>13.5</v>
      </c>
      <c r="K205" s="119" t="n">
        <v>0</v>
      </c>
      <c r="L205" s="119" t="n">
        <v>0</v>
      </c>
      <c r="M205" s="120" t="n">
        <v>190.7603</v>
      </c>
    </row>
    <row r="206" customFormat="false" ht="13.5" hidden="false" customHeight="true" outlineLevel="0" collapsed="false">
      <c r="B206" s="104" t="s">
        <v>40</v>
      </c>
      <c r="C206" s="104" t="n">
        <v>2018</v>
      </c>
      <c r="D206" s="105" t="n">
        <v>4.32</v>
      </c>
      <c r="E206" s="106" t="n">
        <v>10.01</v>
      </c>
      <c r="F206" s="107" t="n">
        <v>7.5838</v>
      </c>
      <c r="G206" s="108" t="n">
        <v>8.4249</v>
      </c>
      <c r="H206" s="84" t="n">
        <v>48542</v>
      </c>
      <c r="I206" s="109" t="n">
        <v>10.7902</v>
      </c>
      <c r="J206" s="92" t="n">
        <v>13.4</v>
      </c>
      <c r="K206" s="110" t="n">
        <v>0</v>
      </c>
      <c r="L206" s="110" t="n">
        <v>0</v>
      </c>
      <c r="M206" s="111" t="n">
        <v>190.7603</v>
      </c>
    </row>
    <row r="207" customFormat="false" ht="13.5" hidden="false" customHeight="true" outlineLevel="0" collapsed="false">
      <c r="B207" s="112" t="s">
        <v>40</v>
      </c>
      <c r="C207" s="112" t="n">
        <v>2019</v>
      </c>
      <c r="D207" s="113" t="n">
        <v>3.75</v>
      </c>
      <c r="E207" s="114" t="n">
        <v>53.87</v>
      </c>
      <c r="F207" s="115" t="n">
        <v>7.4507</v>
      </c>
      <c r="G207" s="116" t="n">
        <v>10.1161</v>
      </c>
      <c r="H207" s="117" t="n">
        <v>51141</v>
      </c>
      <c r="I207" s="118" t="n">
        <v>10.8423</v>
      </c>
      <c r="J207" s="96" t="n">
        <v>12.6</v>
      </c>
      <c r="K207" s="119" t="n">
        <v>0</v>
      </c>
      <c r="L207" s="119" t="n">
        <v>0</v>
      </c>
      <c r="M207" s="120" t="n">
        <v>190.7603</v>
      </c>
    </row>
    <row r="208" customFormat="false" ht="13.5" hidden="false" customHeight="true" outlineLevel="0" collapsed="false">
      <c r="B208" s="104" t="s">
        <v>40</v>
      </c>
      <c r="C208" s="104" t="n">
        <v>2020</v>
      </c>
      <c r="D208" s="105" t="n">
        <v>3.81</v>
      </c>
      <c r="E208" s="106" t="n">
        <v>50.59</v>
      </c>
      <c r="F208" s="107" t="n">
        <v>7.4742</v>
      </c>
      <c r="G208" s="108" t="n">
        <v>10.0612</v>
      </c>
      <c r="H208" s="84" t="n">
        <v>51365</v>
      </c>
      <c r="I208" s="109" t="n">
        <v>10.8467</v>
      </c>
      <c r="J208" s="93" t="n">
        <v>14.1</v>
      </c>
      <c r="K208" s="110" t="n">
        <v>0</v>
      </c>
      <c r="L208" s="121" t="n">
        <v>1</v>
      </c>
      <c r="M208" s="111" t="n">
        <v>190.7603</v>
      </c>
    </row>
    <row r="209" customFormat="false" ht="13.5" hidden="false" customHeight="true" outlineLevel="0" collapsed="false">
      <c r="B209" s="112" t="s">
        <v>40</v>
      </c>
      <c r="C209" s="112" t="n">
        <v>2021</v>
      </c>
      <c r="D209" s="113" t="n">
        <v>3.48</v>
      </c>
      <c r="E209" s="114" t="n">
        <v>129.04</v>
      </c>
      <c r="F209" s="115" t="n">
        <v>7.3914</v>
      </c>
      <c r="G209" s="116" t="n">
        <v>11.0053</v>
      </c>
      <c r="H209" s="117" t="n">
        <v>58302</v>
      </c>
      <c r="I209" s="118" t="n">
        <v>10.9734</v>
      </c>
      <c r="J209" s="93" t="n">
        <v>13.5</v>
      </c>
      <c r="K209" s="119" t="n">
        <v>0</v>
      </c>
      <c r="L209" s="121" t="n">
        <v>1</v>
      </c>
      <c r="M209" s="120" t="n">
        <v>190.7603</v>
      </c>
    </row>
    <row r="210" customFormat="false" ht="13.5" hidden="false" customHeight="true" outlineLevel="0" collapsed="false">
      <c r="B210" s="104" t="s">
        <v>40</v>
      </c>
      <c r="C210" s="104" t="n">
        <v>2022</v>
      </c>
      <c r="D210" s="105" t="n">
        <v>3.71</v>
      </c>
      <c r="E210" s="106" t="n">
        <v>190.76</v>
      </c>
      <c r="F210" s="107" t="n">
        <v>7.4079</v>
      </c>
      <c r="G210" s="108" t="n">
        <v>11.3471</v>
      </c>
      <c r="H210" s="84" t="n">
        <v>70485</v>
      </c>
      <c r="I210" s="109" t="n">
        <v>11.1632</v>
      </c>
      <c r="J210" s="92" t="n">
        <v>9.1</v>
      </c>
      <c r="K210" s="110" t="n">
        <v>0</v>
      </c>
      <c r="L210" s="110" t="n">
        <v>0</v>
      </c>
      <c r="M210" s="111" t="n">
        <v>190.7603</v>
      </c>
    </row>
    <row r="211" customFormat="false" ht="13.5" hidden="false" customHeight="true" outlineLevel="0" collapsed="false">
      <c r="B211" s="112" t="s">
        <v>40</v>
      </c>
      <c r="C211" s="112" t="n">
        <v>2023</v>
      </c>
      <c r="D211" s="113" t="n">
        <v>3.29</v>
      </c>
      <c r="E211" s="114" t="n">
        <v>0.44</v>
      </c>
      <c r="F211" s="115" t="n">
        <v>7.2876</v>
      </c>
      <c r="G211" s="116" t="n">
        <v>5.2781</v>
      </c>
      <c r="H211" s="117" t="n">
        <v>77566</v>
      </c>
      <c r="I211" s="118" t="n">
        <v>11.2589</v>
      </c>
      <c r="J211" s="96" t="n">
        <v>7.6</v>
      </c>
      <c r="K211" s="122" t="n">
        <v>1</v>
      </c>
      <c r="L211" s="119" t="n">
        <v>0</v>
      </c>
      <c r="M211" s="120" t="n">
        <v>190.7603</v>
      </c>
    </row>
    <row r="212" customFormat="false" ht="13.5" hidden="false" customHeight="true" outlineLevel="0" collapsed="false">
      <c r="B212" s="104" t="s">
        <v>41</v>
      </c>
      <c r="C212" s="104" t="n">
        <v>2016</v>
      </c>
      <c r="D212" s="105" t="n">
        <v>19.77</v>
      </c>
      <c r="E212" s="106" t="n">
        <v>3.85</v>
      </c>
      <c r="F212" s="107" t="n">
        <v>5.7137</v>
      </c>
      <c r="G212" s="108" t="n">
        <v>4.0775</v>
      </c>
      <c r="H212" s="84" t="n">
        <v>20605</v>
      </c>
      <c r="I212" s="109" t="n">
        <v>9.9333</v>
      </c>
      <c r="J212" s="92" t="n">
        <v>11.5</v>
      </c>
      <c r="K212" s="110" t="n">
        <v>0</v>
      </c>
      <c r="L212" s="110" t="n">
        <v>0</v>
      </c>
      <c r="M212" s="111" t="n">
        <v>202.1886</v>
      </c>
    </row>
    <row r="213" customFormat="false" ht="13.5" hidden="false" customHeight="true" outlineLevel="0" collapsed="false">
      <c r="B213" s="112" t="s">
        <v>41</v>
      </c>
      <c r="C213" s="112" t="n">
        <v>2017</v>
      </c>
      <c r="D213" s="113" t="n">
        <v>20.71</v>
      </c>
      <c r="E213" s="114" t="n">
        <v>3.74</v>
      </c>
      <c r="F213" s="115" t="n">
        <v>5.7714</v>
      </c>
      <c r="G213" s="116" t="n">
        <v>4.0604</v>
      </c>
      <c r="H213" s="117" t="n">
        <v>22002</v>
      </c>
      <c r="I213" s="118" t="n">
        <v>9.9989</v>
      </c>
      <c r="J213" s="96" t="n">
        <v>11.7</v>
      </c>
      <c r="K213" s="119" t="n">
        <v>0</v>
      </c>
      <c r="L213" s="119" t="n">
        <v>0</v>
      </c>
      <c r="M213" s="120" t="n">
        <v>202.1886</v>
      </c>
    </row>
    <row r="214" customFormat="false" ht="13.5" hidden="false" customHeight="true" outlineLevel="0" collapsed="false">
      <c r="B214" s="104" t="s">
        <v>41</v>
      </c>
      <c r="C214" s="104" t="n">
        <v>2018</v>
      </c>
      <c r="D214" s="105" t="n">
        <v>19.74</v>
      </c>
      <c r="E214" s="106" t="n">
        <v>6.62</v>
      </c>
      <c r="F214" s="107" t="n">
        <v>5.7268</v>
      </c>
      <c r="G214" s="108" t="n">
        <v>4.6347</v>
      </c>
      <c r="H214" s="84" t="n">
        <v>22933</v>
      </c>
      <c r="I214" s="109" t="n">
        <v>10.0403</v>
      </c>
      <c r="J214" s="92" t="n">
        <v>10.7</v>
      </c>
      <c r="K214" s="110" t="n">
        <v>0</v>
      </c>
      <c r="L214" s="110" t="n">
        <v>0</v>
      </c>
      <c r="M214" s="111" t="n">
        <v>202.1886</v>
      </c>
    </row>
    <row r="215" customFormat="false" ht="13.5" hidden="false" customHeight="true" outlineLevel="0" collapsed="false">
      <c r="B215" s="112" t="s">
        <v>41</v>
      </c>
      <c r="C215" s="112" t="n">
        <v>2019</v>
      </c>
      <c r="D215" s="113" t="n">
        <v>15.7</v>
      </c>
      <c r="E215" s="114" t="n">
        <v>27.47</v>
      </c>
      <c r="F215" s="115" t="n">
        <v>5.5094</v>
      </c>
      <c r="G215" s="116" t="n">
        <v>6.0684</v>
      </c>
      <c r="H215" s="117" t="n">
        <v>25022</v>
      </c>
      <c r="I215" s="118" t="n">
        <v>10.1275</v>
      </c>
      <c r="J215" s="96" t="n">
        <v>11</v>
      </c>
      <c r="K215" s="119" t="n">
        <v>0</v>
      </c>
      <c r="L215" s="119" t="n">
        <v>0</v>
      </c>
      <c r="M215" s="120" t="n">
        <v>202.1886</v>
      </c>
    </row>
    <row r="216" customFormat="false" ht="13.5" hidden="false" customHeight="true" outlineLevel="0" collapsed="false">
      <c r="B216" s="104" t="s">
        <v>41</v>
      </c>
      <c r="C216" s="104" t="n">
        <v>2020</v>
      </c>
      <c r="D216" s="105" t="n">
        <v>17.29</v>
      </c>
      <c r="E216" s="106" t="n">
        <v>47.35</v>
      </c>
      <c r="F216" s="107" t="n">
        <v>5.6168</v>
      </c>
      <c r="G216" s="108" t="n">
        <v>6.6241</v>
      </c>
      <c r="H216" s="84" t="n">
        <v>27448</v>
      </c>
      <c r="I216" s="109" t="n">
        <v>10.2201</v>
      </c>
      <c r="J216" s="93" t="n">
        <v>12.1</v>
      </c>
      <c r="K216" s="110" t="n">
        <v>0</v>
      </c>
      <c r="L216" s="121" t="n">
        <v>1</v>
      </c>
      <c r="M216" s="111" t="n">
        <v>202.1886</v>
      </c>
    </row>
    <row r="217" customFormat="false" ht="13.5" hidden="false" customHeight="true" outlineLevel="0" collapsed="false">
      <c r="B217" s="112" t="s">
        <v>41</v>
      </c>
      <c r="C217" s="112" t="n">
        <v>2021</v>
      </c>
      <c r="D217" s="113" t="n">
        <v>15.62</v>
      </c>
      <c r="E217" s="114" t="n">
        <v>100.91</v>
      </c>
      <c r="F217" s="115" t="n">
        <v>5.5255</v>
      </c>
      <c r="G217" s="116" t="n">
        <v>7.3914</v>
      </c>
      <c r="H217" s="117" t="n">
        <v>32215</v>
      </c>
      <c r="I217" s="118" t="n">
        <v>10.3802</v>
      </c>
      <c r="J217" s="93" t="n">
        <v>13.4</v>
      </c>
      <c r="K217" s="119" t="n">
        <v>0</v>
      </c>
      <c r="L217" s="121" t="n">
        <v>1</v>
      </c>
      <c r="M217" s="120" t="n">
        <v>202.1886</v>
      </c>
    </row>
    <row r="218" customFormat="false" ht="13.5" hidden="false" customHeight="true" outlineLevel="0" collapsed="false">
      <c r="B218" s="104" t="s">
        <v>41</v>
      </c>
      <c r="C218" s="104" t="n">
        <v>2022</v>
      </c>
      <c r="D218" s="105" t="n">
        <v>16.41</v>
      </c>
      <c r="E218" s="106" t="n">
        <v>202.19</v>
      </c>
      <c r="F218" s="107" t="n">
        <v>5.5134</v>
      </c>
      <c r="G218" s="108" t="n">
        <v>8.0249</v>
      </c>
      <c r="H218" s="84" t="n">
        <v>38512</v>
      </c>
      <c r="I218" s="109" t="n">
        <v>10.5587</v>
      </c>
      <c r="J218" s="92" t="n">
        <v>6.4</v>
      </c>
      <c r="K218" s="110" t="n">
        <v>0</v>
      </c>
      <c r="L218" s="110" t="n">
        <v>0</v>
      </c>
      <c r="M218" s="111" t="n">
        <v>202.1886</v>
      </c>
    </row>
    <row r="219" customFormat="false" ht="13.5" hidden="false" customHeight="true" outlineLevel="0" collapsed="false">
      <c r="B219" s="112" t="s">
        <v>41</v>
      </c>
      <c r="C219" s="112" t="n">
        <v>2023</v>
      </c>
      <c r="D219" s="113" t="n">
        <v>17.67</v>
      </c>
      <c r="E219" s="114" t="n">
        <v>0.33</v>
      </c>
      <c r="F219" s="115" t="n">
        <v>5.5872</v>
      </c>
      <c r="G219" s="116" t="n">
        <v>1.6094</v>
      </c>
      <c r="H219" s="117" t="n">
        <v>42553</v>
      </c>
      <c r="I219" s="118" t="n">
        <v>10.6585</v>
      </c>
      <c r="J219" s="96" t="n">
        <v>6.1</v>
      </c>
      <c r="K219" s="122" t="n">
        <v>1</v>
      </c>
      <c r="L219" s="119" t="n">
        <v>0</v>
      </c>
      <c r="M219" s="120" t="n">
        <v>202.1886</v>
      </c>
    </row>
    <row r="220" customFormat="false" ht="36" hidden="false" customHeight="true" outlineLevel="0" collapsed="false">
      <c r="B220" s="50" t="s">
        <v>135</v>
      </c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</row>
  </sheetData>
  <mergeCells count="3">
    <mergeCell ref="B1:M1"/>
    <mergeCell ref="B2:M2"/>
    <mergeCell ref="B220:M2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7"/>
    <col collapsed="false" customWidth="true" hidden="false" outlineLevel="0" max="6" min="3" style="1" width="10"/>
    <col collapsed="false" customWidth="true" hidden="false" outlineLevel="0" max="7" min="7" style="1" width="13"/>
    <col collapsed="false" customWidth="true" hidden="false" outlineLevel="0" max="9" min="8" style="1" width="10"/>
    <col collapsed="false" customWidth="true" hidden="false" outlineLevel="0" max="11" min="10" style="1" width="8"/>
    <col collapsed="false" customWidth="true" hidden="false" outlineLevel="0" max="12" min="12" style="1" width="10"/>
    <col collapsed="false" customWidth="true" hidden="false" outlineLevel="0" max="13" min="13" style="1" width="14"/>
  </cols>
  <sheetData>
    <row r="1" customFormat="false" ht="19.5" hidden="false" customHeight="true" outlineLevel="0" collapsed="false">
      <c r="A1" s="81" t="s">
        <v>136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</row>
    <row r="2" customFormat="false" ht="12.75" hidden="false" customHeight="true" outlineLevel="0" collapsed="false">
      <c r="A2" s="82" t="s">
        <v>137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</row>
    <row r="3" customFormat="false" ht="19.5" hidden="false" customHeight="true" outlineLevel="0" collapsed="false">
      <c r="A3" s="4" t="s">
        <v>138</v>
      </c>
      <c r="B3" s="4" t="s">
        <v>139</v>
      </c>
      <c r="C3" s="46" t="s">
        <v>140</v>
      </c>
      <c r="D3" s="5" t="s">
        <v>141</v>
      </c>
      <c r="E3" s="46" t="s">
        <v>142</v>
      </c>
      <c r="F3" s="5" t="s">
        <v>143</v>
      </c>
      <c r="G3" s="59" t="s">
        <v>144</v>
      </c>
      <c r="H3" s="59" t="s">
        <v>145</v>
      </c>
      <c r="I3" s="91" t="s">
        <v>146</v>
      </c>
      <c r="J3" s="45" t="s">
        <v>147</v>
      </c>
      <c r="K3" s="91" t="s">
        <v>148</v>
      </c>
      <c r="L3" s="44" t="s">
        <v>149</v>
      </c>
      <c r="M3" s="67" t="s">
        <v>150</v>
      </c>
    </row>
    <row r="4" customFormat="false" ht="27.75" hidden="false" customHeight="true" outlineLevel="0" collapsed="false">
      <c r="A4" s="123" t="s">
        <v>151</v>
      </c>
      <c r="B4" s="123" t="s">
        <v>152</v>
      </c>
      <c r="C4" s="123" t="s">
        <v>153</v>
      </c>
      <c r="D4" s="123" t="s">
        <v>154</v>
      </c>
      <c r="E4" s="123" t="s">
        <v>155</v>
      </c>
      <c r="F4" s="123" t="s">
        <v>156</v>
      </c>
      <c r="G4" s="123" t="s">
        <v>157</v>
      </c>
      <c r="H4" s="123" t="s">
        <v>158</v>
      </c>
      <c r="I4" s="123" t="s">
        <v>159</v>
      </c>
      <c r="J4" s="123" t="s">
        <v>160</v>
      </c>
      <c r="K4" s="123" t="s">
        <v>161</v>
      </c>
      <c r="L4" s="123" t="s">
        <v>162</v>
      </c>
      <c r="M4" s="123" t="s">
        <v>163</v>
      </c>
    </row>
    <row r="5" customFormat="false" ht="13.5" hidden="false" customHeight="true" outlineLevel="0" collapsed="false">
      <c r="A5" s="104" t="s">
        <v>15</v>
      </c>
      <c r="B5" s="124" t="n">
        <v>2016</v>
      </c>
      <c r="C5" s="105" t="n">
        <v>27.55</v>
      </c>
      <c r="D5" s="106" t="n">
        <v>1.22</v>
      </c>
      <c r="E5" s="107" t="n">
        <v>5.4161</v>
      </c>
      <c r="F5" s="108" t="n">
        <v>2.3026</v>
      </c>
      <c r="G5" s="84" t="n">
        <v>16842</v>
      </c>
      <c r="H5" s="109" t="n">
        <v>9.7316</v>
      </c>
      <c r="I5" s="92" t="n">
        <v>10.9</v>
      </c>
      <c r="J5" s="124" t="n">
        <v>0</v>
      </c>
      <c r="K5" s="124" t="n">
        <v>0</v>
      </c>
      <c r="L5" s="108" t="n">
        <v>72.89</v>
      </c>
      <c r="M5" s="125" t="n">
        <v>816687</v>
      </c>
    </row>
    <row r="6" customFormat="false" ht="13.5" hidden="false" customHeight="true" outlineLevel="0" collapsed="false">
      <c r="A6" s="112" t="s">
        <v>15</v>
      </c>
      <c r="B6" s="126" t="n">
        <v>2017</v>
      </c>
      <c r="C6" s="113" t="n">
        <v>45.92</v>
      </c>
      <c r="D6" s="127" t="n">
        <v>2.77</v>
      </c>
      <c r="E6" s="115" t="n">
        <v>5.9428</v>
      </c>
      <c r="F6" s="128" t="n">
        <v>3.1355</v>
      </c>
      <c r="G6" s="129" t="n">
        <v>17204</v>
      </c>
      <c r="H6" s="130" t="n">
        <v>9.7529</v>
      </c>
      <c r="I6" s="96" t="n">
        <v>14.2</v>
      </c>
      <c r="J6" s="126" t="n">
        <v>0</v>
      </c>
      <c r="K6" s="126" t="n">
        <v>0</v>
      </c>
      <c r="L6" s="116" t="n">
        <v>72.89</v>
      </c>
      <c r="M6" s="131" t="n">
        <v>829619</v>
      </c>
    </row>
    <row r="7" customFormat="false" ht="13.5" hidden="false" customHeight="true" outlineLevel="0" collapsed="false">
      <c r="A7" s="104" t="s">
        <v>15</v>
      </c>
      <c r="B7" s="124" t="n">
        <v>2018</v>
      </c>
      <c r="C7" s="105" t="n">
        <v>35.55</v>
      </c>
      <c r="D7" s="106" t="n">
        <v>7.59</v>
      </c>
      <c r="E7" s="107" t="n">
        <v>5.7333</v>
      </c>
      <c r="F7" s="108" t="n">
        <v>4.1897</v>
      </c>
      <c r="G7" s="84" t="n">
        <v>17637</v>
      </c>
      <c r="H7" s="109" t="n">
        <v>9.7777</v>
      </c>
      <c r="I7" s="92" t="n">
        <v>13.7</v>
      </c>
      <c r="J7" s="124" t="n">
        <v>0</v>
      </c>
      <c r="K7" s="124" t="n">
        <v>0</v>
      </c>
      <c r="L7" s="108" t="n">
        <v>72.89</v>
      </c>
      <c r="M7" s="125" t="n">
        <v>869265</v>
      </c>
    </row>
    <row r="8" customFormat="false" ht="13.5" hidden="false" customHeight="true" outlineLevel="0" collapsed="false">
      <c r="A8" s="112" t="s">
        <v>15</v>
      </c>
      <c r="B8" s="126" t="n">
        <v>2019</v>
      </c>
      <c r="C8" s="113" t="n">
        <v>24.95</v>
      </c>
      <c r="D8" s="127" t="n">
        <v>18.03</v>
      </c>
      <c r="E8" s="115" t="n">
        <v>5.3936</v>
      </c>
      <c r="F8" s="128" t="n">
        <v>5.0689</v>
      </c>
      <c r="G8" s="129" t="n">
        <v>17722</v>
      </c>
      <c r="H8" s="130" t="n">
        <v>9.7826</v>
      </c>
      <c r="I8" s="96" t="n">
        <v>14.7</v>
      </c>
      <c r="J8" s="126" t="n">
        <v>0</v>
      </c>
      <c r="K8" s="126" t="n">
        <v>0</v>
      </c>
      <c r="L8" s="116" t="n">
        <v>72.89</v>
      </c>
      <c r="M8" s="131" t="n">
        <v>881935</v>
      </c>
    </row>
    <row r="9" customFormat="false" ht="13.5" hidden="false" customHeight="true" outlineLevel="0" collapsed="false">
      <c r="A9" s="104" t="s">
        <v>15</v>
      </c>
      <c r="B9" s="124" t="n">
        <v>2020</v>
      </c>
      <c r="C9" s="105" t="n">
        <v>25.15</v>
      </c>
      <c r="D9" s="106" t="n">
        <v>37.68</v>
      </c>
      <c r="E9" s="107" t="n">
        <v>5.4161</v>
      </c>
      <c r="F9" s="108" t="n">
        <v>5.8201</v>
      </c>
      <c r="G9" s="84" t="n">
        <v>18420</v>
      </c>
      <c r="H9" s="109" t="n">
        <v>9.8212</v>
      </c>
      <c r="I9" s="92" t="n">
        <v>15.2</v>
      </c>
      <c r="J9" s="124" t="n">
        <v>0</v>
      </c>
      <c r="K9" s="132" t="n">
        <v>1</v>
      </c>
      <c r="L9" s="108" t="n">
        <v>72.89</v>
      </c>
      <c r="M9" s="125" t="n">
        <v>894470</v>
      </c>
    </row>
    <row r="10" customFormat="false" ht="13.5" hidden="false" customHeight="true" outlineLevel="0" collapsed="false">
      <c r="A10" s="112" t="s">
        <v>15</v>
      </c>
      <c r="B10" s="126" t="n">
        <v>2021</v>
      </c>
      <c r="C10" s="113" t="n">
        <v>13.01</v>
      </c>
      <c r="D10" s="127" t="n">
        <v>59.99</v>
      </c>
      <c r="E10" s="115" t="n">
        <v>4.7707</v>
      </c>
      <c r="F10" s="128" t="n">
        <v>6.2989</v>
      </c>
      <c r="G10" s="129" t="n">
        <v>23569</v>
      </c>
      <c r="H10" s="130" t="n">
        <v>10.0677</v>
      </c>
      <c r="I10" s="96" t="n">
        <v>15.3</v>
      </c>
      <c r="J10" s="126" t="n">
        <v>0</v>
      </c>
      <c r="K10" s="132" t="n">
        <v>1</v>
      </c>
      <c r="L10" s="116" t="n">
        <v>72.89</v>
      </c>
      <c r="M10" s="131" t="n">
        <v>906876</v>
      </c>
    </row>
    <row r="11" customFormat="false" ht="13.5" hidden="false" customHeight="true" outlineLevel="0" collapsed="false">
      <c r="A11" s="104" t="s">
        <v>15</v>
      </c>
      <c r="B11" s="124" t="n">
        <v>2022</v>
      </c>
      <c r="C11" s="105" t="n">
        <v>17.23</v>
      </c>
      <c r="D11" s="106" t="n">
        <v>72.89</v>
      </c>
      <c r="E11" s="107" t="n">
        <v>4.9628</v>
      </c>
      <c r="F11" s="108" t="n">
        <v>6.4052</v>
      </c>
      <c r="G11" s="84" t="n">
        <v>28525</v>
      </c>
      <c r="H11" s="109" t="n">
        <v>10.2585</v>
      </c>
      <c r="I11" s="92" t="n">
        <v>11.6</v>
      </c>
      <c r="J11" s="124" t="n">
        <v>0</v>
      </c>
      <c r="K11" s="124" t="n">
        <v>0</v>
      </c>
      <c r="L11" s="108" t="n">
        <v>72.89</v>
      </c>
      <c r="M11" s="125" t="n">
        <v>830018</v>
      </c>
    </row>
    <row r="12" customFormat="false" ht="13.5" hidden="false" customHeight="true" outlineLevel="0" collapsed="false">
      <c r="A12" s="112" t="s">
        <v>15</v>
      </c>
      <c r="B12" s="126" t="n">
        <v>2023</v>
      </c>
      <c r="C12" s="113" t="n">
        <v>15.66</v>
      </c>
      <c r="D12" s="127" t="n">
        <v>0.12</v>
      </c>
      <c r="E12" s="115" t="n">
        <v>4.8675</v>
      </c>
      <c r="F12" s="128" t="n">
        <v>0</v>
      </c>
      <c r="G12" s="129" t="n">
        <v>31676</v>
      </c>
      <c r="H12" s="130" t="n">
        <v>10.3633</v>
      </c>
      <c r="I12" s="96" t="n">
        <v>7.9</v>
      </c>
      <c r="J12" s="133" t="n">
        <v>1</v>
      </c>
      <c r="K12" s="126" t="n">
        <v>0</v>
      </c>
      <c r="L12" s="116" t="n">
        <v>72.89</v>
      </c>
      <c r="M12" s="131" t="n">
        <v>830018</v>
      </c>
    </row>
    <row r="13" customFormat="false" ht="13.5" hidden="false" customHeight="true" outlineLevel="0" collapsed="false">
      <c r="A13" s="104" t="s">
        <v>16</v>
      </c>
      <c r="B13" s="124" t="n">
        <v>2016</v>
      </c>
      <c r="C13" s="105" t="n">
        <v>46.03</v>
      </c>
      <c r="D13" s="106" t="n">
        <v>0.8</v>
      </c>
      <c r="E13" s="107" t="n">
        <v>7.3434</v>
      </c>
      <c r="F13" s="108" t="n">
        <v>3.2958</v>
      </c>
      <c r="G13" s="84" t="n">
        <v>14727</v>
      </c>
      <c r="H13" s="109" t="n">
        <v>9.5975</v>
      </c>
      <c r="I13" s="92" t="n">
        <v>14.2</v>
      </c>
      <c r="J13" s="124" t="n">
        <v>0</v>
      </c>
      <c r="K13" s="124" t="n">
        <v>0</v>
      </c>
      <c r="L13" s="108" t="n">
        <v>111.5203</v>
      </c>
      <c r="M13" s="125" t="n">
        <v>3358963</v>
      </c>
    </row>
    <row r="14" customFormat="false" ht="13.5" hidden="false" customHeight="true" outlineLevel="0" collapsed="false">
      <c r="A14" s="112" t="s">
        <v>16</v>
      </c>
      <c r="B14" s="126" t="n">
        <v>2017</v>
      </c>
      <c r="C14" s="113" t="n">
        <v>45.56</v>
      </c>
      <c r="D14" s="127" t="n">
        <v>2.28</v>
      </c>
      <c r="E14" s="115" t="n">
        <v>7.3382</v>
      </c>
      <c r="F14" s="128" t="n">
        <v>4.3438</v>
      </c>
      <c r="G14" s="129" t="n">
        <v>15656</v>
      </c>
      <c r="H14" s="130" t="n">
        <v>9.6586</v>
      </c>
      <c r="I14" s="96" t="n">
        <v>16.9</v>
      </c>
      <c r="J14" s="126" t="n">
        <v>0</v>
      </c>
      <c r="K14" s="126" t="n">
        <v>0</v>
      </c>
      <c r="L14" s="116" t="n">
        <v>111.5203</v>
      </c>
      <c r="M14" s="131" t="n">
        <v>3375823</v>
      </c>
    </row>
    <row r="15" customFormat="false" ht="13.5" hidden="false" customHeight="true" outlineLevel="0" collapsed="false">
      <c r="A15" s="104" t="s">
        <v>16</v>
      </c>
      <c r="B15" s="124" t="n">
        <v>2018</v>
      </c>
      <c r="C15" s="105" t="n">
        <v>36.08</v>
      </c>
      <c r="D15" s="106" t="n">
        <v>3.64</v>
      </c>
      <c r="E15" s="107" t="n">
        <v>7.0892</v>
      </c>
      <c r="F15" s="108" t="n">
        <v>4.7958</v>
      </c>
      <c r="G15" s="84" t="n">
        <v>16376</v>
      </c>
      <c r="H15" s="109" t="n">
        <v>9.7035</v>
      </c>
      <c r="I15" s="92" t="n">
        <v>17.3</v>
      </c>
      <c r="J15" s="124" t="n">
        <v>0</v>
      </c>
      <c r="K15" s="124" t="n">
        <v>0</v>
      </c>
      <c r="L15" s="108" t="n">
        <v>111.5203</v>
      </c>
      <c r="M15" s="125" t="n">
        <v>3322820</v>
      </c>
    </row>
    <row r="16" customFormat="false" ht="13.5" hidden="false" customHeight="true" outlineLevel="0" collapsed="false">
      <c r="A16" s="112" t="s">
        <v>16</v>
      </c>
      <c r="B16" s="126" t="n">
        <v>2019</v>
      </c>
      <c r="C16" s="113" t="n">
        <v>25.68</v>
      </c>
      <c r="D16" s="127" t="n">
        <v>21.63</v>
      </c>
      <c r="E16" s="115" t="n">
        <v>6.7534</v>
      </c>
      <c r="F16" s="128" t="n">
        <v>6.582</v>
      </c>
      <c r="G16" s="129" t="n">
        <v>17668</v>
      </c>
      <c r="H16" s="130" t="n">
        <v>9.7795</v>
      </c>
      <c r="I16" s="96" t="n">
        <v>15.1</v>
      </c>
      <c r="J16" s="126" t="n">
        <v>0</v>
      </c>
      <c r="K16" s="126" t="n">
        <v>0</v>
      </c>
      <c r="L16" s="116" t="n">
        <v>111.5203</v>
      </c>
      <c r="M16" s="131" t="n">
        <v>3337357</v>
      </c>
    </row>
    <row r="17" customFormat="false" ht="13.5" hidden="false" customHeight="true" outlineLevel="0" collapsed="false">
      <c r="A17" s="104" t="s">
        <v>16</v>
      </c>
      <c r="B17" s="124" t="n">
        <v>2020</v>
      </c>
      <c r="C17" s="105" t="n">
        <v>25.78</v>
      </c>
      <c r="D17" s="106" t="n">
        <v>37.62</v>
      </c>
      <c r="E17" s="107" t="n">
        <v>6.7616</v>
      </c>
      <c r="F17" s="108" t="n">
        <v>7.1397</v>
      </c>
      <c r="G17" s="84" t="n">
        <v>18858</v>
      </c>
      <c r="H17" s="109" t="n">
        <v>9.8447</v>
      </c>
      <c r="I17" s="92" t="n">
        <v>19.1</v>
      </c>
      <c r="J17" s="124" t="n">
        <v>0</v>
      </c>
      <c r="K17" s="132" t="n">
        <v>1</v>
      </c>
      <c r="L17" s="108" t="n">
        <v>111.5203</v>
      </c>
      <c r="M17" s="125" t="n">
        <v>3351543</v>
      </c>
    </row>
    <row r="18" customFormat="false" ht="13.5" hidden="false" customHeight="true" outlineLevel="0" collapsed="false">
      <c r="A18" s="112" t="s">
        <v>16</v>
      </c>
      <c r="B18" s="126" t="n">
        <v>2021</v>
      </c>
      <c r="C18" s="113" t="n">
        <v>21.78</v>
      </c>
      <c r="D18" s="127" t="n">
        <v>76.87</v>
      </c>
      <c r="E18" s="115" t="n">
        <v>6.5971</v>
      </c>
      <c r="F18" s="128" t="n">
        <v>7.8583</v>
      </c>
      <c r="G18" s="129" t="n">
        <v>22662</v>
      </c>
      <c r="H18" s="130" t="n">
        <v>10.0284</v>
      </c>
      <c r="I18" s="96" t="n">
        <v>17.8</v>
      </c>
      <c r="J18" s="126" t="n">
        <v>0</v>
      </c>
      <c r="K18" s="132" t="n">
        <v>1</v>
      </c>
      <c r="L18" s="116" t="n">
        <v>111.5203</v>
      </c>
      <c r="M18" s="131" t="n">
        <v>3365351</v>
      </c>
    </row>
    <row r="19" customFormat="false" ht="13.5" hidden="false" customHeight="true" outlineLevel="0" collapsed="false">
      <c r="A19" s="104" t="s">
        <v>16</v>
      </c>
      <c r="B19" s="124" t="n">
        <v>2022</v>
      </c>
      <c r="C19" s="105" t="n">
        <v>26.47</v>
      </c>
      <c r="D19" s="106" t="n">
        <v>111.52</v>
      </c>
      <c r="E19" s="107" t="n">
        <v>6.719</v>
      </c>
      <c r="F19" s="108" t="n">
        <v>8.1571</v>
      </c>
      <c r="G19" s="84" t="n">
        <v>24320</v>
      </c>
      <c r="H19" s="109" t="n">
        <v>10.0991</v>
      </c>
      <c r="I19" s="92" t="n">
        <v>11.2</v>
      </c>
      <c r="J19" s="124" t="n">
        <v>0</v>
      </c>
      <c r="K19" s="124" t="n">
        <v>0</v>
      </c>
      <c r="L19" s="108" t="n">
        <v>111.5203</v>
      </c>
      <c r="M19" s="125" t="n">
        <v>3127683</v>
      </c>
    </row>
    <row r="20" customFormat="false" ht="13.5" hidden="false" customHeight="true" outlineLevel="0" collapsed="false">
      <c r="A20" s="112" t="s">
        <v>16</v>
      </c>
      <c r="B20" s="126" t="n">
        <v>2023</v>
      </c>
      <c r="C20" s="113" t="n">
        <v>28.46</v>
      </c>
      <c r="D20" s="127" t="n">
        <v>0.13</v>
      </c>
      <c r="E20" s="115" t="n">
        <v>6.7912</v>
      </c>
      <c r="F20" s="128" t="n">
        <v>1.3863</v>
      </c>
      <c r="G20" s="129" t="n">
        <v>28676</v>
      </c>
      <c r="H20" s="130" t="n">
        <v>10.2638</v>
      </c>
      <c r="I20" s="96" t="n">
        <v>9.6</v>
      </c>
      <c r="J20" s="133" t="n">
        <v>1</v>
      </c>
      <c r="K20" s="126" t="n">
        <v>0</v>
      </c>
      <c r="L20" s="116" t="n">
        <v>111.5203</v>
      </c>
      <c r="M20" s="131" t="n">
        <v>3127683</v>
      </c>
    </row>
    <row r="21" customFormat="false" ht="13.5" hidden="false" customHeight="true" outlineLevel="0" collapsed="false">
      <c r="A21" s="104" t="s">
        <v>17</v>
      </c>
      <c r="B21" s="124" t="n">
        <v>2016</v>
      </c>
      <c r="C21" s="105" t="n">
        <v>19.79</v>
      </c>
      <c r="D21" s="106" t="n">
        <v>0.5</v>
      </c>
      <c r="E21" s="107" t="n">
        <v>6.6746</v>
      </c>
      <c r="F21" s="108" t="n">
        <v>2.9957</v>
      </c>
      <c r="G21" s="84" t="n">
        <v>22251</v>
      </c>
      <c r="H21" s="109" t="n">
        <v>10.0101</v>
      </c>
      <c r="I21" s="92" t="n">
        <v>13.8</v>
      </c>
      <c r="J21" s="124" t="n">
        <v>0</v>
      </c>
      <c r="K21" s="124" t="n">
        <v>0</v>
      </c>
      <c r="L21" s="108" t="n">
        <v>101.6081</v>
      </c>
      <c r="M21" s="125" t="n">
        <v>4001667</v>
      </c>
    </row>
    <row r="22" customFormat="false" ht="13.5" hidden="false" customHeight="true" outlineLevel="0" collapsed="false">
      <c r="A22" s="112" t="s">
        <v>17</v>
      </c>
      <c r="B22" s="126" t="n">
        <v>2017</v>
      </c>
      <c r="C22" s="113" t="n">
        <v>23.85</v>
      </c>
      <c r="D22" s="127" t="n">
        <v>2.17</v>
      </c>
      <c r="E22" s="115" t="n">
        <v>6.8763</v>
      </c>
      <c r="F22" s="128" t="n">
        <v>4.4773</v>
      </c>
      <c r="G22" s="129" t="n">
        <v>22945</v>
      </c>
      <c r="H22" s="130" t="n">
        <v>10.0409</v>
      </c>
      <c r="I22" s="96" t="n">
        <v>15.9</v>
      </c>
      <c r="J22" s="126" t="n">
        <v>0</v>
      </c>
      <c r="K22" s="126" t="n">
        <v>0</v>
      </c>
      <c r="L22" s="116" t="n">
        <v>101.6081</v>
      </c>
      <c r="M22" s="131" t="n">
        <v>4063614</v>
      </c>
    </row>
    <row r="23" customFormat="false" ht="13.5" hidden="false" customHeight="true" outlineLevel="0" collapsed="false">
      <c r="A23" s="104" t="s">
        <v>17</v>
      </c>
      <c r="B23" s="124" t="n">
        <v>2018</v>
      </c>
      <c r="C23" s="105" t="n">
        <v>23.43</v>
      </c>
      <c r="D23" s="106" t="n">
        <v>4.71</v>
      </c>
      <c r="E23" s="107" t="n">
        <v>6.8628</v>
      </c>
      <c r="F23" s="108" t="n">
        <v>5.2575</v>
      </c>
      <c r="G23" s="84" t="n">
        <v>24533</v>
      </c>
      <c r="H23" s="109" t="n">
        <v>10.1078</v>
      </c>
      <c r="I23" s="92" t="n">
        <v>14</v>
      </c>
      <c r="J23" s="124" t="n">
        <v>0</v>
      </c>
      <c r="K23" s="124" t="n">
        <v>0</v>
      </c>
      <c r="L23" s="108" t="n">
        <v>101.6081</v>
      </c>
      <c r="M23" s="125" t="n">
        <v>4080611</v>
      </c>
    </row>
    <row r="24" customFormat="false" ht="13.5" hidden="false" customHeight="true" outlineLevel="0" collapsed="false">
      <c r="A24" s="112" t="s">
        <v>17</v>
      </c>
      <c r="B24" s="126" t="n">
        <v>2019</v>
      </c>
      <c r="C24" s="113" t="n">
        <v>23.65</v>
      </c>
      <c r="D24" s="127" t="n">
        <v>9.58</v>
      </c>
      <c r="E24" s="115" t="n">
        <v>6.8876</v>
      </c>
      <c r="F24" s="128" t="n">
        <v>5.9839</v>
      </c>
      <c r="G24" s="129" t="n">
        <v>26102</v>
      </c>
      <c r="H24" s="130" t="n">
        <v>10.1698</v>
      </c>
      <c r="I24" s="96" t="n">
        <v>14.2</v>
      </c>
      <c r="J24" s="126" t="n">
        <v>0</v>
      </c>
      <c r="K24" s="126" t="n">
        <v>0</v>
      </c>
      <c r="L24" s="116" t="n">
        <v>101.6081</v>
      </c>
      <c r="M24" s="131" t="n">
        <v>4144597</v>
      </c>
    </row>
    <row r="25" customFormat="false" ht="13.5" hidden="false" customHeight="true" outlineLevel="0" collapsed="false">
      <c r="A25" s="104" t="s">
        <v>17</v>
      </c>
      <c r="B25" s="124" t="n">
        <v>2020</v>
      </c>
      <c r="C25" s="105" t="n">
        <v>18.58</v>
      </c>
      <c r="D25" s="106" t="n">
        <v>25.36</v>
      </c>
      <c r="E25" s="107" t="n">
        <v>6.6619</v>
      </c>
      <c r="F25" s="108" t="n">
        <v>6.9726</v>
      </c>
      <c r="G25" s="84" t="n">
        <v>27573</v>
      </c>
      <c r="H25" s="109" t="n">
        <v>10.2246</v>
      </c>
      <c r="I25" s="92" t="n">
        <v>16</v>
      </c>
      <c r="J25" s="124" t="n">
        <v>0</v>
      </c>
      <c r="K25" s="132" t="n">
        <v>1</v>
      </c>
      <c r="L25" s="108" t="n">
        <v>101.6081</v>
      </c>
      <c r="M25" s="125" t="n">
        <v>4207714</v>
      </c>
    </row>
    <row r="26" customFormat="false" ht="13.5" hidden="false" customHeight="true" outlineLevel="0" collapsed="false">
      <c r="A26" s="112" t="s">
        <v>17</v>
      </c>
      <c r="B26" s="126" t="n">
        <v>2021</v>
      </c>
      <c r="C26" s="113" t="n">
        <v>29.93</v>
      </c>
      <c r="D26" s="127" t="n">
        <v>50.16</v>
      </c>
      <c r="E26" s="115" t="n">
        <v>7.1531</v>
      </c>
      <c r="F26" s="128" t="n">
        <v>7.6695</v>
      </c>
      <c r="G26" s="129" t="n">
        <v>30804</v>
      </c>
      <c r="H26" s="130" t="n">
        <v>10.3354</v>
      </c>
      <c r="I26" s="96" t="n">
        <v>15</v>
      </c>
      <c r="J26" s="126" t="n">
        <v>0</v>
      </c>
      <c r="K26" s="132" t="n">
        <v>1</v>
      </c>
      <c r="L26" s="116" t="n">
        <v>101.6081</v>
      </c>
      <c r="M26" s="131" t="n">
        <v>4269995</v>
      </c>
    </row>
    <row r="27" customFormat="false" ht="13.5" hidden="false" customHeight="true" outlineLevel="0" collapsed="false">
      <c r="A27" s="104" t="s">
        <v>17</v>
      </c>
      <c r="B27" s="124" t="n">
        <v>2022</v>
      </c>
      <c r="C27" s="105" t="n">
        <v>30.32</v>
      </c>
      <c r="D27" s="106" t="n">
        <v>101.61</v>
      </c>
      <c r="E27" s="107" t="n">
        <v>7.0859</v>
      </c>
      <c r="F27" s="108" t="n">
        <v>8.2953</v>
      </c>
      <c r="G27" s="84" t="n">
        <v>36823</v>
      </c>
      <c r="H27" s="109" t="n">
        <v>10.5139</v>
      </c>
      <c r="I27" s="92" t="n">
        <v>10.8</v>
      </c>
      <c r="J27" s="124" t="n">
        <v>0</v>
      </c>
      <c r="K27" s="124" t="n">
        <v>0</v>
      </c>
      <c r="L27" s="108" t="n">
        <v>101.6081</v>
      </c>
      <c r="M27" s="125" t="n">
        <v>3941613</v>
      </c>
    </row>
    <row r="28" customFormat="false" ht="13.5" hidden="false" customHeight="true" outlineLevel="0" collapsed="false">
      <c r="A28" s="112" t="s">
        <v>17</v>
      </c>
      <c r="B28" s="126" t="n">
        <v>2023</v>
      </c>
      <c r="C28" s="113" t="n">
        <v>26.69</v>
      </c>
      <c r="D28" s="127" t="n">
        <v>0.41</v>
      </c>
      <c r="E28" s="115" t="n">
        <v>6.9584</v>
      </c>
      <c r="F28" s="128" t="n">
        <v>2.7726</v>
      </c>
      <c r="G28" s="129" t="n">
        <v>41048</v>
      </c>
      <c r="H28" s="130" t="n">
        <v>10.6225</v>
      </c>
      <c r="I28" s="96" t="n">
        <v>9.7</v>
      </c>
      <c r="J28" s="133" t="n">
        <v>1</v>
      </c>
      <c r="K28" s="126" t="n">
        <v>0</v>
      </c>
      <c r="L28" s="116" t="n">
        <v>101.6081</v>
      </c>
      <c r="M28" s="131" t="n">
        <v>3941613</v>
      </c>
    </row>
    <row r="29" customFormat="false" ht="13.5" hidden="false" customHeight="true" outlineLevel="0" collapsed="false">
      <c r="A29" s="104" t="s">
        <v>18</v>
      </c>
      <c r="B29" s="124" t="n">
        <v>2016</v>
      </c>
      <c r="C29" s="105" t="n">
        <v>27.61</v>
      </c>
      <c r="D29" s="106" t="n">
        <v>0</v>
      </c>
      <c r="E29" s="107" t="n">
        <v>5.3753</v>
      </c>
      <c r="F29" s="108"/>
      <c r="G29" s="84" t="n">
        <v>18333</v>
      </c>
      <c r="H29" s="109" t="n">
        <v>9.8165</v>
      </c>
      <c r="I29" s="92" t="n">
        <v>15.8</v>
      </c>
      <c r="J29" s="124" t="n">
        <v>0</v>
      </c>
      <c r="K29" s="124" t="n">
        <v>0</v>
      </c>
      <c r="L29" s="108" t="n">
        <v>75.0928</v>
      </c>
      <c r="M29" s="125" t="n">
        <v>782295</v>
      </c>
    </row>
    <row r="30" customFormat="false" ht="13.5" hidden="false" customHeight="true" outlineLevel="0" collapsed="false">
      <c r="A30" s="112" t="s">
        <v>18</v>
      </c>
      <c r="B30" s="126" t="n">
        <v>2017</v>
      </c>
      <c r="C30" s="113" t="n">
        <v>22.31</v>
      </c>
      <c r="D30" s="127" t="n">
        <v>2.76</v>
      </c>
      <c r="E30" s="115" t="n">
        <v>5.1818</v>
      </c>
      <c r="F30" s="128" t="n">
        <v>3.091</v>
      </c>
      <c r="G30" s="129" t="n">
        <v>19408</v>
      </c>
      <c r="H30" s="130" t="n">
        <v>9.8734</v>
      </c>
      <c r="I30" s="96" t="n">
        <v>18.1</v>
      </c>
      <c r="J30" s="126" t="n">
        <v>0</v>
      </c>
      <c r="K30" s="126" t="n">
        <v>0</v>
      </c>
      <c r="L30" s="116" t="n">
        <v>75.0928</v>
      </c>
      <c r="M30" s="131" t="n">
        <v>797722</v>
      </c>
    </row>
    <row r="31" customFormat="false" ht="13.5" hidden="false" customHeight="true" outlineLevel="0" collapsed="false">
      <c r="A31" s="104" t="s">
        <v>18</v>
      </c>
      <c r="B31" s="124" t="n">
        <v>2018</v>
      </c>
      <c r="C31" s="105" t="n">
        <v>28.81</v>
      </c>
      <c r="D31" s="106" t="n">
        <v>2.53</v>
      </c>
      <c r="E31" s="107" t="n">
        <v>5.4765</v>
      </c>
      <c r="F31" s="108" t="n">
        <v>3.0445</v>
      </c>
      <c r="G31" s="84" t="n">
        <v>20248</v>
      </c>
      <c r="H31" s="109" t="n">
        <v>9.9158</v>
      </c>
      <c r="I31" s="92" t="n">
        <v>20.4</v>
      </c>
      <c r="J31" s="124" t="n">
        <v>0</v>
      </c>
      <c r="K31" s="124" t="n">
        <v>0</v>
      </c>
      <c r="L31" s="108" t="n">
        <v>75.0928</v>
      </c>
      <c r="M31" s="125" t="n">
        <v>829494</v>
      </c>
    </row>
    <row r="32" customFormat="false" ht="13.5" hidden="false" customHeight="true" outlineLevel="0" collapsed="false">
      <c r="A32" s="112" t="s">
        <v>18</v>
      </c>
      <c r="B32" s="126" t="n">
        <v>2019</v>
      </c>
      <c r="C32" s="113" t="n">
        <v>27.43</v>
      </c>
      <c r="D32" s="127" t="n">
        <v>13.12</v>
      </c>
      <c r="E32" s="115" t="n">
        <v>5.4467</v>
      </c>
      <c r="F32" s="128" t="n">
        <v>4.7095</v>
      </c>
      <c r="G32" s="129" t="n">
        <v>20688</v>
      </c>
      <c r="H32" s="130" t="n">
        <v>9.9373</v>
      </c>
      <c r="I32" s="96" t="n">
        <v>17.6</v>
      </c>
      <c r="J32" s="126" t="n">
        <v>0</v>
      </c>
      <c r="K32" s="126" t="n">
        <v>0</v>
      </c>
      <c r="L32" s="116" t="n">
        <v>75.0928</v>
      </c>
      <c r="M32" s="131" t="n">
        <v>845731</v>
      </c>
    </row>
    <row r="33" customFormat="false" ht="13.5" hidden="false" customHeight="true" outlineLevel="0" collapsed="false">
      <c r="A33" s="104" t="s">
        <v>18</v>
      </c>
      <c r="B33" s="124" t="n">
        <v>2020</v>
      </c>
      <c r="C33" s="105" t="n">
        <v>25.76</v>
      </c>
      <c r="D33" s="106" t="n">
        <v>26.23</v>
      </c>
      <c r="E33" s="107" t="n">
        <v>5.4027</v>
      </c>
      <c r="F33" s="108" t="n">
        <v>5.4205</v>
      </c>
      <c r="G33" s="84" t="n">
        <v>21432</v>
      </c>
      <c r="H33" s="109" t="n">
        <v>9.9726</v>
      </c>
      <c r="I33" s="92" t="n">
        <v>15</v>
      </c>
      <c r="J33" s="124" t="n">
        <v>0</v>
      </c>
      <c r="K33" s="132" t="n">
        <v>1</v>
      </c>
      <c r="L33" s="108" t="n">
        <v>75.0928</v>
      </c>
      <c r="M33" s="125" t="n">
        <v>861773</v>
      </c>
    </row>
    <row r="34" customFormat="false" ht="13.5" hidden="false" customHeight="true" outlineLevel="0" collapsed="false">
      <c r="A34" s="112" t="s">
        <v>18</v>
      </c>
      <c r="B34" s="126" t="n">
        <v>2021</v>
      </c>
      <c r="C34" s="113" t="n">
        <v>35.44</v>
      </c>
      <c r="D34" s="127" t="n">
        <v>40.45</v>
      </c>
      <c r="E34" s="115" t="n">
        <v>5.7398</v>
      </c>
      <c r="F34" s="128" t="n">
        <v>5.8721</v>
      </c>
      <c r="G34" s="129" t="n">
        <v>22903</v>
      </c>
      <c r="H34" s="130" t="n">
        <v>10.039</v>
      </c>
      <c r="I34" s="96" t="n">
        <v>16.6</v>
      </c>
      <c r="J34" s="126" t="n">
        <v>0</v>
      </c>
      <c r="K34" s="132" t="n">
        <v>1</v>
      </c>
      <c r="L34" s="116" t="n">
        <v>75.0928</v>
      </c>
      <c r="M34" s="131" t="n">
        <v>877613</v>
      </c>
    </row>
    <row r="35" customFormat="false" ht="13.5" hidden="false" customHeight="true" outlineLevel="0" collapsed="false">
      <c r="A35" s="104" t="s">
        <v>18</v>
      </c>
      <c r="B35" s="124" t="n">
        <v>2022</v>
      </c>
      <c r="C35" s="105" t="n">
        <v>32.03</v>
      </c>
      <c r="D35" s="106" t="n">
        <v>75.09</v>
      </c>
      <c r="E35" s="107" t="n">
        <v>5.4596</v>
      </c>
      <c r="F35" s="108" t="n">
        <v>6.3117</v>
      </c>
      <c r="G35" s="84" t="n">
        <v>32183</v>
      </c>
      <c r="H35" s="109" t="n">
        <v>10.3792</v>
      </c>
      <c r="I35" s="92" t="n">
        <v>12.5</v>
      </c>
      <c r="J35" s="124" t="n">
        <v>0</v>
      </c>
      <c r="K35" s="124" t="n">
        <v>0</v>
      </c>
      <c r="L35" s="108" t="n">
        <v>75.0928</v>
      </c>
      <c r="M35" s="125" t="n">
        <v>733759</v>
      </c>
    </row>
    <row r="36" customFormat="false" ht="13.5" hidden="false" customHeight="true" outlineLevel="0" collapsed="false">
      <c r="A36" s="112" t="s">
        <v>18</v>
      </c>
      <c r="B36" s="126" t="n">
        <v>2023</v>
      </c>
      <c r="C36" s="113" t="n">
        <v>41.29</v>
      </c>
      <c r="D36" s="127" t="n">
        <v>5.59</v>
      </c>
      <c r="E36" s="115" t="n">
        <v>5.7137</v>
      </c>
      <c r="F36" s="128" t="n">
        <v>3.7136</v>
      </c>
      <c r="G36" s="129" t="n">
        <v>38187</v>
      </c>
      <c r="H36" s="130" t="n">
        <v>10.5503</v>
      </c>
      <c r="I36" s="96" t="n">
        <v>12.8</v>
      </c>
      <c r="J36" s="133" t="n">
        <v>1</v>
      </c>
      <c r="K36" s="126" t="n">
        <v>0</v>
      </c>
      <c r="L36" s="116" t="n">
        <v>75.0928</v>
      </c>
      <c r="M36" s="131" t="n">
        <v>733759</v>
      </c>
    </row>
    <row r="37" customFormat="false" ht="13.5" hidden="false" customHeight="true" outlineLevel="0" collapsed="false">
      <c r="A37" s="104" t="s">
        <v>19</v>
      </c>
      <c r="B37" s="124" t="n">
        <v>2016</v>
      </c>
      <c r="C37" s="105" t="n">
        <v>35.62</v>
      </c>
      <c r="D37" s="106" t="n">
        <v>1.6</v>
      </c>
      <c r="E37" s="107" t="n">
        <v>8.6019</v>
      </c>
      <c r="F37" s="108" t="n">
        <v>5.5013</v>
      </c>
      <c r="G37" s="84" t="n">
        <v>16937</v>
      </c>
      <c r="H37" s="109" t="n">
        <v>9.7373</v>
      </c>
      <c r="I37" s="92" t="n">
        <v>16</v>
      </c>
      <c r="J37" s="124" t="n">
        <v>0</v>
      </c>
      <c r="K37" s="124" t="n">
        <v>0</v>
      </c>
      <c r="L37" s="108" t="n">
        <v>83.5901</v>
      </c>
      <c r="M37" s="125" t="n">
        <v>15276566</v>
      </c>
    </row>
    <row r="38" customFormat="false" ht="13.5" hidden="false" customHeight="true" outlineLevel="0" collapsed="false">
      <c r="A38" s="112" t="s">
        <v>19</v>
      </c>
      <c r="B38" s="126" t="n">
        <v>2017</v>
      </c>
      <c r="C38" s="113" t="n">
        <v>35.3</v>
      </c>
      <c r="D38" s="127" t="n">
        <v>2.97</v>
      </c>
      <c r="E38" s="115" t="n">
        <v>8.5971</v>
      </c>
      <c r="F38" s="128" t="n">
        <v>6.1203</v>
      </c>
      <c r="G38" s="129" t="n">
        <v>17513</v>
      </c>
      <c r="H38" s="130" t="n">
        <v>9.7707</v>
      </c>
      <c r="I38" s="96" t="n">
        <v>17.1</v>
      </c>
      <c r="J38" s="126" t="n">
        <v>0</v>
      </c>
      <c r="K38" s="126" t="n">
        <v>0</v>
      </c>
      <c r="L38" s="116" t="n">
        <v>83.5901</v>
      </c>
      <c r="M38" s="131" t="n">
        <v>15344447</v>
      </c>
    </row>
    <row r="39" customFormat="false" ht="13.5" hidden="false" customHeight="true" outlineLevel="0" collapsed="false">
      <c r="A39" s="104" t="s">
        <v>19</v>
      </c>
      <c r="B39" s="124" t="n">
        <v>2018</v>
      </c>
      <c r="C39" s="105" t="n">
        <v>33.47</v>
      </c>
      <c r="D39" s="106" t="n">
        <v>5.33</v>
      </c>
      <c r="E39" s="107" t="n">
        <v>8.5088</v>
      </c>
      <c r="F39" s="108" t="n">
        <v>6.672</v>
      </c>
      <c r="G39" s="84" t="n">
        <v>19324</v>
      </c>
      <c r="H39" s="109" t="n">
        <v>9.8691</v>
      </c>
      <c r="I39" s="92" t="n">
        <v>17.2</v>
      </c>
      <c r="J39" s="124" t="n">
        <v>0</v>
      </c>
      <c r="K39" s="124" t="n">
        <v>0</v>
      </c>
      <c r="L39" s="108" t="n">
        <v>83.5901</v>
      </c>
      <c r="M39" s="125" t="n">
        <v>14812617</v>
      </c>
    </row>
    <row r="40" customFormat="false" ht="13.5" hidden="false" customHeight="true" outlineLevel="0" collapsed="false">
      <c r="A40" s="112" t="s">
        <v>19</v>
      </c>
      <c r="B40" s="126" t="n">
        <v>2019</v>
      </c>
      <c r="C40" s="113" t="n">
        <v>30.83</v>
      </c>
      <c r="D40" s="127" t="n">
        <v>19.63</v>
      </c>
      <c r="E40" s="115" t="n">
        <v>8.4308</v>
      </c>
      <c r="F40" s="128" t="n">
        <v>7.9793</v>
      </c>
      <c r="G40" s="129" t="n">
        <v>19716</v>
      </c>
      <c r="H40" s="130" t="n">
        <v>9.8892</v>
      </c>
      <c r="I40" s="96" t="n">
        <v>17.4</v>
      </c>
      <c r="J40" s="126" t="n">
        <v>0</v>
      </c>
      <c r="K40" s="126" t="n">
        <v>0</v>
      </c>
      <c r="L40" s="116" t="n">
        <v>83.5901</v>
      </c>
      <c r="M40" s="131" t="n">
        <v>14873064</v>
      </c>
    </row>
    <row r="41" customFormat="false" ht="13.5" hidden="false" customHeight="true" outlineLevel="0" collapsed="false">
      <c r="A41" s="104" t="s">
        <v>19</v>
      </c>
      <c r="B41" s="124" t="n">
        <v>2020</v>
      </c>
      <c r="C41" s="105" t="n">
        <v>34.04</v>
      </c>
      <c r="D41" s="106" t="n">
        <v>41.26</v>
      </c>
      <c r="E41" s="107" t="n">
        <v>8.5335</v>
      </c>
      <c r="F41" s="108" t="n">
        <v>8.726</v>
      </c>
      <c r="G41" s="84" t="n">
        <v>20449</v>
      </c>
      <c r="H41" s="109" t="n">
        <v>9.9257</v>
      </c>
      <c r="I41" s="92" t="n">
        <v>20.2</v>
      </c>
      <c r="J41" s="124" t="n">
        <v>0</v>
      </c>
      <c r="K41" s="132" t="n">
        <v>1</v>
      </c>
      <c r="L41" s="108" t="n">
        <v>83.5901</v>
      </c>
      <c r="M41" s="125" t="n">
        <v>14930634</v>
      </c>
    </row>
    <row r="42" customFormat="false" ht="13.5" hidden="false" customHeight="true" outlineLevel="0" collapsed="false">
      <c r="A42" s="112" t="s">
        <v>19</v>
      </c>
      <c r="B42" s="126" t="n">
        <v>2021</v>
      </c>
      <c r="C42" s="113" t="n">
        <v>35.3</v>
      </c>
      <c r="D42" s="127" t="n">
        <v>56.73</v>
      </c>
      <c r="E42" s="115" t="n">
        <v>8.5736</v>
      </c>
      <c r="F42" s="128" t="n">
        <v>9.0479</v>
      </c>
      <c r="G42" s="129" t="n">
        <v>23531</v>
      </c>
      <c r="H42" s="130" t="n">
        <v>10.0661</v>
      </c>
      <c r="I42" s="96" t="n">
        <v>19.5</v>
      </c>
      <c r="J42" s="126" t="n">
        <v>0</v>
      </c>
      <c r="K42" s="132" t="n">
        <v>1</v>
      </c>
      <c r="L42" s="116" t="n">
        <v>83.5901</v>
      </c>
      <c r="M42" s="131" t="n">
        <v>14985284</v>
      </c>
    </row>
    <row r="43" customFormat="false" ht="13.5" hidden="false" customHeight="true" outlineLevel="0" collapsed="false">
      <c r="A43" s="104" t="s">
        <v>19</v>
      </c>
      <c r="B43" s="124" t="n">
        <v>2022</v>
      </c>
      <c r="C43" s="105" t="n">
        <v>34.12</v>
      </c>
      <c r="D43" s="106" t="n">
        <v>83.59</v>
      </c>
      <c r="E43" s="107" t="n">
        <v>8.4816</v>
      </c>
      <c r="F43" s="108" t="n">
        <v>9.3776</v>
      </c>
      <c r="G43" s="84" t="n">
        <v>28472</v>
      </c>
      <c r="H43" s="109" t="n">
        <v>10.2567</v>
      </c>
      <c r="I43" s="92" t="n">
        <v>15.3</v>
      </c>
      <c r="J43" s="124" t="n">
        <v>0</v>
      </c>
      <c r="K43" s="124" t="n">
        <v>0</v>
      </c>
      <c r="L43" s="108" t="n">
        <v>83.5901</v>
      </c>
      <c r="M43" s="125" t="n">
        <v>14141626</v>
      </c>
    </row>
    <row r="44" customFormat="false" ht="13.5" hidden="false" customHeight="true" outlineLevel="0" collapsed="false">
      <c r="A44" s="112" t="s">
        <v>19</v>
      </c>
      <c r="B44" s="126" t="n">
        <v>2023</v>
      </c>
      <c r="C44" s="113" t="n">
        <v>33.58</v>
      </c>
      <c r="D44" s="127" t="n">
        <v>0.51</v>
      </c>
      <c r="E44" s="115" t="n">
        <v>8.4657</v>
      </c>
      <c r="F44" s="128" t="n">
        <v>4.2767</v>
      </c>
      <c r="G44" s="129" t="n">
        <v>30477</v>
      </c>
      <c r="H44" s="130" t="n">
        <v>10.3247</v>
      </c>
      <c r="I44" s="96" t="n">
        <v>13.4</v>
      </c>
      <c r="J44" s="133" t="n">
        <v>1</v>
      </c>
      <c r="K44" s="126" t="n">
        <v>0</v>
      </c>
      <c r="L44" s="116" t="n">
        <v>83.5901</v>
      </c>
      <c r="M44" s="131" t="n">
        <v>14141626</v>
      </c>
    </row>
    <row r="45" customFormat="false" ht="13.5" hidden="false" customHeight="true" outlineLevel="0" collapsed="false">
      <c r="A45" s="104" t="s">
        <v>20</v>
      </c>
      <c r="B45" s="124" t="n">
        <v>2016</v>
      </c>
      <c r="C45" s="105" t="n">
        <v>32.26</v>
      </c>
      <c r="D45" s="106" t="n">
        <v>4.33</v>
      </c>
      <c r="E45" s="107" t="n">
        <v>7.9697</v>
      </c>
      <c r="F45" s="108" t="n">
        <v>5.961</v>
      </c>
      <c r="G45" s="84" t="n">
        <v>15443</v>
      </c>
      <c r="H45" s="109" t="n">
        <v>9.6449</v>
      </c>
      <c r="I45" s="92" t="n">
        <v>12.1</v>
      </c>
      <c r="J45" s="124" t="n">
        <v>0</v>
      </c>
      <c r="K45" s="124" t="n">
        <v>0</v>
      </c>
      <c r="L45" s="108" t="n">
        <v>73.201</v>
      </c>
      <c r="M45" s="125" t="n">
        <v>8963663</v>
      </c>
    </row>
    <row r="46" customFormat="false" ht="13.5" hidden="false" customHeight="true" outlineLevel="0" collapsed="false">
      <c r="A46" s="112" t="s">
        <v>20</v>
      </c>
      <c r="B46" s="126" t="n">
        <v>2017</v>
      </c>
      <c r="C46" s="113" t="n">
        <v>52.05</v>
      </c>
      <c r="D46" s="127" t="n">
        <v>7.67</v>
      </c>
      <c r="E46" s="115" t="n">
        <v>8.4543</v>
      </c>
      <c r="F46" s="128" t="n">
        <v>6.5396</v>
      </c>
      <c r="G46" s="129" t="n">
        <v>16398</v>
      </c>
      <c r="H46" s="130" t="n">
        <v>9.7049</v>
      </c>
      <c r="I46" s="96" t="n">
        <v>12.7</v>
      </c>
      <c r="J46" s="126" t="n">
        <v>0</v>
      </c>
      <c r="K46" s="126" t="n">
        <v>0</v>
      </c>
      <c r="L46" s="116" t="n">
        <v>73.201</v>
      </c>
      <c r="M46" s="131" t="n">
        <v>9020460</v>
      </c>
    </row>
    <row r="47" customFormat="false" ht="13.5" hidden="false" customHeight="true" outlineLevel="0" collapsed="false">
      <c r="A47" s="104" t="s">
        <v>20</v>
      </c>
      <c r="B47" s="124" t="n">
        <v>2018</v>
      </c>
      <c r="C47" s="105" t="n">
        <v>46.5</v>
      </c>
      <c r="D47" s="106" t="n">
        <v>10.94</v>
      </c>
      <c r="E47" s="107" t="n">
        <v>8.3476</v>
      </c>
      <c r="F47" s="108" t="n">
        <v>6.9007</v>
      </c>
      <c r="G47" s="84" t="n">
        <v>17178</v>
      </c>
      <c r="H47" s="109" t="n">
        <v>9.7514</v>
      </c>
      <c r="I47" s="92" t="n">
        <v>11.4</v>
      </c>
      <c r="J47" s="124" t="n">
        <v>0</v>
      </c>
      <c r="K47" s="124" t="n">
        <v>0</v>
      </c>
      <c r="L47" s="108" t="n">
        <v>73.201</v>
      </c>
      <c r="M47" s="125" t="n">
        <v>9075649</v>
      </c>
    </row>
    <row r="48" customFormat="false" ht="13.5" hidden="false" customHeight="true" outlineLevel="0" collapsed="false">
      <c r="A48" s="112" t="s">
        <v>20</v>
      </c>
      <c r="B48" s="126" t="n">
        <v>2019</v>
      </c>
      <c r="C48" s="113" t="n">
        <v>20.64</v>
      </c>
      <c r="D48" s="127" t="n">
        <v>23.02</v>
      </c>
      <c r="E48" s="115" t="n">
        <v>7.5417</v>
      </c>
      <c r="F48" s="128" t="n">
        <v>7.6506</v>
      </c>
      <c r="G48" s="129" t="n">
        <v>17912</v>
      </c>
      <c r="H48" s="130" t="n">
        <v>9.7932</v>
      </c>
      <c r="I48" s="96" t="n">
        <v>11.1</v>
      </c>
      <c r="J48" s="126" t="n">
        <v>0</v>
      </c>
      <c r="K48" s="126" t="n">
        <v>0</v>
      </c>
      <c r="L48" s="116" t="n">
        <v>73.201</v>
      </c>
      <c r="M48" s="131" t="n">
        <v>9132078</v>
      </c>
    </row>
    <row r="49" customFormat="false" ht="13.5" hidden="false" customHeight="true" outlineLevel="0" collapsed="false">
      <c r="A49" s="104" t="s">
        <v>20</v>
      </c>
      <c r="B49" s="124" t="n">
        <v>2020</v>
      </c>
      <c r="C49" s="105" t="n">
        <v>37.38</v>
      </c>
      <c r="D49" s="106" t="n">
        <v>33.93</v>
      </c>
      <c r="E49" s="107" t="n">
        <v>8.1415</v>
      </c>
      <c r="F49" s="108" t="n">
        <v>8.0446</v>
      </c>
      <c r="G49" s="84" t="n">
        <v>18168</v>
      </c>
      <c r="H49" s="109" t="n">
        <v>9.8074</v>
      </c>
      <c r="I49" s="92" t="n">
        <v>13.3</v>
      </c>
      <c r="J49" s="124" t="n">
        <v>0</v>
      </c>
      <c r="K49" s="132" t="n">
        <v>1</v>
      </c>
      <c r="L49" s="108" t="n">
        <v>73.201</v>
      </c>
      <c r="M49" s="125" t="n">
        <v>9187103</v>
      </c>
    </row>
    <row r="50" customFormat="false" ht="13.5" hidden="false" customHeight="true" outlineLevel="0" collapsed="false">
      <c r="A50" s="112" t="s">
        <v>20</v>
      </c>
      <c r="B50" s="126" t="n">
        <v>2021</v>
      </c>
      <c r="C50" s="113" t="n">
        <v>32.1</v>
      </c>
      <c r="D50" s="127" t="n">
        <v>66.87</v>
      </c>
      <c r="E50" s="115" t="n">
        <v>7.995</v>
      </c>
      <c r="F50" s="128" t="n">
        <v>8.7289</v>
      </c>
      <c r="G50" s="129" t="n">
        <v>21090</v>
      </c>
      <c r="H50" s="130" t="n">
        <v>9.9566</v>
      </c>
      <c r="I50" s="96" t="n">
        <v>13.4</v>
      </c>
      <c r="J50" s="126" t="n">
        <v>0</v>
      </c>
      <c r="K50" s="132" t="n">
        <v>1</v>
      </c>
      <c r="L50" s="116" t="n">
        <v>73.201</v>
      </c>
      <c r="M50" s="131" t="n">
        <v>9240580</v>
      </c>
    </row>
    <row r="51" customFormat="false" ht="13.5" hidden="false" customHeight="true" outlineLevel="0" collapsed="false">
      <c r="A51" s="104" t="s">
        <v>20</v>
      </c>
      <c r="B51" s="124" t="n">
        <v>2022</v>
      </c>
      <c r="C51" s="105" t="n">
        <v>28.13</v>
      </c>
      <c r="D51" s="106" t="n">
        <v>73.2</v>
      </c>
      <c r="E51" s="107" t="n">
        <v>7.8136</v>
      </c>
      <c r="F51" s="108" t="n">
        <v>8.77</v>
      </c>
      <c r="G51" s="84" t="n">
        <v>24287</v>
      </c>
      <c r="H51" s="109" t="n">
        <v>10.0977</v>
      </c>
      <c r="I51" s="92" t="n">
        <v>9.5</v>
      </c>
      <c r="J51" s="124" t="n">
        <v>0</v>
      </c>
      <c r="K51" s="124" t="n">
        <v>0</v>
      </c>
      <c r="L51" s="108" t="n">
        <v>73.201</v>
      </c>
      <c r="M51" s="125" t="n">
        <v>8794957</v>
      </c>
    </row>
    <row r="52" customFormat="false" ht="13.5" hidden="false" customHeight="true" outlineLevel="0" collapsed="false">
      <c r="A52" s="112" t="s">
        <v>20</v>
      </c>
      <c r="B52" s="126" t="n">
        <v>2023</v>
      </c>
      <c r="C52" s="113" t="n">
        <v>28.57</v>
      </c>
      <c r="D52" s="127" t="n">
        <v>0.2</v>
      </c>
      <c r="E52" s="115" t="n">
        <v>7.8292</v>
      </c>
      <c r="F52" s="128" t="n">
        <v>2.8904</v>
      </c>
      <c r="G52" s="129" t="n">
        <v>26406</v>
      </c>
      <c r="H52" s="130" t="n">
        <v>10.1813</v>
      </c>
      <c r="I52" s="96" t="n">
        <v>9.1</v>
      </c>
      <c r="J52" s="133" t="n">
        <v>1</v>
      </c>
      <c r="K52" s="126" t="n">
        <v>0</v>
      </c>
      <c r="L52" s="116" t="n">
        <v>73.201</v>
      </c>
      <c r="M52" s="131" t="n">
        <v>8794957</v>
      </c>
    </row>
    <row r="53" customFormat="false" ht="13.5" hidden="false" customHeight="true" outlineLevel="0" collapsed="false">
      <c r="A53" s="104" t="s">
        <v>21</v>
      </c>
      <c r="B53" s="124" t="n">
        <v>2016</v>
      </c>
      <c r="C53" s="105" t="n">
        <v>18.17</v>
      </c>
      <c r="D53" s="106" t="n">
        <v>6.35</v>
      </c>
      <c r="E53" s="107" t="n">
        <v>6.2934</v>
      </c>
      <c r="F53" s="108" t="n">
        <v>5.2417</v>
      </c>
      <c r="G53" s="84" t="n">
        <v>79114</v>
      </c>
      <c r="H53" s="109" t="n">
        <v>11.2786</v>
      </c>
      <c r="I53" s="92" t="n">
        <v>12.1</v>
      </c>
      <c r="J53" s="124" t="n">
        <v>0</v>
      </c>
      <c r="K53" s="124" t="n">
        <v>0</v>
      </c>
      <c r="L53" s="108" t="n">
        <v>385.4999</v>
      </c>
      <c r="M53" s="125" t="n">
        <v>2977216</v>
      </c>
    </row>
    <row r="54" customFormat="false" ht="13.5" hidden="false" customHeight="true" outlineLevel="0" collapsed="false">
      <c r="A54" s="112" t="s">
        <v>21</v>
      </c>
      <c r="B54" s="126" t="n">
        <v>2017</v>
      </c>
      <c r="C54" s="113" t="n">
        <v>13.32</v>
      </c>
      <c r="D54" s="127" t="n">
        <v>10.5</v>
      </c>
      <c r="E54" s="115" t="n">
        <v>6.0039</v>
      </c>
      <c r="F54" s="128" t="n">
        <v>5.7652</v>
      </c>
      <c r="G54" s="129" t="n">
        <v>80515</v>
      </c>
      <c r="H54" s="130" t="n">
        <v>11.2962</v>
      </c>
      <c r="I54" s="96" t="n">
        <v>13.3</v>
      </c>
      <c r="J54" s="126" t="n">
        <v>0</v>
      </c>
      <c r="K54" s="126" t="n">
        <v>0</v>
      </c>
      <c r="L54" s="116" t="n">
        <v>385.4999</v>
      </c>
      <c r="M54" s="131" t="n">
        <v>3039444</v>
      </c>
    </row>
    <row r="55" customFormat="false" ht="13.5" hidden="false" customHeight="true" outlineLevel="0" collapsed="false">
      <c r="A55" s="104" t="s">
        <v>21</v>
      </c>
      <c r="B55" s="124" t="n">
        <v>2018</v>
      </c>
      <c r="C55" s="105" t="n">
        <v>11.43</v>
      </c>
      <c r="D55" s="106" t="n">
        <v>16.81</v>
      </c>
      <c r="E55" s="107" t="n">
        <v>5.8289</v>
      </c>
      <c r="F55" s="108" t="n">
        <v>6.2146</v>
      </c>
      <c r="G55" s="84" t="n">
        <v>85661</v>
      </c>
      <c r="H55" s="109" t="n">
        <v>11.3582</v>
      </c>
      <c r="I55" s="92" t="n">
        <v>12.8</v>
      </c>
      <c r="J55" s="124" t="n">
        <v>0</v>
      </c>
      <c r="K55" s="124" t="n">
        <v>0</v>
      </c>
      <c r="L55" s="108" t="n">
        <v>385.4999</v>
      </c>
      <c r="M55" s="125" t="n">
        <v>2974703</v>
      </c>
    </row>
    <row r="56" customFormat="false" ht="13.5" hidden="false" customHeight="true" outlineLevel="0" collapsed="false">
      <c r="A56" s="112" t="s">
        <v>21</v>
      </c>
      <c r="B56" s="126" t="n">
        <v>2019</v>
      </c>
      <c r="C56" s="113" t="n">
        <v>8.85</v>
      </c>
      <c r="D56" s="127" t="n">
        <v>82.35</v>
      </c>
      <c r="E56" s="115" t="n">
        <v>5.5872</v>
      </c>
      <c r="F56" s="128" t="n">
        <v>7.8172</v>
      </c>
      <c r="G56" s="129" t="n">
        <v>90743</v>
      </c>
      <c r="H56" s="130" t="n">
        <v>11.4158</v>
      </c>
      <c r="I56" s="96" t="n">
        <v>13.4</v>
      </c>
      <c r="J56" s="126" t="n">
        <v>0</v>
      </c>
      <c r="K56" s="126" t="n">
        <v>0</v>
      </c>
      <c r="L56" s="116" t="n">
        <v>385.4999</v>
      </c>
      <c r="M56" s="131" t="n">
        <v>3015268</v>
      </c>
    </row>
    <row r="57" customFormat="false" ht="13.5" hidden="false" customHeight="true" outlineLevel="0" collapsed="false">
      <c r="A57" s="104" t="s">
        <v>21</v>
      </c>
      <c r="B57" s="124" t="n">
        <v>2020</v>
      </c>
      <c r="C57" s="105" t="n">
        <v>8.28</v>
      </c>
      <c r="D57" s="106" t="n">
        <v>165.13</v>
      </c>
      <c r="E57" s="107" t="n">
        <v>5.5334</v>
      </c>
      <c r="F57" s="108" t="n">
        <v>8.5262</v>
      </c>
      <c r="G57" s="84" t="n">
        <v>87016</v>
      </c>
      <c r="H57" s="109" t="n">
        <v>11.3738</v>
      </c>
      <c r="I57" s="92" t="n">
        <v>14.8</v>
      </c>
      <c r="J57" s="124" t="n">
        <v>0</v>
      </c>
      <c r="K57" s="132" t="n">
        <v>1</v>
      </c>
      <c r="L57" s="108" t="n">
        <v>385.4999</v>
      </c>
      <c r="M57" s="125" t="n">
        <v>3055149</v>
      </c>
    </row>
    <row r="58" customFormat="false" ht="13.5" hidden="false" customHeight="true" outlineLevel="0" collapsed="false">
      <c r="A58" s="112" t="s">
        <v>21</v>
      </c>
      <c r="B58" s="126" t="n">
        <v>2021</v>
      </c>
      <c r="C58" s="113" t="n">
        <v>6.24</v>
      </c>
      <c r="D58" s="127" t="n">
        <v>267.88</v>
      </c>
      <c r="E58" s="115" t="n">
        <v>5.2627</v>
      </c>
      <c r="F58" s="128" t="n">
        <v>9.0227</v>
      </c>
      <c r="G58" s="129" t="n">
        <v>92732</v>
      </c>
      <c r="H58" s="130" t="n">
        <v>11.4375</v>
      </c>
      <c r="I58" s="96" t="n">
        <v>14</v>
      </c>
      <c r="J58" s="126" t="n">
        <v>0</v>
      </c>
      <c r="K58" s="132" t="n">
        <v>1</v>
      </c>
      <c r="L58" s="116" t="n">
        <v>385.4999</v>
      </c>
      <c r="M58" s="131" t="n">
        <v>3094325</v>
      </c>
    </row>
    <row r="59" customFormat="false" ht="13.5" hidden="false" customHeight="true" outlineLevel="0" collapsed="false">
      <c r="A59" s="104" t="s">
        <v>21</v>
      </c>
      <c r="B59" s="124" t="n">
        <v>2022</v>
      </c>
      <c r="C59" s="105" t="n">
        <v>6.35</v>
      </c>
      <c r="D59" s="106" t="n">
        <v>385.5</v>
      </c>
      <c r="E59" s="107" t="n">
        <v>5.1874</v>
      </c>
      <c r="F59" s="108" t="n">
        <v>9.2929</v>
      </c>
      <c r="G59" s="84" t="n">
        <v>116700</v>
      </c>
      <c r="H59" s="109" t="n">
        <v>11.6674</v>
      </c>
      <c r="I59" s="92" t="n">
        <v>11.4</v>
      </c>
      <c r="J59" s="124" t="n">
        <v>0</v>
      </c>
      <c r="K59" s="124" t="n">
        <v>0</v>
      </c>
      <c r="L59" s="108" t="n">
        <v>385.4999</v>
      </c>
      <c r="M59" s="125" t="n">
        <v>2817381</v>
      </c>
    </row>
    <row r="60" customFormat="false" ht="13.5" hidden="false" customHeight="true" outlineLevel="0" collapsed="false">
      <c r="A60" s="112" t="s">
        <v>21</v>
      </c>
      <c r="B60" s="126" t="n">
        <v>2023</v>
      </c>
      <c r="C60" s="113" t="n">
        <v>4.69</v>
      </c>
      <c r="D60" s="127" t="n">
        <v>0.64</v>
      </c>
      <c r="E60" s="115" t="n">
        <v>4.8828</v>
      </c>
      <c r="F60" s="128" t="n">
        <v>2.8904</v>
      </c>
      <c r="G60" s="129" t="n">
        <v>129790</v>
      </c>
      <c r="H60" s="130" t="n">
        <v>11.7737</v>
      </c>
      <c r="I60" s="96" t="n">
        <v>9.8</v>
      </c>
      <c r="J60" s="133" t="n">
        <v>1</v>
      </c>
      <c r="K60" s="126" t="n">
        <v>0</v>
      </c>
      <c r="L60" s="116" t="n">
        <v>385.4999</v>
      </c>
      <c r="M60" s="131" t="n">
        <v>2817381</v>
      </c>
    </row>
    <row r="61" customFormat="false" ht="13.5" hidden="false" customHeight="true" outlineLevel="0" collapsed="false">
      <c r="A61" s="104" t="s">
        <v>22</v>
      </c>
      <c r="B61" s="124" t="n">
        <v>2016</v>
      </c>
      <c r="C61" s="105" t="n">
        <v>24.28</v>
      </c>
      <c r="D61" s="106" t="n">
        <v>1.01</v>
      </c>
      <c r="E61" s="107" t="n">
        <v>6.8721</v>
      </c>
      <c r="F61" s="108" t="n">
        <v>3.6889</v>
      </c>
      <c r="G61" s="84" t="n">
        <v>27497</v>
      </c>
      <c r="H61" s="109" t="n">
        <v>10.2218</v>
      </c>
      <c r="I61" s="92" t="n">
        <v>12.4</v>
      </c>
      <c r="J61" s="124" t="n">
        <v>0</v>
      </c>
      <c r="K61" s="124" t="n">
        <v>0</v>
      </c>
      <c r="L61" s="108" t="n">
        <v>78.6444</v>
      </c>
      <c r="M61" s="125" t="n">
        <v>3973697</v>
      </c>
    </row>
    <row r="62" customFormat="false" ht="13.5" hidden="false" customHeight="true" outlineLevel="0" collapsed="false">
      <c r="A62" s="112" t="s">
        <v>22</v>
      </c>
      <c r="B62" s="126" t="n">
        <v>2017</v>
      </c>
      <c r="C62" s="113" t="n">
        <v>30.72</v>
      </c>
      <c r="D62" s="127" t="n">
        <v>3.36</v>
      </c>
      <c r="E62" s="115" t="n">
        <v>7.118</v>
      </c>
      <c r="F62" s="128" t="n">
        <v>4.9053</v>
      </c>
      <c r="G62" s="129" t="n">
        <v>28235</v>
      </c>
      <c r="H62" s="130" t="n">
        <v>10.2483</v>
      </c>
      <c r="I62" s="96" t="n">
        <v>13.3</v>
      </c>
      <c r="J62" s="126" t="n">
        <v>0</v>
      </c>
      <c r="K62" s="126" t="n">
        <v>0</v>
      </c>
      <c r="L62" s="116" t="n">
        <v>78.6444</v>
      </c>
      <c r="M62" s="131" t="n">
        <v>4016356</v>
      </c>
    </row>
    <row r="63" customFormat="false" ht="13.5" hidden="false" customHeight="true" outlineLevel="0" collapsed="false">
      <c r="A63" s="104" t="s">
        <v>22</v>
      </c>
      <c r="B63" s="124" t="n">
        <v>2018</v>
      </c>
      <c r="C63" s="105" t="n">
        <v>22.28</v>
      </c>
      <c r="D63" s="106" t="n">
        <v>8.08</v>
      </c>
      <c r="E63" s="107" t="n">
        <v>6.7856</v>
      </c>
      <c r="F63" s="108" t="n">
        <v>5.7714</v>
      </c>
      <c r="G63" s="84" t="n">
        <v>34493</v>
      </c>
      <c r="H63" s="109" t="n">
        <v>10.4485</v>
      </c>
      <c r="I63" s="92" t="n">
        <v>11.7</v>
      </c>
      <c r="J63" s="124" t="n">
        <v>0</v>
      </c>
      <c r="K63" s="124" t="n">
        <v>0</v>
      </c>
      <c r="L63" s="108" t="n">
        <v>78.6444</v>
      </c>
      <c r="M63" s="125" t="n">
        <v>3972388</v>
      </c>
    </row>
    <row r="64" customFormat="false" ht="13.5" hidden="false" customHeight="true" outlineLevel="0" collapsed="false">
      <c r="A64" s="112" t="s">
        <v>22</v>
      </c>
      <c r="B64" s="126" t="n">
        <v>2019</v>
      </c>
      <c r="C64" s="113" t="n">
        <v>19.33</v>
      </c>
      <c r="D64" s="127" t="n">
        <v>16.37</v>
      </c>
      <c r="E64" s="115" t="n">
        <v>6.6554</v>
      </c>
      <c r="F64" s="128" t="n">
        <v>6.4892</v>
      </c>
      <c r="G64" s="129" t="n">
        <v>34177</v>
      </c>
      <c r="H64" s="130" t="n">
        <v>10.4393</v>
      </c>
      <c r="I64" s="96" t="n">
        <v>11.2</v>
      </c>
      <c r="J64" s="126" t="n">
        <v>0</v>
      </c>
      <c r="K64" s="126" t="n">
        <v>0</v>
      </c>
      <c r="L64" s="116" t="n">
        <v>78.6444</v>
      </c>
      <c r="M64" s="131" t="n">
        <v>4018650</v>
      </c>
    </row>
    <row r="65" customFormat="false" ht="13.5" hidden="false" customHeight="true" outlineLevel="0" collapsed="false">
      <c r="A65" s="104" t="s">
        <v>22</v>
      </c>
      <c r="B65" s="124" t="n">
        <v>2020</v>
      </c>
      <c r="C65" s="105" t="n">
        <v>22.98</v>
      </c>
      <c r="D65" s="106" t="n">
        <v>18.45</v>
      </c>
      <c r="E65" s="107" t="n">
        <v>6.8395</v>
      </c>
      <c r="F65" s="108" t="n">
        <v>6.6201</v>
      </c>
      <c r="G65" s="84" t="n">
        <v>34066</v>
      </c>
      <c r="H65" s="109" t="n">
        <v>10.4361</v>
      </c>
      <c r="I65" s="92" t="n">
        <v>12.9</v>
      </c>
      <c r="J65" s="124" t="n">
        <v>0</v>
      </c>
      <c r="K65" s="132" t="n">
        <v>1</v>
      </c>
      <c r="L65" s="108" t="n">
        <v>78.6444</v>
      </c>
      <c r="M65" s="125" t="n">
        <v>4064052</v>
      </c>
    </row>
    <row r="66" customFormat="false" ht="13.5" hidden="false" customHeight="true" outlineLevel="0" collapsed="false">
      <c r="A66" s="112" t="s">
        <v>22</v>
      </c>
      <c r="B66" s="126" t="n">
        <v>2021</v>
      </c>
      <c r="C66" s="113" t="n">
        <v>22.1</v>
      </c>
      <c r="D66" s="127" t="n">
        <v>56.47</v>
      </c>
      <c r="E66" s="115" t="n">
        <v>6.8112</v>
      </c>
      <c r="F66" s="128" t="n">
        <v>7.7493</v>
      </c>
      <c r="G66" s="129" t="n">
        <v>45354</v>
      </c>
      <c r="H66" s="130" t="n">
        <v>10.7222</v>
      </c>
      <c r="I66" s="96" t="n">
        <v>11.2</v>
      </c>
      <c r="J66" s="126" t="n">
        <v>0</v>
      </c>
      <c r="K66" s="132" t="n">
        <v>1</v>
      </c>
      <c r="L66" s="116" t="n">
        <v>78.6444</v>
      </c>
      <c r="M66" s="131" t="n">
        <v>4108508</v>
      </c>
    </row>
    <row r="67" customFormat="false" ht="13.5" hidden="false" customHeight="true" outlineLevel="0" collapsed="false">
      <c r="A67" s="104" t="s">
        <v>22</v>
      </c>
      <c r="B67" s="124" t="n">
        <v>2022</v>
      </c>
      <c r="C67" s="105" t="n">
        <v>22.43</v>
      </c>
      <c r="D67" s="106" t="n">
        <v>78.64</v>
      </c>
      <c r="E67" s="107" t="n">
        <v>6.7569</v>
      </c>
      <c r="F67" s="108" t="n">
        <v>8.0114</v>
      </c>
      <c r="G67" s="84" t="n">
        <v>47617</v>
      </c>
      <c r="H67" s="109" t="n">
        <v>10.7709</v>
      </c>
      <c r="I67" s="92" t="n">
        <v>8</v>
      </c>
      <c r="J67" s="124" t="n">
        <v>0</v>
      </c>
      <c r="K67" s="124" t="n">
        <v>0</v>
      </c>
      <c r="L67" s="108" t="n">
        <v>78.6444</v>
      </c>
      <c r="M67" s="125" t="n">
        <v>3833712</v>
      </c>
    </row>
    <row r="68" customFormat="false" ht="13.5" hidden="false" customHeight="true" outlineLevel="0" collapsed="false">
      <c r="A68" s="112" t="s">
        <v>22</v>
      </c>
      <c r="B68" s="126" t="n">
        <v>2023</v>
      </c>
      <c r="C68" s="113" t="n">
        <v>21.96</v>
      </c>
      <c r="D68" s="127" t="n">
        <v>1.02</v>
      </c>
      <c r="E68" s="115" t="n">
        <v>6.7358</v>
      </c>
      <c r="F68" s="128" t="n">
        <v>3.6636</v>
      </c>
      <c r="G68" s="129" t="n">
        <v>54733</v>
      </c>
      <c r="H68" s="130" t="n">
        <v>10.9102</v>
      </c>
      <c r="I68" s="96" t="n">
        <v>6.1</v>
      </c>
      <c r="J68" s="133" t="n">
        <v>1</v>
      </c>
      <c r="K68" s="126" t="n">
        <v>0</v>
      </c>
      <c r="L68" s="116" t="n">
        <v>78.6444</v>
      </c>
      <c r="M68" s="131" t="n">
        <v>3833712</v>
      </c>
    </row>
    <row r="69" customFormat="false" ht="13.5" hidden="false" customHeight="true" outlineLevel="0" collapsed="false">
      <c r="A69" s="104" t="s">
        <v>23</v>
      </c>
      <c r="B69" s="124" t="n">
        <v>2016</v>
      </c>
      <c r="C69" s="105" t="n">
        <v>31.86</v>
      </c>
      <c r="D69" s="106" t="n">
        <v>1.72</v>
      </c>
      <c r="E69" s="107" t="n">
        <v>7.6653</v>
      </c>
      <c r="F69" s="108" t="n">
        <v>4.7449</v>
      </c>
      <c r="G69" s="84" t="n">
        <v>27145</v>
      </c>
      <c r="H69" s="109" t="n">
        <v>10.209</v>
      </c>
      <c r="I69" s="92" t="n">
        <v>10.7</v>
      </c>
      <c r="J69" s="124" t="n">
        <v>0</v>
      </c>
      <c r="K69" s="124" t="n">
        <v>0</v>
      </c>
      <c r="L69" s="108" t="n">
        <v>412.6553</v>
      </c>
      <c r="M69" s="125" t="n">
        <v>6695855</v>
      </c>
    </row>
    <row r="70" customFormat="false" ht="13.5" hidden="false" customHeight="true" outlineLevel="0" collapsed="false">
      <c r="A70" s="112" t="s">
        <v>23</v>
      </c>
      <c r="B70" s="126" t="n">
        <v>2017</v>
      </c>
      <c r="C70" s="113" t="n">
        <v>30.39</v>
      </c>
      <c r="D70" s="127" t="n">
        <v>4.44</v>
      </c>
      <c r="E70" s="115" t="n">
        <v>7.6305</v>
      </c>
      <c r="F70" s="128" t="n">
        <v>5.7071</v>
      </c>
      <c r="G70" s="129" t="n">
        <v>28316</v>
      </c>
      <c r="H70" s="130" t="n">
        <v>10.2512</v>
      </c>
      <c r="I70" s="96" t="n">
        <v>10.7</v>
      </c>
      <c r="J70" s="126" t="n">
        <v>0</v>
      </c>
      <c r="K70" s="126" t="n">
        <v>0</v>
      </c>
      <c r="L70" s="116" t="n">
        <v>412.6553</v>
      </c>
      <c r="M70" s="131" t="n">
        <v>6778772</v>
      </c>
    </row>
    <row r="71" customFormat="false" ht="13.5" hidden="false" customHeight="true" outlineLevel="0" collapsed="false">
      <c r="A71" s="104" t="s">
        <v>23</v>
      </c>
      <c r="B71" s="124" t="n">
        <v>2018</v>
      </c>
      <c r="C71" s="105" t="n">
        <v>27.24</v>
      </c>
      <c r="D71" s="106" t="n">
        <v>8.58</v>
      </c>
      <c r="E71" s="107" t="n">
        <v>7.5417</v>
      </c>
      <c r="F71" s="108" t="n">
        <v>6.3869</v>
      </c>
      <c r="G71" s="84" t="n">
        <v>28273</v>
      </c>
      <c r="H71" s="109" t="n">
        <v>10.2497</v>
      </c>
      <c r="I71" s="92" t="n">
        <v>9.3</v>
      </c>
      <c r="J71" s="124" t="n">
        <v>0</v>
      </c>
      <c r="K71" s="124" t="n">
        <v>0</v>
      </c>
      <c r="L71" s="108" t="n">
        <v>412.6553</v>
      </c>
      <c r="M71" s="125" t="n">
        <v>6921161</v>
      </c>
    </row>
    <row r="72" customFormat="false" ht="13.5" hidden="false" customHeight="true" outlineLevel="0" collapsed="false">
      <c r="A72" s="112" t="s">
        <v>23</v>
      </c>
      <c r="B72" s="126" t="n">
        <v>2019</v>
      </c>
      <c r="C72" s="113" t="n">
        <v>21.03</v>
      </c>
      <c r="D72" s="127" t="n">
        <v>43.4</v>
      </c>
      <c r="E72" s="115" t="n">
        <v>7.2971</v>
      </c>
      <c r="F72" s="128" t="n">
        <v>8.0216</v>
      </c>
      <c r="G72" s="129" t="n">
        <v>29732</v>
      </c>
      <c r="H72" s="130" t="n">
        <v>10.3</v>
      </c>
      <c r="I72" s="96" t="n">
        <v>10.8</v>
      </c>
      <c r="J72" s="126" t="n">
        <v>0</v>
      </c>
      <c r="K72" s="126" t="n">
        <v>0</v>
      </c>
      <c r="L72" s="116" t="n">
        <v>412.6553</v>
      </c>
      <c r="M72" s="131" t="n">
        <v>7018354</v>
      </c>
    </row>
    <row r="73" customFormat="false" ht="13.5" hidden="false" customHeight="true" outlineLevel="0" collapsed="false">
      <c r="A73" s="104" t="s">
        <v>23</v>
      </c>
      <c r="B73" s="124" t="n">
        <v>2020</v>
      </c>
      <c r="C73" s="105" t="n">
        <v>19.86</v>
      </c>
      <c r="D73" s="106" t="n">
        <v>119.46</v>
      </c>
      <c r="E73" s="107" t="n">
        <v>7.2535</v>
      </c>
      <c r="F73" s="108" t="n">
        <v>9.0476</v>
      </c>
      <c r="G73" s="84" t="n">
        <v>31507</v>
      </c>
      <c r="H73" s="109" t="n">
        <v>10.358</v>
      </c>
      <c r="I73" s="92" t="n">
        <v>12.8</v>
      </c>
      <c r="J73" s="124" t="n">
        <v>0</v>
      </c>
      <c r="K73" s="132" t="n">
        <v>1</v>
      </c>
      <c r="L73" s="108" t="n">
        <v>412.6553</v>
      </c>
      <c r="M73" s="125" t="n">
        <v>7113540</v>
      </c>
    </row>
    <row r="74" customFormat="false" ht="13.5" hidden="false" customHeight="true" outlineLevel="0" collapsed="false">
      <c r="A74" s="112" t="s">
        <v>23</v>
      </c>
      <c r="B74" s="126" t="n">
        <v>2021</v>
      </c>
      <c r="C74" s="113" t="n">
        <v>14.11</v>
      </c>
      <c r="D74" s="127" t="n">
        <v>305.83</v>
      </c>
      <c r="E74" s="115" t="n">
        <v>6.9246</v>
      </c>
      <c r="F74" s="128" t="n">
        <v>10.0006</v>
      </c>
      <c r="G74" s="129" t="n">
        <v>37414</v>
      </c>
      <c r="H74" s="130" t="n">
        <v>10.5298</v>
      </c>
      <c r="I74" s="96" t="n">
        <v>11.3</v>
      </c>
      <c r="J74" s="126" t="n">
        <v>0</v>
      </c>
      <c r="K74" s="132" t="n">
        <v>1</v>
      </c>
      <c r="L74" s="116" t="n">
        <v>412.6553</v>
      </c>
      <c r="M74" s="131" t="n">
        <v>7206589</v>
      </c>
    </row>
    <row r="75" customFormat="false" ht="13.5" hidden="false" customHeight="true" outlineLevel="0" collapsed="false">
      <c r="A75" s="104" t="s">
        <v>23</v>
      </c>
      <c r="B75" s="124" t="n">
        <v>2022</v>
      </c>
      <c r="C75" s="105" t="n">
        <v>13.41</v>
      </c>
      <c r="D75" s="106" t="n">
        <v>412.66</v>
      </c>
      <c r="E75" s="107" t="n">
        <v>6.8522</v>
      </c>
      <c r="F75" s="108" t="n">
        <v>10.2791</v>
      </c>
      <c r="G75" s="84" t="n">
        <v>45148</v>
      </c>
      <c r="H75" s="109" t="n">
        <v>10.7177</v>
      </c>
      <c r="I75" s="92" t="n">
        <v>7.2</v>
      </c>
      <c r="J75" s="124" t="n">
        <v>0</v>
      </c>
      <c r="K75" s="124" t="n">
        <v>0</v>
      </c>
      <c r="L75" s="108" t="n">
        <v>412.6553</v>
      </c>
      <c r="M75" s="125" t="n">
        <v>7056495</v>
      </c>
    </row>
    <row r="76" customFormat="false" ht="13.5" hidden="false" customHeight="true" outlineLevel="0" collapsed="false">
      <c r="A76" s="112" t="s">
        <v>23</v>
      </c>
      <c r="B76" s="126" t="n">
        <v>2023</v>
      </c>
      <c r="C76" s="113" t="n">
        <v>11.9</v>
      </c>
      <c r="D76" s="127" t="n">
        <v>0.74</v>
      </c>
      <c r="E76" s="115" t="n">
        <v>6.7334</v>
      </c>
      <c r="F76" s="128" t="n">
        <v>3.9512</v>
      </c>
      <c r="G76" s="129" t="n">
        <v>47722</v>
      </c>
      <c r="H76" s="130" t="n">
        <v>10.7731</v>
      </c>
      <c r="I76" s="96" t="n">
        <v>6.2</v>
      </c>
      <c r="J76" s="133" t="n">
        <v>1</v>
      </c>
      <c r="K76" s="126" t="n">
        <v>0</v>
      </c>
      <c r="L76" s="116" t="n">
        <v>412.6553</v>
      </c>
      <c r="M76" s="131" t="n">
        <v>7056495</v>
      </c>
    </row>
    <row r="77" customFormat="false" ht="13.5" hidden="false" customHeight="true" outlineLevel="0" collapsed="false">
      <c r="A77" s="104" t="s">
        <v>24</v>
      </c>
      <c r="B77" s="124" t="n">
        <v>2016</v>
      </c>
      <c r="C77" s="105" t="n">
        <v>23.37</v>
      </c>
      <c r="D77" s="106" t="n">
        <v>0.46</v>
      </c>
      <c r="E77" s="107" t="n">
        <v>7.3933</v>
      </c>
      <c r="F77" s="108" t="n">
        <v>3.4657</v>
      </c>
      <c r="G77" s="84" t="n">
        <v>12268</v>
      </c>
      <c r="H77" s="109" t="n">
        <v>9.4147</v>
      </c>
      <c r="I77" s="92" t="n">
        <v>12.1</v>
      </c>
      <c r="J77" s="124" t="n">
        <v>0</v>
      </c>
      <c r="K77" s="124" t="n">
        <v>0</v>
      </c>
      <c r="L77" s="108" t="n">
        <v>73.5314</v>
      </c>
      <c r="M77" s="125" t="n">
        <v>6954036</v>
      </c>
    </row>
    <row r="78" customFormat="false" ht="13.5" hidden="false" customHeight="true" outlineLevel="0" collapsed="false">
      <c r="A78" s="112" t="s">
        <v>24</v>
      </c>
      <c r="B78" s="126" t="n">
        <v>2017</v>
      </c>
      <c r="C78" s="113" t="n">
        <v>21.06</v>
      </c>
      <c r="D78" s="127" t="n">
        <v>1.29</v>
      </c>
      <c r="E78" s="115" t="n">
        <v>7.2957</v>
      </c>
      <c r="F78" s="128" t="n">
        <v>4.4998</v>
      </c>
      <c r="G78" s="129" t="n">
        <v>12791</v>
      </c>
      <c r="H78" s="130" t="n">
        <v>9.4565</v>
      </c>
      <c r="I78" s="96" t="n">
        <v>14.5</v>
      </c>
      <c r="J78" s="126" t="n">
        <v>0</v>
      </c>
      <c r="K78" s="126" t="n">
        <v>0</v>
      </c>
      <c r="L78" s="116" t="n">
        <v>73.5314</v>
      </c>
      <c r="M78" s="131" t="n">
        <v>7000229</v>
      </c>
    </row>
    <row r="79" customFormat="false" ht="13.5" hidden="false" customHeight="true" outlineLevel="0" collapsed="false">
      <c r="A79" s="104" t="s">
        <v>24</v>
      </c>
      <c r="B79" s="124" t="n">
        <v>2018</v>
      </c>
      <c r="C79" s="105" t="n">
        <v>17.87</v>
      </c>
      <c r="D79" s="106" t="n">
        <v>1.68</v>
      </c>
      <c r="E79" s="107" t="n">
        <v>7.1365</v>
      </c>
      <c r="F79" s="108" t="n">
        <v>4.7707</v>
      </c>
      <c r="G79" s="84" t="n">
        <v>13956</v>
      </c>
      <c r="H79" s="109" t="n">
        <v>9.5436</v>
      </c>
      <c r="I79" s="92" t="n">
        <v>14.7</v>
      </c>
      <c r="J79" s="124" t="n">
        <v>0</v>
      </c>
      <c r="K79" s="124" t="n">
        <v>0</v>
      </c>
      <c r="L79" s="108" t="n">
        <v>73.5314</v>
      </c>
      <c r="M79" s="125" t="n">
        <v>7035055</v>
      </c>
    </row>
    <row r="80" customFormat="false" ht="13.5" hidden="false" customHeight="true" outlineLevel="0" collapsed="false">
      <c r="A80" s="112" t="s">
        <v>24</v>
      </c>
      <c r="B80" s="126" t="n">
        <v>2019</v>
      </c>
      <c r="C80" s="113" t="n">
        <v>15</v>
      </c>
      <c r="D80" s="127" t="n">
        <v>8.99</v>
      </c>
      <c r="E80" s="115" t="n">
        <v>6.967</v>
      </c>
      <c r="F80" s="128" t="n">
        <v>6.4552</v>
      </c>
      <c r="G80" s="129" t="n">
        <v>13758</v>
      </c>
      <c r="H80" s="130" t="n">
        <v>9.5294</v>
      </c>
      <c r="I80" s="96" t="n">
        <v>14.7</v>
      </c>
      <c r="J80" s="126" t="n">
        <v>0</v>
      </c>
      <c r="K80" s="126" t="n">
        <v>0</v>
      </c>
      <c r="L80" s="116" t="n">
        <v>73.5314</v>
      </c>
      <c r="M80" s="131" t="n">
        <v>7075181</v>
      </c>
    </row>
    <row r="81" customFormat="false" ht="13.5" hidden="false" customHeight="true" outlineLevel="0" collapsed="false">
      <c r="A81" s="104" t="s">
        <v>24</v>
      </c>
      <c r="B81" s="124" t="n">
        <v>2020</v>
      </c>
      <c r="C81" s="105" t="n">
        <v>20.04</v>
      </c>
      <c r="D81" s="106" t="n">
        <v>21.08</v>
      </c>
      <c r="E81" s="107" t="n">
        <v>7.2626</v>
      </c>
      <c r="F81" s="108" t="n">
        <v>7.3132</v>
      </c>
      <c r="G81" s="84" t="n">
        <v>15028</v>
      </c>
      <c r="H81" s="109" t="n">
        <v>9.6176</v>
      </c>
      <c r="I81" s="92" t="n">
        <v>16.4</v>
      </c>
      <c r="J81" s="124" t="n">
        <v>0</v>
      </c>
      <c r="K81" s="132" t="n">
        <v>1</v>
      </c>
      <c r="L81" s="108" t="n">
        <v>73.5314</v>
      </c>
      <c r="M81" s="125" t="n">
        <v>7114598</v>
      </c>
    </row>
    <row r="82" customFormat="false" ht="13.5" hidden="false" customHeight="true" outlineLevel="0" collapsed="false">
      <c r="A82" s="112" t="s">
        <v>24</v>
      </c>
      <c r="B82" s="126" t="n">
        <v>2021</v>
      </c>
      <c r="C82" s="113" t="n">
        <v>20.12</v>
      </c>
      <c r="D82" s="127" t="n">
        <v>39.87</v>
      </c>
      <c r="E82" s="115" t="n">
        <v>7.2717</v>
      </c>
      <c r="F82" s="128" t="n">
        <v>7.9558</v>
      </c>
      <c r="G82" s="129" t="n">
        <v>17472</v>
      </c>
      <c r="H82" s="130" t="n">
        <v>9.7683</v>
      </c>
      <c r="I82" s="96" t="n">
        <v>16.1</v>
      </c>
      <c r="J82" s="126" t="n">
        <v>0</v>
      </c>
      <c r="K82" s="132" t="n">
        <v>1</v>
      </c>
      <c r="L82" s="116" t="n">
        <v>73.5314</v>
      </c>
      <c r="M82" s="131" t="n">
        <v>7153262</v>
      </c>
    </row>
    <row r="83" customFormat="false" ht="13.5" hidden="false" customHeight="true" outlineLevel="0" collapsed="false">
      <c r="A83" s="104" t="s">
        <v>24</v>
      </c>
      <c r="B83" s="124" t="n">
        <v>2022</v>
      </c>
      <c r="C83" s="105" t="n">
        <v>19.51</v>
      </c>
      <c r="D83" s="106" t="n">
        <v>73.53</v>
      </c>
      <c r="E83" s="107" t="n">
        <v>7.1869</v>
      </c>
      <c r="F83" s="108" t="n">
        <v>8.5138</v>
      </c>
      <c r="G83" s="84" t="n">
        <v>20628</v>
      </c>
      <c r="H83" s="109" t="n">
        <v>9.9344</v>
      </c>
      <c r="I83" s="92" t="n">
        <v>10.5</v>
      </c>
      <c r="J83" s="124" t="n">
        <v>0</v>
      </c>
      <c r="K83" s="124" t="n">
        <v>0</v>
      </c>
      <c r="L83" s="108" t="n">
        <v>73.5314</v>
      </c>
      <c r="M83" s="125" t="n">
        <v>6776699</v>
      </c>
    </row>
    <row r="84" customFormat="false" ht="13.5" hidden="false" customHeight="true" outlineLevel="0" collapsed="false">
      <c r="A84" s="112" t="s">
        <v>24</v>
      </c>
      <c r="B84" s="126" t="n">
        <v>2023</v>
      </c>
      <c r="C84" s="113" t="n">
        <v>21.21</v>
      </c>
      <c r="D84" s="127" t="n">
        <v>0.03</v>
      </c>
      <c r="E84" s="115" t="n">
        <v>7.2703</v>
      </c>
      <c r="F84" s="128" t="n">
        <v>0.6931</v>
      </c>
      <c r="G84" s="129" t="n">
        <v>22021</v>
      </c>
      <c r="H84" s="130" t="n">
        <v>9.9997</v>
      </c>
      <c r="I84" s="96" t="n">
        <v>8.2</v>
      </c>
      <c r="J84" s="133" t="n">
        <v>1</v>
      </c>
      <c r="K84" s="126" t="n">
        <v>0</v>
      </c>
      <c r="L84" s="116" t="n">
        <v>73.5314</v>
      </c>
      <c r="M84" s="131" t="n">
        <v>6776699</v>
      </c>
    </row>
    <row r="85" customFormat="false" ht="13.5" hidden="false" customHeight="true" outlineLevel="0" collapsed="false">
      <c r="A85" s="104" t="s">
        <v>25</v>
      </c>
      <c r="B85" s="124" t="n">
        <v>2016</v>
      </c>
      <c r="C85" s="105" t="n">
        <v>15.76</v>
      </c>
      <c r="D85" s="106" t="n">
        <v>1.3</v>
      </c>
      <c r="E85" s="107" t="n">
        <v>8.1047</v>
      </c>
      <c r="F85" s="108" t="n">
        <v>5.6058</v>
      </c>
      <c r="G85" s="84" t="n">
        <v>25946</v>
      </c>
      <c r="H85" s="109" t="n">
        <v>10.1638</v>
      </c>
      <c r="I85" s="92" t="n">
        <v>11.2</v>
      </c>
      <c r="J85" s="124" t="n">
        <v>0</v>
      </c>
      <c r="K85" s="124" t="n">
        <v>0</v>
      </c>
      <c r="L85" s="108" t="n">
        <v>178.189</v>
      </c>
      <c r="M85" s="125" t="n">
        <v>20997560</v>
      </c>
    </row>
    <row r="86" customFormat="false" ht="13.5" hidden="false" customHeight="true" outlineLevel="0" collapsed="false">
      <c r="A86" s="112" t="s">
        <v>25</v>
      </c>
      <c r="B86" s="126" t="n">
        <v>2017</v>
      </c>
      <c r="C86" s="113" t="n">
        <v>14.49</v>
      </c>
      <c r="D86" s="127" t="n">
        <v>2.32</v>
      </c>
      <c r="E86" s="115" t="n">
        <v>8.0262</v>
      </c>
      <c r="F86" s="128" t="n">
        <v>6.1924</v>
      </c>
      <c r="G86" s="129" t="n">
        <v>27291</v>
      </c>
      <c r="H86" s="130" t="n">
        <v>10.2143</v>
      </c>
      <c r="I86" s="96" t="n">
        <v>12.2</v>
      </c>
      <c r="J86" s="126" t="n">
        <v>0</v>
      </c>
      <c r="K86" s="126" t="n">
        <v>0</v>
      </c>
      <c r="L86" s="116" t="n">
        <v>178.189</v>
      </c>
      <c r="M86" s="131" t="n">
        <v>21119536</v>
      </c>
    </row>
    <row r="87" customFormat="false" ht="13.5" hidden="false" customHeight="true" outlineLevel="0" collapsed="false">
      <c r="A87" s="104" t="s">
        <v>25</v>
      </c>
      <c r="B87" s="124" t="n">
        <v>2018</v>
      </c>
      <c r="C87" s="105" t="n">
        <v>10.62</v>
      </c>
      <c r="D87" s="106" t="n">
        <v>5.18</v>
      </c>
      <c r="E87" s="107" t="n">
        <v>7.7115</v>
      </c>
      <c r="F87" s="108" t="n">
        <v>6.993</v>
      </c>
      <c r="G87" s="84" t="n">
        <v>29223</v>
      </c>
      <c r="H87" s="109" t="n">
        <v>10.2827</v>
      </c>
      <c r="I87" s="92" t="n">
        <v>10.8</v>
      </c>
      <c r="J87" s="124" t="n">
        <v>0</v>
      </c>
      <c r="K87" s="124" t="n">
        <v>0</v>
      </c>
      <c r="L87" s="108" t="n">
        <v>178.189</v>
      </c>
      <c r="M87" s="125" t="n">
        <v>21040662</v>
      </c>
    </row>
    <row r="88" customFormat="false" ht="13.5" hidden="false" customHeight="true" outlineLevel="0" collapsed="false">
      <c r="A88" s="112" t="s">
        <v>25</v>
      </c>
      <c r="B88" s="126" t="n">
        <v>2019</v>
      </c>
      <c r="C88" s="113" t="n">
        <v>8.83</v>
      </c>
      <c r="D88" s="127" t="n">
        <v>31.14</v>
      </c>
      <c r="E88" s="115" t="n">
        <v>7.5332</v>
      </c>
      <c r="F88" s="128" t="n">
        <v>8.7935</v>
      </c>
      <c r="G88" s="129" t="n">
        <v>30794</v>
      </c>
      <c r="H88" s="130" t="n">
        <v>10.3351</v>
      </c>
      <c r="I88" s="96" t="n">
        <v>10.1</v>
      </c>
      <c r="J88" s="126" t="n">
        <v>0</v>
      </c>
      <c r="K88" s="126" t="n">
        <v>0</v>
      </c>
      <c r="L88" s="116" t="n">
        <v>178.189</v>
      </c>
      <c r="M88" s="131" t="n">
        <v>21168791</v>
      </c>
    </row>
    <row r="89" customFormat="false" ht="13.5" hidden="false" customHeight="true" outlineLevel="0" collapsed="false">
      <c r="A89" s="104" t="s">
        <v>25</v>
      </c>
      <c r="B89" s="124" t="n">
        <v>2020</v>
      </c>
      <c r="C89" s="105" t="n">
        <v>7.95</v>
      </c>
      <c r="D89" s="106" t="n">
        <v>47.49</v>
      </c>
      <c r="E89" s="107" t="n">
        <v>7.4337</v>
      </c>
      <c r="F89" s="108" t="n">
        <v>9.2214</v>
      </c>
      <c r="G89" s="84" t="n">
        <v>32067</v>
      </c>
      <c r="H89" s="109" t="n">
        <v>10.3756</v>
      </c>
      <c r="I89" s="92" t="n">
        <v>12.8</v>
      </c>
      <c r="J89" s="124" t="n">
        <v>0</v>
      </c>
      <c r="K89" s="132" t="n">
        <v>1</v>
      </c>
      <c r="L89" s="108" t="n">
        <v>178.189</v>
      </c>
      <c r="M89" s="125" t="n">
        <v>21292666</v>
      </c>
    </row>
    <row r="90" customFormat="false" ht="13.5" hidden="false" customHeight="true" outlineLevel="0" collapsed="false">
      <c r="A90" s="112" t="s">
        <v>25</v>
      </c>
      <c r="B90" s="126" t="n">
        <v>2021</v>
      </c>
      <c r="C90" s="113" t="n">
        <v>7.42</v>
      </c>
      <c r="D90" s="127" t="n">
        <v>111.51</v>
      </c>
      <c r="E90" s="115" t="n">
        <v>7.3702</v>
      </c>
      <c r="F90" s="128" t="n">
        <v>10.0806</v>
      </c>
      <c r="G90" s="129" t="n">
        <v>40052</v>
      </c>
      <c r="H90" s="130" t="n">
        <v>10.5979</v>
      </c>
      <c r="I90" s="96" t="n">
        <v>11.7</v>
      </c>
      <c r="J90" s="126" t="n">
        <v>0</v>
      </c>
      <c r="K90" s="132" t="n">
        <v>1</v>
      </c>
      <c r="L90" s="116" t="n">
        <v>178.189</v>
      </c>
      <c r="M90" s="131" t="n">
        <v>21411923</v>
      </c>
    </row>
    <row r="91" customFormat="false" ht="13.5" hidden="false" customHeight="true" outlineLevel="0" collapsed="false">
      <c r="A91" s="104" t="s">
        <v>25</v>
      </c>
      <c r="B91" s="124" t="n">
        <v>2022</v>
      </c>
      <c r="C91" s="105" t="n">
        <v>8.46</v>
      </c>
      <c r="D91" s="106" t="n">
        <v>178.19</v>
      </c>
      <c r="E91" s="107" t="n">
        <v>7.4599</v>
      </c>
      <c r="F91" s="108" t="n">
        <v>10.5078</v>
      </c>
      <c r="G91" s="84" t="n">
        <v>44145</v>
      </c>
      <c r="H91" s="109" t="n">
        <v>10.6952</v>
      </c>
      <c r="I91" s="92" t="n">
        <v>7.2</v>
      </c>
      <c r="J91" s="124" t="n">
        <v>0</v>
      </c>
      <c r="K91" s="124" t="n">
        <v>0</v>
      </c>
      <c r="L91" s="108" t="n">
        <v>178.189</v>
      </c>
      <c r="M91" s="125" t="n">
        <v>20539989</v>
      </c>
    </row>
    <row r="92" customFormat="false" ht="13.5" hidden="false" customHeight="true" outlineLevel="0" collapsed="false">
      <c r="A92" s="112" t="s">
        <v>25</v>
      </c>
      <c r="B92" s="126" t="n">
        <v>2023</v>
      </c>
      <c r="C92" s="113" t="n">
        <v>8.52</v>
      </c>
      <c r="D92" s="127" t="n">
        <v>0.49</v>
      </c>
      <c r="E92" s="115" t="n">
        <v>7.4668</v>
      </c>
      <c r="F92" s="128" t="n">
        <v>4.6151</v>
      </c>
      <c r="G92" s="129" t="n">
        <v>47321</v>
      </c>
      <c r="H92" s="130" t="n">
        <v>10.7647</v>
      </c>
      <c r="I92" s="96" t="n">
        <v>6.1</v>
      </c>
      <c r="J92" s="133" t="n">
        <v>1</v>
      </c>
      <c r="K92" s="126" t="n">
        <v>0</v>
      </c>
      <c r="L92" s="116" t="n">
        <v>178.189</v>
      </c>
      <c r="M92" s="131" t="n">
        <v>20539989</v>
      </c>
    </row>
    <row r="93" customFormat="false" ht="13.5" hidden="false" customHeight="true" outlineLevel="0" collapsed="false">
      <c r="A93" s="104" t="s">
        <v>26</v>
      </c>
      <c r="B93" s="124" t="n">
        <v>2016</v>
      </c>
      <c r="C93" s="105" t="n">
        <v>12.23</v>
      </c>
      <c r="D93" s="106" t="n">
        <v>4.36</v>
      </c>
      <c r="E93" s="107" t="n">
        <v>5.793</v>
      </c>
      <c r="F93" s="108" t="n">
        <v>4.7622</v>
      </c>
      <c r="G93" s="84" t="n">
        <v>34258</v>
      </c>
      <c r="H93" s="109" t="n">
        <v>10.4417</v>
      </c>
      <c r="I93" s="92" t="n">
        <v>7.7</v>
      </c>
      <c r="J93" s="124" t="n">
        <v>0</v>
      </c>
      <c r="K93" s="124" t="n">
        <v>0</v>
      </c>
      <c r="L93" s="108" t="n">
        <v>325.6786</v>
      </c>
      <c r="M93" s="125" t="n">
        <v>2682386</v>
      </c>
    </row>
    <row r="94" customFormat="false" ht="13.5" hidden="false" customHeight="true" outlineLevel="0" collapsed="false">
      <c r="A94" s="112" t="s">
        <v>26</v>
      </c>
      <c r="B94" s="126" t="n">
        <v>2017</v>
      </c>
      <c r="C94" s="113" t="n">
        <v>11.72</v>
      </c>
      <c r="D94" s="127" t="n">
        <v>7</v>
      </c>
      <c r="E94" s="115" t="n">
        <v>5.7621</v>
      </c>
      <c r="F94" s="128" t="n">
        <v>5.247</v>
      </c>
      <c r="G94" s="129" t="n">
        <v>35529</v>
      </c>
      <c r="H94" s="130" t="n">
        <v>10.4781</v>
      </c>
      <c r="I94" s="96" t="n">
        <v>8.6</v>
      </c>
      <c r="J94" s="126" t="n">
        <v>0</v>
      </c>
      <c r="K94" s="126" t="n">
        <v>0</v>
      </c>
      <c r="L94" s="116" t="n">
        <v>325.6786</v>
      </c>
      <c r="M94" s="131" t="n">
        <v>2713147</v>
      </c>
    </row>
    <row r="95" customFormat="false" ht="13.5" hidden="false" customHeight="true" outlineLevel="0" collapsed="false">
      <c r="A95" s="104" t="s">
        <v>26</v>
      </c>
      <c r="B95" s="124" t="n">
        <v>2018</v>
      </c>
      <c r="C95" s="105" t="n">
        <v>8.95</v>
      </c>
      <c r="D95" s="106" t="n">
        <v>6.8</v>
      </c>
      <c r="E95" s="107" t="n">
        <v>5.5053</v>
      </c>
      <c r="F95" s="108" t="n">
        <v>5.2311</v>
      </c>
      <c r="G95" s="84" t="n">
        <v>38926</v>
      </c>
      <c r="H95" s="109" t="n">
        <v>10.5694</v>
      </c>
      <c r="I95" s="92" t="n">
        <v>7.6</v>
      </c>
      <c r="J95" s="124" t="n">
        <v>0</v>
      </c>
      <c r="K95" s="124" t="n">
        <v>0</v>
      </c>
      <c r="L95" s="108" t="n">
        <v>325.6786</v>
      </c>
      <c r="M95" s="125" t="n">
        <v>2748023</v>
      </c>
    </row>
    <row r="96" customFormat="false" ht="13.5" hidden="false" customHeight="true" outlineLevel="0" collapsed="false">
      <c r="A96" s="112" t="s">
        <v>26</v>
      </c>
      <c r="B96" s="126" t="n">
        <v>2019</v>
      </c>
      <c r="C96" s="113" t="n">
        <v>8.31</v>
      </c>
      <c r="D96" s="127" t="n">
        <v>37.89</v>
      </c>
      <c r="E96" s="115" t="n">
        <v>5.4424</v>
      </c>
      <c r="F96" s="128" t="n">
        <v>6.9594</v>
      </c>
      <c r="G96" s="129" t="n">
        <v>38483</v>
      </c>
      <c r="H96" s="130" t="n">
        <v>10.558</v>
      </c>
      <c r="I96" s="96" t="n">
        <v>8.1</v>
      </c>
      <c r="J96" s="126" t="n">
        <v>0</v>
      </c>
      <c r="K96" s="126" t="n">
        <v>0</v>
      </c>
      <c r="L96" s="116" t="n">
        <v>325.6786</v>
      </c>
      <c r="M96" s="131" t="n">
        <v>2778986</v>
      </c>
    </row>
    <row r="97" customFormat="false" ht="13.5" hidden="false" customHeight="true" outlineLevel="0" collapsed="false">
      <c r="A97" s="104" t="s">
        <v>26</v>
      </c>
      <c r="B97" s="124" t="n">
        <v>2020</v>
      </c>
      <c r="C97" s="105" t="n">
        <v>7.65</v>
      </c>
      <c r="D97" s="106" t="n">
        <v>84.15</v>
      </c>
      <c r="E97" s="107" t="n">
        <v>5.3706</v>
      </c>
      <c r="F97" s="108" t="n">
        <v>7.7681</v>
      </c>
      <c r="G97" s="84" t="n">
        <v>43649</v>
      </c>
      <c r="H97" s="109" t="n">
        <v>10.6839</v>
      </c>
      <c r="I97" s="92" t="n">
        <v>10.2</v>
      </c>
      <c r="J97" s="124" t="n">
        <v>0</v>
      </c>
      <c r="K97" s="132" t="n">
        <v>1</v>
      </c>
      <c r="L97" s="108" t="n">
        <v>325.6786</v>
      </c>
      <c r="M97" s="125" t="n">
        <v>2809394</v>
      </c>
    </row>
    <row r="98" customFormat="false" ht="13.5" hidden="false" customHeight="true" outlineLevel="0" collapsed="false">
      <c r="A98" s="112" t="s">
        <v>26</v>
      </c>
      <c r="B98" s="126" t="n">
        <v>2021</v>
      </c>
      <c r="C98" s="113" t="n">
        <v>9.47</v>
      </c>
      <c r="D98" s="127" t="n">
        <v>167.3</v>
      </c>
      <c r="E98" s="115" t="n">
        <v>5.5947</v>
      </c>
      <c r="F98" s="128" t="n">
        <v>8.4659</v>
      </c>
      <c r="G98" s="129" t="n">
        <v>50086</v>
      </c>
      <c r="H98" s="130" t="n">
        <v>10.8215</v>
      </c>
      <c r="I98" s="96" t="n">
        <v>8.7</v>
      </c>
      <c r="J98" s="126" t="n">
        <v>0</v>
      </c>
      <c r="K98" s="132" t="n">
        <v>1</v>
      </c>
      <c r="L98" s="116" t="n">
        <v>325.6786</v>
      </c>
      <c r="M98" s="131" t="n">
        <v>2839188</v>
      </c>
    </row>
    <row r="99" customFormat="false" ht="13.5" hidden="false" customHeight="true" outlineLevel="0" collapsed="false">
      <c r="A99" s="104" t="s">
        <v>26</v>
      </c>
      <c r="B99" s="124" t="n">
        <v>2022</v>
      </c>
      <c r="C99" s="105" t="n">
        <v>9.03</v>
      </c>
      <c r="D99" s="106" t="n">
        <v>325.68</v>
      </c>
      <c r="E99" s="107" t="n">
        <v>5.5175</v>
      </c>
      <c r="F99" s="108" t="n">
        <v>9.1026</v>
      </c>
      <c r="G99" s="84" t="n">
        <v>60358</v>
      </c>
      <c r="H99" s="109" t="n">
        <v>11.008</v>
      </c>
      <c r="I99" s="92" t="n">
        <v>5</v>
      </c>
      <c r="J99" s="124" t="n">
        <v>0</v>
      </c>
      <c r="K99" s="124" t="n">
        <v>0</v>
      </c>
      <c r="L99" s="108" t="n">
        <v>325.6786</v>
      </c>
      <c r="M99" s="125" t="n">
        <v>2757013</v>
      </c>
    </row>
    <row r="100" customFormat="false" ht="13.5" hidden="false" customHeight="true" outlineLevel="0" collapsed="false">
      <c r="A100" s="112" t="s">
        <v>26</v>
      </c>
      <c r="B100" s="126" t="n">
        <v>2023</v>
      </c>
      <c r="C100" s="113" t="n">
        <v>8.23</v>
      </c>
      <c r="D100" s="127" t="n">
        <v>0.65</v>
      </c>
      <c r="E100" s="115" t="n">
        <v>5.425</v>
      </c>
      <c r="F100" s="128" t="n">
        <v>2.8904</v>
      </c>
      <c r="G100" s="129" t="n">
        <v>66885</v>
      </c>
      <c r="H100" s="130" t="n">
        <v>11.1107</v>
      </c>
      <c r="I100" s="96" t="n">
        <v>4.2</v>
      </c>
      <c r="J100" s="133" t="n">
        <v>1</v>
      </c>
      <c r="K100" s="126" t="n">
        <v>0</v>
      </c>
      <c r="L100" s="116" t="n">
        <v>325.6786</v>
      </c>
      <c r="M100" s="131" t="n">
        <v>2757013</v>
      </c>
    </row>
    <row r="101" customFormat="false" ht="13.5" hidden="false" customHeight="true" outlineLevel="0" collapsed="false">
      <c r="A101" s="104" t="s">
        <v>27</v>
      </c>
      <c r="B101" s="124" t="n">
        <v>2016</v>
      </c>
      <c r="C101" s="105" t="n">
        <v>22.9</v>
      </c>
      <c r="D101" s="106" t="n">
        <v>4.33</v>
      </c>
      <c r="E101" s="107" t="n">
        <v>6.6294</v>
      </c>
      <c r="F101" s="108" t="n">
        <v>4.9628</v>
      </c>
      <c r="G101" s="84" t="n">
        <v>37477</v>
      </c>
      <c r="H101" s="109" t="n">
        <v>10.5315</v>
      </c>
      <c r="I101" s="92" t="n">
        <v>9.5</v>
      </c>
      <c r="J101" s="124" t="n">
        <v>0</v>
      </c>
      <c r="K101" s="124" t="n">
        <v>0</v>
      </c>
      <c r="L101" s="108" t="n">
        <v>362.7569</v>
      </c>
      <c r="M101" s="125" t="n">
        <v>3305531</v>
      </c>
    </row>
    <row r="102" customFormat="false" ht="13.5" hidden="false" customHeight="true" outlineLevel="0" collapsed="false">
      <c r="A102" s="112" t="s">
        <v>27</v>
      </c>
      <c r="B102" s="126" t="n">
        <v>2017</v>
      </c>
      <c r="C102" s="113" t="n">
        <v>20.18</v>
      </c>
      <c r="D102" s="127" t="n">
        <v>6.76</v>
      </c>
      <c r="E102" s="115" t="n">
        <v>6.5147</v>
      </c>
      <c r="F102" s="128" t="n">
        <v>5.4205</v>
      </c>
      <c r="G102" s="129" t="n">
        <v>37926</v>
      </c>
      <c r="H102" s="130" t="n">
        <v>10.5434</v>
      </c>
      <c r="I102" s="96" t="n">
        <v>9.1</v>
      </c>
      <c r="J102" s="126" t="n">
        <v>0</v>
      </c>
      <c r="K102" s="126" t="n">
        <v>0</v>
      </c>
      <c r="L102" s="116" t="n">
        <v>362.7569</v>
      </c>
      <c r="M102" s="131" t="n">
        <v>3344544</v>
      </c>
    </row>
    <row r="103" customFormat="false" ht="13.5" hidden="false" customHeight="true" outlineLevel="0" collapsed="false">
      <c r="A103" s="104" t="s">
        <v>27</v>
      </c>
      <c r="B103" s="124" t="n">
        <v>2018</v>
      </c>
      <c r="C103" s="105" t="n">
        <v>16.33</v>
      </c>
      <c r="D103" s="106" t="n">
        <v>9.44</v>
      </c>
      <c r="E103" s="107" t="n">
        <v>6.3315</v>
      </c>
      <c r="F103" s="108" t="n">
        <v>5.7838</v>
      </c>
      <c r="G103" s="84" t="n">
        <v>39931</v>
      </c>
      <c r="H103" s="109" t="n">
        <v>10.5949</v>
      </c>
      <c r="I103" s="92" t="n">
        <v>8</v>
      </c>
      <c r="J103" s="124" t="n">
        <v>0</v>
      </c>
      <c r="K103" s="124" t="n">
        <v>0</v>
      </c>
      <c r="L103" s="108" t="n">
        <v>362.7569</v>
      </c>
      <c r="M103" s="125" t="n">
        <v>3441998</v>
      </c>
    </row>
    <row r="104" customFormat="false" ht="13.5" hidden="false" customHeight="true" outlineLevel="0" collapsed="false">
      <c r="A104" s="112" t="s">
        <v>27</v>
      </c>
      <c r="B104" s="126" t="n">
        <v>2019</v>
      </c>
      <c r="C104" s="113" t="n">
        <v>14.52</v>
      </c>
      <c r="D104" s="127" t="n">
        <v>47.47</v>
      </c>
      <c r="E104" s="115" t="n">
        <v>6.2265</v>
      </c>
      <c r="F104" s="128" t="n">
        <v>7.411</v>
      </c>
      <c r="G104" s="129" t="n">
        <v>40787</v>
      </c>
      <c r="H104" s="130" t="n">
        <v>10.6161</v>
      </c>
      <c r="I104" s="96" t="n">
        <v>8</v>
      </c>
      <c r="J104" s="126" t="n">
        <v>0</v>
      </c>
      <c r="K104" s="126" t="n">
        <v>0</v>
      </c>
      <c r="L104" s="116" t="n">
        <v>362.7569</v>
      </c>
      <c r="M104" s="131" t="n">
        <v>3484466</v>
      </c>
    </row>
    <row r="105" customFormat="false" ht="13.5" hidden="false" customHeight="true" outlineLevel="0" collapsed="false">
      <c r="A105" s="104" t="s">
        <v>27</v>
      </c>
      <c r="B105" s="124" t="n">
        <v>2020</v>
      </c>
      <c r="C105" s="105" t="n">
        <v>16.85</v>
      </c>
      <c r="D105" s="106" t="n">
        <v>64.35</v>
      </c>
      <c r="E105" s="107" t="n">
        <v>6.3869</v>
      </c>
      <c r="F105" s="108" t="n">
        <v>7.7271</v>
      </c>
      <c r="G105" s="84" t="n">
        <v>50663</v>
      </c>
      <c r="H105" s="109" t="n">
        <v>10.833</v>
      </c>
      <c r="I105" s="92" t="n">
        <v>9.9</v>
      </c>
      <c r="J105" s="124" t="n">
        <v>0</v>
      </c>
      <c r="K105" s="132" t="n">
        <v>1</v>
      </c>
      <c r="L105" s="108" t="n">
        <v>362.7569</v>
      </c>
      <c r="M105" s="125" t="n">
        <v>3526220</v>
      </c>
    </row>
    <row r="106" customFormat="false" ht="13.5" hidden="false" customHeight="true" outlineLevel="0" collapsed="false">
      <c r="A106" s="112" t="s">
        <v>27</v>
      </c>
      <c r="B106" s="126" t="n">
        <v>2021</v>
      </c>
      <c r="C106" s="113" t="n">
        <v>15.59</v>
      </c>
      <c r="D106" s="127" t="n">
        <v>169.43</v>
      </c>
      <c r="E106" s="115" t="n">
        <v>6.3208</v>
      </c>
      <c r="F106" s="128" t="n">
        <v>8.7068</v>
      </c>
      <c r="G106" s="129" t="n">
        <v>65426</v>
      </c>
      <c r="H106" s="130" t="n">
        <v>11.0887</v>
      </c>
      <c r="I106" s="96" t="n">
        <v>8</v>
      </c>
      <c r="J106" s="126" t="n">
        <v>0</v>
      </c>
      <c r="K106" s="132" t="n">
        <v>1</v>
      </c>
      <c r="L106" s="116" t="n">
        <v>362.7569</v>
      </c>
      <c r="M106" s="131" t="n">
        <v>3567234</v>
      </c>
    </row>
    <row r="107" customFormat="false" ht="13.5" hidden="false" customHeight="true" outlineLevel="0" collapsed="false">
      <c r="A107" s="104" t="s">
        <v>27</v>
      </c>
      <c r="B107" s="124" t="n">
        <v>2022</v>
      </c>
      <c r="C107" s="105" t="n">
        <v>18.48</v>
      </c>
      <c r="D107" s="106" t="n">
        <v>362.76</v>
      </c>
      <c r="E107" s="107" t="n">
        <v>6.5162</v>
      </c>
      <c r="F107" s="108" t="n">
        <v>9.4934</v>
      </c>
      <c r="G107" s="84" t="n">
        <v>69842</v>
      </c>
      <c r="H107" s="109" t="n">
        <v>11.154</v>
      </c>
      <c r="I107" s="92" t="n">
        <v>4.3</v>
      </c>
      <c r="J107" s="124" t="n">
        <v>0</v>
      </c>
      <c r="K107" s="124" t="n">
        <v>0</v>
      </c>
      <c r="L107" s="108" t="n">
        <v>362.7569</v>
      </c>
      <c r="M107" s="125" t="n">
        <v>3658649</v>
      </c>
    </row>
    <row r="108" customFormat="false" ht="13.5" hidden="false" customHeight="true" outlineLevel="0" collapsed="false">
      <c r="A108" s="112" t="s">
        <v>27</v>
      </c>
      <c r="B108" s="126" t="n">
        <v>2023</v>
      </c>
      <c r="C108" s="113" t="n">
        <v>20.91</v>
      </c>
      <c r="D108" s="127" t="n">
        <v>1.01</v>
      </c>
      <c r="E108" s="115" t="n">
        <v>6.6399</v>
      </c>
      <c r="F108" s="128" t="n">
        <v>3.6109</v>
      </c>
      <c r="G108" s="129" t="n">
        <v>74620</v>
      </c>
      <c r="H108" s="130" t="n">
        <v>11.2202</v>
      </c>
      <c r="I108" s="96" t="n">
        <v>3.5</v>
      </c>
      <c r="J108" s="133" t="n">
        <v>1</v>
      </c>
      <c r="K108" s="126" t="n">
        <v>0</v>
      </c>
      <c r="L108" s="116" t="n">
        <v>362.7569</v>
      </c>
      <c r="M108" s="131" t="n">
        <v>3658649</v>
      </c>
    </row>
    <row r="109" customFormat="false" ht="13.5" hidden="false" customHeight="true" outlineLevel="0" collapsed="false">
      <c r="A109" s="104" t="s">
        <v>28</v>
      </c>
      <c r="B109" s="124" t="n">
        <v>2016</v>
      </c>
      <c r="C109" s="105" t="n">
        <v>37</v>
      </c>
      <c r="D109" s="106" t="n">
        <v>0.62</v>
      </c>
      <c r="E109" s="107" t="n">
        <v>8.0265</v>
      </c>
      <c r="F109" s="108" t="n">
        <v>3.9318</v>
      </c>
      <c r="G109" s="84" t="n">
        <v>16694</v>
      </c>
      <c r="H109" s="109" t="n">
        <v>9.7228</v>
      </c>
      <c r="I109" s="92" t="n">
        <v>11.2</v>
      </c>
      <c r="J109" s="124" t="n">
        <v>0</v>
      </c>
      <c r="K109" s="124" t="n">
        <v>0</v>
      </c>
      <c r="L109" s="108" t="n">
        <v>75.4668</v>
      </c>
      <c r="M109" s="125" t="n">
        <v>8272724</v>
      </c>
    </row>
    <row r="110" customFormat="false" ht="13.5" hidden="false" customHeight="true" outlineLevel="0" collapsed="false">
      <c r="A110" s="112" t="s">
        <v>28</v>
      </c>
      <c r="B110" s="126" t="n">
        <v>2017</v>
      </c>
      <c r="C110" s="113" t="n">
        <v>40.37</v>
      </c>
      <c r="D110" s="127" t="n">
        <v>0.81</v>
      </c>
      <c r="E110" s="115" t="n">
        <v>8.125</v>
      </c>
      <c r="F110" s="128" t="n">
        <v>4.2195</v>
      </c>
      <c r="G110" s="129" t="n">
        <v>18554</v>
      </c>
      <c r="H110" s="130" t="n">
        <v>9.8284</v>
      </c>
      <c r="I110" s="96" t="n">
        <v>11.8</v>
      </c>
      <c r="J110" s="126" t="n">
        <v>0</v>
      </c>
      <c r="K110" s="126" t="n">
        <v>0</v>
      </c>
      <c r="L110" s="116" t="n">
        <v>75.4668</v>
      </c>
      <c r="M110" s="131" t="n">
        <v>8366628</v>
      </c>
    </row>
    <row r="111" customFormat="false" ht="13.5" hidden="false" customHeight="true" outlineLevel="0" collapsed="false">
      <c r="A111" s="104" t="s">
        <v>28</v>
      </c>
      <c r="B111" s="124" t="n">
        <v>2018</v>
      </c>
      <c r="C111" s="105" t="n">
        <v>40.65</v>
      </c>
      <c r="D111" s="106" t="n">
        <v>0.99</v>
      </c>
      <c r="E111" s="107" t="n">
        <v>8.1493</v>
      </c>
      <c r="F111" s="108" t="n">
        <v>4.4308</v>
      </c>
      <c r="G111" s="84" t="n">
        <v>18952</v>
      </c>
      <c r="H111" s="109" t="n">
        <v>9.8497</v>
      </c>
      <c r="I111" s="92" t="n">
        <v>11.2</v>
      </c>
      <c r="J111" s="124" t="n">
        <v>0</v>
      </c>
      <c r="K111" s="124" t="n">
        <v>0</v>
      </c>
      <c r="L111" s="108" t="n">
        <v>75.4668</v>
      </c>
      <c r="M111" s="125" t="n">
        <v>8513497</v>
      </c>
    </row>
    <row r="112" customFormat="false" ht="13.5" hidden="false" customHeight="true" outlineLevel="0" collapsed="false">
      <c r="A112" s="112" t="s">
        <v>28</v>
      </c>
      <c r="B112" s="126" t="n">
        <v>2019</v>
      </c>
      <c r="C112" s="113" t="n">
        <v>27.39</v>
      </c>
      <c r="D112" s="127" t="n">
        <v>5.7</v>
      </c>
      <c r="E112" s="115" t="n">
        <v>7.7647</v>
      </c>
      <c r="F112" s="128" t="n">
        <v>6.1944</v>
      </c>
      <c r="G112" s="129" t="n">
        <v>20735</v>
      </c>
      <c r="H112" s="130" t="n">
        <v>9.9396</v>
      </c>
      <c r="I112" s="96" t="n">
        <v>10.8</v>
      </c>
      <c r="J112" s="126" t="n">
        <v>0</v>
      </c>
      <c r="K112" s="126" t="n">
        <v>0</v>
      </c>
      <c r="L112" s="116" t="n">
        <v>75.4668</v>
      </c>
      <c r="M112" s="131" t="n">
        <v>8602865</v>
      </c>
    </row>
    <row r="113" customFormat="false" ht="13.5" hidden="false" customHeight="true" outlineLevel="0" collapsed="false">
      <c r="A113" s="104" t="s">
        <v>28</v>
      </c>
      <c r="B113" s="124" t="n">
        <v>2020</v>
      </c>
      <c r="C113" s="105" t="n">
        <v>21.85</v>
      </c>
      <c r="D113" s="106" t="n">
        <v>22.29</v>
      </c>
      <c r="E113" s="107" t="n">
        <v>7.5491</v>
      </c>
      <c r="F113" s="108" t="n">
        <v>7.5689</v>
      </c>
      <c r="G113" s="84" t="n">
        <v>24847</v>
      </c>
      <c r="H113" s="109" t="n">
        <v>10.1205</v>
      </c>
      <c r="I113" s="92" t="n">
        <v>10.5</v>
      </c>
      <c r="J113" s="124" t="n">
        <v>0</v>
      </c>
      <c r="K113" s="132" t="n">
        <v>1</v>
      </c>
      <c r="L113" s="108" t="n">
        <v>75.4668</v>
      </c>
      <c r="M113" s="125" t="n">
        <v>8690745</v>
      </c>
    </row>
    <row r="114" customFormat="false" ht="13.5" hidden="false" customHeight="true" outlineLevel="0" collapsed="false">
      <c r="A114" s="112" t="s">
        <v>28</v>
      </c>
      <c r="B114" s="126" t="n">
        <v>2021</v>
      </c>
      <c r="C114" s="113" t="n">
        <v>22.32</v>
      </c>
      <c r="D114" s="127" t="n">
        <v>46.17</v>
      </c>
      <c r="E114" s="115" t="n">
        <v>7.5802</v>
      </c>
      <c r="F114" s="128" t="n">
        <v>8.307</v>
      </c>
      <c r="G114" s="129" t="n">
        <v>29953</v>
      </c>
      <c r="H114" s="130" t="n">
        <v>10.3074</v>
      </c>
      <c r="I114" s="96" t="n">
        <v>12.5</v>
      </c>
      <c r="J114" s="126" t="n">
        <v>0</v>
      </c>
      <c r="K114" s="132" t="n">
        <v>1</v>
      </c>
      <c r="L114" s="116" t="n">
        <v>75.4668</v>
      </c>
      <c r="M114" s="131" t="n">
        <v>8777124</v>
      </c>
    </row>
    <row r="115" customFormat="false" ht="13.5" hidden="false" customHeight="true" outlineLevel="0" collapsed="false">
      <c r="A115" s="104" t="s">
        <v>28</v>
      </c>
      <c r="B115" s="124" t="n">
        <v>2022</v>
      </c>
      <c r="C115" s="105" t="n">
        <v>25.11</v>
      </c>
      <c r="D115" s="106" t="n">
        <v>75.47</v>
      </c>
      <c r="E115" s="107" t="n">
        <v>7.6202</v>
      </c>
      <c r="F115" s="108" t="n">
        <v>8.7206</v>
      </c>
      <c r="G115" s="84" t="n">
        <v>29081</v>
      </c>
      <c r="H115" s="109" t="n">
        <v>10.2778</v>
      </c>
      <c r="I115" s="92" t="n">
        <v>9.6</v>
      </c>
      <c r="J115" s="124" t="n">
        <v>0</v>
      </c>
      <c r="K115" s="124" t="n">
        <v>0</v>
      </c>
      <c r="L115" s="108" t="n">
        <v>75.4668</v>
      </c>
      <c r="M115" s="125" t="n">
        <v>8120131</v>
      </c>
    </row>
    <row r="116" customFormat="false" ht="13.5" hidden="false" customHeight="true" outlineLevel="0" collapsed="false">
      <c r="A116" s="112" t="s">
        <v>28</v>
      </c>
      <c r="B116" s="126" t="n">
        <v>2023</v>
      </c>
      <c r="C116" s="113" t="n">
        <v>21.74</v>
      </c>
      <c r="D116" s="127" t="n">
        <v>0.22</v>
      </c>
      <c r="E116" s="115" t="n">
        <v>7.4759</v>
      </c>
      <c r="F116" s="128" t="n">
        <v>2.8904</v>
      </c>
      <c r="G116" s="129" t="n">
        <v>31348</v>
      </c>
      <c r="H116" s="130" t="n">
        <v>10.3529</v>
      </c>
      <c r="I116" s="96" t="n">
        <v>8.5</v>
      </c>
      <c r="J116" s="133" t="n">
        <v>1</v>
      </c>
      <c r="K116" s="126" t="n">
        <v>0</v>
      </c>
      <c r="L116" s="116" t="n">
        <v>75.4668</v>
      </c>
      <c r="M116" s="131" t="n">
        <v>8120131</v>
      </c>
    </row>
    <row r="117" customFormat="false" ht="13.5" hidden="false" customHeight="true" outlineLevel="0" collapsed="false">
      <c r="A117" s="104" t="s">
        <v>29</v>
      </c>
      <c r="B117" s="124" t="n">
        <v>2016</v>
      </c>
      <c r="C117" s="105" t="n">
        <v>26.6</v>
      </c>
      <c r="D117" s="106" t="n">
        <v>1.5</v>
      </c>
      <c r="E117" s="107" t="n">
        <v>6.9698</v>
      </c>
      <c r="F117" s="108" t="n">
        <v>4.0943</v>
      </c>
      <c r="G117" s="84" t="n">
        <v>14778</v>
      </c>
      <c r="H117" s="109" t="n">
        <v>9.6009</v>
      </c>
      <c r="I117" s="92" t="n">
        <v>11.6</v>
      </c>
      <c r="J117" s="124" t="n">
        <v>0</v>
      </c>
      <c r="K117" s="124" t="n">
        <v>0</v>
      </c>
      <c r="L117" s="108" t="n">
        <v>93.391</v>
      </c>
      <c r="M117" s="125" t="n">
        <v>3999415</v>
      </c>
    </row>
    <row r="118" customFormat="false" ht="13.5" hidden="false" customHeight="true" outlineLevel="0" collapsed="false">
      <c r="A118" s="112" t="s">
        <v>29</v>
      </c>
      <c r="B118" s="126" t="n">
        <v>2017</v>
      </c>
      <c r="C118" s="113" t="n">
        <v>25.79</v>
      </c>
      <c r="D118" s="127" t="n">
        <v>2.58</v>
      </c>
      <c r="E118" s="115" t="n">
        <v>6.9451</v>
      </c>
      <c r="F118" s="128" t="n">
        <v>4.6444</v>
      </c>
      <c r="G118" s="129" t="n">
        <v>15500</v>
      </c>
      <c r="H118" s="130" t="n">
        <v>9.6486</v>
      </c>
      <c r="I118" s="96" t="n">
        <v>11.5</v>
      </c>
      <c r="J118" s="126" t="n">
        <v>0</v>
      </c>
      <c r="K118" s="126" t="n">
        <v>0</v>
      </c>
      <c r="L118" s="116" t="n">
        <v>93.391</v>
      </c>
      <c r="M118" s="131" t="n">
        <v>4025558</v>
      </c>
    </row>
    <row r="119" customFormat="false" ht="13.5" hidden="false" customHeight="true" outlineLevel="0" collapsed="false">
      <c r="A119" s="104" t="s">
        <v>29</v>
      </c>
      <c r="B119" s="124" t="n">
        <v>2018</v>
      </c>
      <c r="C119" s="105" t="n">
        <v>24.9</v>
      </c>
      <c r="D119" s="106" t="n">
        <v>15.99</v>
      </c>
      <c r="E119" s="107" t="n">
        <v>6.9027</v>
      </c>
      <c r="F119" s="108" t="n">
        <v>6.4599</v>
      </c>
      <c r="G119" s="84" t="n">
        <v>16108</v>
      </c>
      <c r="H119" s="109" t="n">
        <v>9.687</v>
      </c>
      <c r="I119" s="92" t="n">
        <v>11.3</v>
      </c>
      <c r="J119" s="124" t="n">
        <v>0</v>
      </c>
      <c r="K119" s="124" t="n">
        <v>0</v>
      </c>
      <c r="L119" s="108" t="n">
        <v>93.391</v>
      </c>
      <c r="M119" s="125" t="n">
        <v>3996496</v>
      </c>
    </row>
    <row r="120" customFormat="false" ht="13.5" hidden="false" customHeight="true" outlineLevel="0" collapsed="false">
      <c r="A120" s="112" t="s">
        <v>29</v>
      </c>
      <c r="B120" s="126" t="n">
        <v>2019</v>
      </c>
      <c r="C120" s="113" t="n">
        <v>17.87</v>
      </c>
      <c r="D120" s="127" t="n">
        <v>29.34</v>
      </c>
      <c r="E120" s="115" t="n">
        <v>6.5765</v>
      </c>
      <c r="F120" s="128" t="n">
        <v>7.0724</v>
      </c>
      <c r="G120" s="129" t="n">
        <v>16920</v>
      </c>
      <c r="H120" s="130" t="n">
        <v>9.7362</v>
      </c>
      <c r="I120" s="96" t="n">
        <v>11.8</v>
      </c>
      <c r="J120" s="126" t="n">
        <v>0</v>
      </c>
      <c r="K120" s="126" t="n">
        <v>0</v>
      </c>
      <c r="L120" s="116" t="n">
        <v>93.391</v>
      </c>
      <c r="M120" s="131" t="n">
        <v>4018127</v>
      </c>
    </row>
    <row r="121" customFormat="false" ht="13.5" hidden="false" customHeight="true" outlineLevel="0" collapsed="false">
      <c r="A121" s="104" t="s">
        <v>29</v>
      </c>
      <c r="B121" s="124" t="n">
        <v>2020</v>
      </c>
      <c r="C121" s="105" t="n">
        <v>22.85</v>
      </c>
      <c r="D121" s="106" t="n">
        <v>40.5</v>
      </c>
      <c r="E121" s="107" t="n">
        <v>6.8276</v>
      </c>
      <c r="F121" s="108" t="n">
        <v>7.4</v>
      </c>
      <c r="G121" s="84" t="n">
        <v>17402</v>
      </c>
      <c r="H121" s="109" t="n">
        <v>9.7643</v>
      </c>
      <c r="I121" s="92" t="n">
        <v>15</v>
      </c>
      <c r="J121" s="124" t="n">
        <v>0</v>
      </c>
      <c r="K121" s="132" t="n">
        <v>1</v>
      </c>
      <c r="L121" s="108" t="n">
        <v>93.391</v>
      </c>
      <c r="M121" s="125" t="n">
        <v>4039277</v>
      </c>
    </row>
    <row r="122" customFormat="false" ht="13.5" hidden="false" customHeight="true" outlineLevel="0" collapsed="false">
      <c r="A122" s="112" t="s">
        <v>29</v>
      </c>
      <c r="B122" s="126" t="n">
        <v>2021</v>
      </c>
      <c r="C122" s="113" t="n">
        <v>23.15</v>
      </c>
      <c r="D122" s="127" t="n">
        <v>71.75</v>
      </c>
      <c r="E122" s="115" t="n">
        <v>6.8459</v>
      </c>
      <c r="F122" s="128" t="n">
        <v>7.9769</v>
      </c>
      <c r="G122" s="129" t="n">
        <v>19082</v>
      </c>
      <c r="H122" s="130" t="n">
        <v>9.8565</v>
      </c>
      <c r="I122" s="96" t="n">
        <v>14.8</v>
      </c>
      <c r="J122" s="126" t="n">
        <v>0</v>
      </c>
      <c r="K122" s="132" t="n">
        <v>1</v>
      </c>
      <c r="L122" s="116" t="n">
        <v>93.391</v>
      </c>
      <c r="M122" s="131" t="n">
        <v>4059905</v>
      </c>
    </row>
    <row r="123" customFormat="false" ht="13.5" hidden="false" customHeight="true" outlineLevel="0" collapsed="false">
      <c r="A123" s="104" t="s">
        <v>29</v>
      </c>
      <c r="B123" s="124" t="n">
        <v>2022</v>
      </c>
      <c r="C123" s="105" t="n">
        <v>22.69</v>
      </c>
      <c r="D123" s="106" t="n">
        <v>93.39</v>
      </c>
      <c r="E123" s="107" t="n">
        <v>6.8046</v>
      </c>
      <c r="F123" s="108" t="n">
        <v>8.2193</v>
      </c>
      <c r="G123" s="84" t="n">
        <v>21661</v>
      </c>
      <c r="H123" s="109" t="n">
        <v>9.9833</v>
      </c>
      <c r="I123" s="92" t="n">
        <v>12</v>
      </c>
      <c r="J123" s="124" t="n">
        <v>0</v>
      </c>
      <c r="K123" s="124" t="n">
        <v>0</v>
      </c>
      <c r="L123" s="108" t="n">
        <v>93.391</v>
      </c>
      <c r="M123" s="125" t="n">
        <v>3974687</v>
      </c>
    </row>
    <row r="124" customFormat="false" ht="13.5" hidden="false" customHeight="true" outlineLevel="0" collapsed="false">
      <c r="A124" s="112" t="s">
        <v>29</v>
      </c>
      <c r="B124" s="126" t="n">
        <v>2023</v>
      </c>
      <c r="C124" s="113" t="n">
        <v>22.54</v>
      </c>
      <c r="D124" s="127" t="n">
        <v>0.1</v>
      </c>
      <c r="E124" s="115" t="n">
        <v>6.7979</v>
      </c>
      <c r="F124" s="128" t="n">
        <v>1.3863</v>
      </c>
      <c r="G124" s="129" t="n">
        <v>24395</v>
      </c>
      <c r="H124" s="130" t="n">
        <v>10.1021</v>
      </c>
      <c r="I124" s="96" t="n">
        <v>10.1</v>
      </c>
      <c r="J124" s="133" t="n">
        <v>1</v>
      </c>
      <c r="K124" s="126" t="n">
        <v>0</v>
      </c>
      <c r="L124" s="116" t="n">
        <v>93.391</v>
      </c>
      <c r="M124" s="131" t="n">
        <v>3974687</v>
      </c>
    </row>
    <row r="125" customFormat="false" ht="13.5" hidden="false" customHeight="true" outlineLevel="0" collapsed="false">
      <c r="A125" s="104" t="s">
        <v>30</v>
      </c>
      <c r="B125" s="124" t="n">
        <v>2016</v>
      </c>
      <c r="C125" s="105" t="n">
        <v>37.09</v>
      </c>
      <c r="D125" s="106" t="n">
        <v>1.33</v>
      </c>
      <c r="E125" s="107" t="n">
        <v>8.1577</v>
      </c>
      <c r="F125" s="108" t="n">
        <v>4.8283</v>
      </c>
      <c r="G125" s="84" t="n">
        <v>17783</v>
      </c>
      <c r="H125" s="109" t="n">
        <v>9.786</v>
      </c>
      <c r="I125" s="92" t="n">
        <v>14.8</v>
      </c>
      <c r="J125" s="124" t="n">
        <v>0</v>
      </c>
      <c r="K125" s="124" t="n">
        <v>0</v>
      </c>
      <c r="L125" s="108" t="n">
        <v>91.6996</v>
      </c>
      <c r="M125" s="125" t="n">
        <v>9410336</v>
      </c>
    </row>
    <row r="126" customFormat="false" ht="13.5" hidden="false" customHeight="true" outlineLevel="0" collapsed="false">
      <c r="A126" s="112" t="s">
        <v>30</v>
      </c>
      <c r="B126" s="126" t="n">
        <v>2017</v>
      </c>
      <c r="C126" s="113" t="n">
        <v>47.45</v>
      </c>
      <c r="D126" s="127" t="n">
        <v>3.02</v>
      </c>
      <c r="E126" s="115" t="n">
        <v>8.4107</v>
      </c>
      <c r="F126" s="128" t="n">
        <v>5.656</v>
      </c>
      <c r="G126" s="129" t="n">
        <v>19171</v>
      </c>
      <c r="H126" s="130" t="n">
        <v>9.8611</v>
      </c>
      <c r="I126" s="96" t="n">
        <v>17.9</v>
      </c>
      <c r="J126" s="126" t="n">
        <v>0</v>
      </c>
      <c r="K126" s="126" t="n">
        <v>0</v>
      </c>
      <c r="L126" s="116" t="n">
        <v>91.6996</v>
      </c>
      <c r="M126" s="131" t="n">
        <v>9473266</v>
      </c>
    </row>
    <row r="127" customFormat="false" ht="13.5" hidden="false" customHeight="true" outlineLevel="0" collapsed="false">
      <c r="A127" s="104" t="s">
        <v>30</v>
      </c>
      <c r="B127" s="124" t="n">
        <v>2018</v>
      </c>
      <c r="C127" s="105" t="n">
        <v>35.57</v>
      </c>
      <c r="D127" s="106" t="n">
        <v>4.04</v>
      </c>
      <c r="E127" s="107" t="n">
        <v>8.125</v>
      </c>
      <c r="F127" s="108" t="n">
        <v>5.9506</v>
      </c>
      <c r="G127" s="84" t="n">
        <v>19624</v>
      </c>
      <c r="H127" s="109" t="n">
        <v>9.8845</v>
      </c>
      <c r="I127" s="92" t="n">
        <v>16.9</v>
      </c>
      <c r="J127" s="124" t="n">
        <v>0</v>
      </c>
      <c r="K127" s="124" t="n">
        <v>0</v>
      </c>
      <c r="L127" s="108" t="n">
        <v>91.6996</v>
      </c>
      <c r="M127" s="125" t="n">
        <v>9496294</v>
      </c>
    </row>
    <row r="128" customFormat="false" ht="13.5" hidden="false" customHeight="true" outlineLevel="0" collapsed="false">
      <c r="A128" s="112" t="s">
        <v>30</v>
      </c>
      <c r="B128" s="126" t="n">
        <v>2019</v>
      </c>
      <c r="C128" s="113" t="n">
        <v>28.24</v>
      </c>
      <c r="D128" s="127" t="n">
        <v>20.59</v>
      </c>
      <c r="E128" s="115" t="n">
        <v>7.9006</v>
      </c>
      <c r="F128" s="128" t="n">
        <v>7.5848</v>
      </c>
      <c r="G128" s="129" t="n">
        <v>20702</v>
      </c>
      <c r="H128" s="130" t="n">
        <v>9.938</v>
      </c>
      <c r="I128" s="96" t="n">
        <v>15.7</v>
      </c>
      <c r="J128" s="126" t="n">
        <v>0</v>
      </c>
      <c r="K128" s="126" t="n">
        <v>0</v>
      </c>
      <c r="L128" s="116" t="n">
        <v>91.6996</v>
      </c>
      <c r="M128" s="131" t="n">
        <v>9557071</v>
      </c>
    </row>
    <row r="129" customFormat="false" ht="13.5" hidden="false" customHeight="true" outlineLevel="0" collapsed="false">
      <c r="A129" s="104" t="s">
        <v>30</v>
      </c>
      <c r="B129" s="124" t="n">
        <v>2020</v>
      </c>
      <c r="C129" s="105" t="n">
        <v>31.85</v>
      </c>
      <c r="D129" s="106" t="n">
        <v>39.15</v>
      </c>
      <c r="E129" s="107" t="n">
        <v>8.0272</v>
      </c>
      <c r="F129" s="108" t="n">
        <v>8.2335</v>
      </c>
      <c r="G129" s="84" t="n">
        <v>20101</v>
      </c>
      <c r="H129" s="109" t="n">
        <v>9.9085</v>
      </c>
      <c r="I129" s="92" t="n">
        <v>17.2</v>
      </c>
      <c r="J129" s="124" t="n">
        <v>0</v>
      </c>
      <c r="K129" s="132" t="n">
        <v>1</v>
      </c>
      <c r="L129" s="108" t="n">
        <v>91.6996</v>
      </c>
      <c r="M129" s="125" t="n">
        <v>9616621</v>
      </c>
    </row>
    <row r="130" customFormat="false" ht="13.5" hidden="false" customHeight="true" outlineLevel="0" collapsed="false">
      <c r="A130" s="112" t="s">
        <v>30</v>
      </c>
      <c r="B130" s="126" t="n">
        <v>2021</v>
      </c>
      <c r="C130" s="113" t="n">
        <v>28.87</v>
      </c>
      <c r="D130" s="127" t="n">
        <v>65.48</v>
      </c>
      <c r="E130" s="115" t="n">
        <v>7.9349</v>
      </c>
      <c r="F130" s="128" t="n">
        <v>8.7538</v>
      </c>
      <c r="G130" s="129" t="n">
        <v>22824</v>
      </c>
      <c r="H130" s="130" t="n">
        <v>10.0355</v>
      </c>
      <c r="I130" s="96" t="n">
        <v>19.9</v>
      </c>
      <c r="J130" s="126" t="n">
        <v>0</v>
      </c>
      <c r="K130" s="132" t="n">
        <v>1</v>
      </c>
      <c r="L130" s="116" t="n">
        <v>91.6996</v>
      </c>
      <c r="M130" s="131" t="n">
        <v>9674793</v>
      </c>
    </row>
    <row r="131" customFormat="false" ht="13.5" hidden="false" customHeight="true" outlineLevel="0" collapsed="false">
      <c r="A131" s="104" t="s">
        <v>30</v>
      </c>
      <c r="B131" s="124" t="n">
        <v>2022</v>
      </c>
      <c r="C131" s="105" t="n">
        <v>30.53</v>
      </c>
      <c r="D131" s="106" t="n">
        <v>91.7</v>
      </c>
      <c r="E131" s="107" t="n">
        <v>7.9252</v>
      </c>
      <c r="F131" s="108" t="n">
        <v>9.0249</v>
      </c>
      <c r="G131" s="84" t="n">
        <v>27137</v>
      </c>
      <c r="H131" s="109" t="n">
        <v>10.2086</v>
      </c>
      <c r="I131" s="92" t="n">
        <v>14.2</v>
      </c>
      <c r="J131" s="124" t="n">
        <v>0</v>
      </c>
      <c r="K131" s="124" t="n">
        <v>0</v>
      </c>
      <c r="L131" s="108" t="n">
        <v>91.6996</v>
      </c>
      <c r="M131" s="125" t="n">
        <v>9058931</v>
      </c>
    </row>
    <row r="132" customFormat="false" ht="13.5" hidden="false" customHeight="true" outlineLevel="0" collapsed="false">
      <c r="A132" s="112" t="s">
        <v>30</v>
      </c>
      <c r="B132" s="126" t="n">
        <v>2023</v>
      </c>
      <c r="C132" s="113" t="n">
        <v>33.08</v>
      </c>
      <c r="D132" s="127" t="n">
        <v>0.11</v>
      </c>
      <c r="E132" s="115" t="n">
        <v>8.0054</v>
      </c>
      <c r="F132" s="128" t="n">
        <v>2.3026</v>
      </c>
      <c r="G132" s="129" t="n">
        <v>29857</v>
      </c>
      <c r="H132" s="130" t="n">
        <v>10.3042</v>
      </c>
      <c r="I132" s="96" t="n">
        <v>13.4</v>
      </c>
      <c r="J132" s="133" t="n">
        <v>1</v>
      </c>
      <c r="K132" s="126" t="n">
        <v>0</v>
      </c>
      <c r="L132" s="116" t="n">
        <v>91.6996</v>
      </c>
      <c r="M132" s="131" t="n">
        <v>9058931</v>
      </c>
    </row>
    <row r="133" customFormat="false" ht="13.5" hidden="false" customHeight="true" outlineLevel="0" collapsed="false">
      <c r="A133" s="104" t="s">
        <v>31</v>
      </c>
      <c r="B133" s="124" t="n">
        <v>2016</v>
      </c>
      <c r="C133" s="105" t="n">
        <v>13.95</v>
      </c>
      <c r="D133" s="106" t="n">
        <v>1.15</v>
      </c>
      <c r="E133" s="107" t="n">
        <v>6.1048</v>
      </c>
      <c r="F133" s="108" t="n">
        <v>3.6109</v>
      </c>
      <c r="G133" s="84" t="n">
        <v>12894</v>
      </c>
      <c r="H133" s="109" t="n">
        <v>9.4645</v>
      </c>
      <c r="I133" s="92" t="n">
        <v>9.6</v>
      </c>
      <c r="J133" s="124" t="n">
        <v>0</v>
      </c>
      <c r="K133" s="124" t="n">
        <v>0</v>
      </c>
      <c r="L133" s="108" t="n">
        <v>43.5926</v>
      </c>
      <c r="M133" s="125" t="n">
        <v>3212180</v>
      </c>
    </row>
    <row r="134" customFormat="false" ht="13.5" hidden="false" customHeight="true" outlineLevel="0" collapsed="false">
      <c r="A134" s="112" t="s">
        <v>31</v>
      </c>
      <c r="B134" s="126" t="n">
        <v>2017</v>
      </c>
      <c r="C134" s="113" t="n">
        <v>11.96</v>
      </c>
      <c r="D134" s="127" t="n">
        <v>3.48</v>
      </c>
      <c r="E134" s="115" t="n">
        <v>5.9532</v>
      </c>
      <c r="F134" s="128" t="n">
        <v>4.7185</v>
      </c>
      <c r="G134" s="129" t="n">
        <v>14092</v>
      </c>
      <c r="H134" s="130" t="n">
        <v>9.5534</v>
      </c>
      <c r="I134" s="96" t="n">
        <v>13</v>
      </c>
      <c r="J134" s="126" t="n">
        <v>0</v>
      </c>
      <c r="K134" s="126" t="n">
        <v>0</v>
      </c>
      <c r="L134" s="116" t="n">
        <v>43.5926</v>
      </c>
      <c r="M134" s="131" t="n">
        <v>3219257</v>
      </c>
    </row>
    <row r="135" customFormat="false" ht="13.5" hidden="false" customHeight="true" outlineLevel="0" collapsed="false">
      <c r="A135" s="104" t="s">
        <v>31</v>
      </c>
      <c r="B135" s="124" t="n">
        <v>2018</v>
      </c>
      <c r="C135" s="105" t="n">
        <v>11.79</v>
      </c>
      <c r="D135" s="106" t="n">
        <v>3.95</v>
      </c>
      <c r="E135" s="107" t="n">
        <v>5.9532</v>
      </c>
      <c r="F135" s="108" t="n">
        <v>4.8598</v>
      </c>
      <c r="G135" s="84" t="n">
        <v>15432</v>
      </c>
      <c r="H135" s="109" t="n">
        <v>9.6442</v>
      </c>
      <c r="I135" s="92" t="n">
        <v>12.9</v>
      </c>
      <c r="J135" s="124" t="n">
        <v>0</v>
      </c>
      <c r="K135" s="124" t="n">
        <v>0</v>
      </c>
      <c r="L135" s="108" t="n">
        <v>43.5926</v>
      </c>
      <c r="M135" s="125" t="n">
        <v>3264531</v>
      </c>
    </row>
    <row r="136" customFormat="false" ht="13.5" hidden="false" customHeight="true" outlineLevel="0" collapsed="false">
      <c r="A136" s="112" t="s">
        <v>31</v>
      </c>
      <c r="B136" s="126" t="n">
        <v>2019</v>
      </c>
      <c r="C136" s="113" t="n">
        <v>10.75</v>
      </c>
      <c r="D136" s="127" t="n">
        <v>8.8</v>
      </c>
      <c r="E136" s="115" t="n">
        <v>5.8636</v>
      </c>
      <c r="F136" s="128" t="n">
        <v>5.663</v>
      </c>
      <c r="G136" s="129" t="n">
        <v>16125</v>
      </c>
      <c r="H136" s="130" t="n">
        <v>9.6881</v>
      </c>
      <c r="I136" s="96" t="n">
        <v>13</v>
      </c>
      <c r="J136" s="126" t="n">
        <v>0</v>
      </c>
      <c r="K136" s="126" t="n">
        <v>0</v>
      </c>
      <c r="L136" s="116" t="n">
        <v>43.5926</v>
      </c>
      <c r="M136" s="131" t="n">
        <v>3273227</v>
      </c>
    </row>
    <row r="137" customFormat="false" ht="13.5" hidden="false" customHeight="true" outlineLevel="0" collapsed="false">
      <c r="A137" s="104" t="s">
        <v>31</v>
      </c>
      <c r="B137" s="124" t="n">
        <v>2020</v>
      </c>
      <c r="C137" s="105" t="n">
        <v>13.9</v>
      </c>
      <c r="D137" s="106" t="n">
        <v>14.08</v>
      </c>
      <c r="E137" s="107" t="n">
        <v>6.1225</v>
      </c>
      <c r="F137" s="108" t="n">
        <v>6.1356</v>
      </c>
      <c r="G137" s="84" t="n">
        <v>17185</v>
      </c>
      <c r="H137" s="109" t="n">
        <v>9.7518</v>
      </c>
      <c r="I137" s="92" t="n">
        <v>13.3</v>
      </c>
      <c r="J137" s="124" t="n">
        <v>0</v>
      </c>
      <c r="K137" s="132" t="n">
        <v>1</v>
      </c>
      <c r="L137" s="108" t="n">
        <v>43.5926</v>
      </c>
      <c r="M137" s="125" t="n">
        <v>3281480</v>
      </c>
    </row>
    <row r="138" customFormat="false" ht="13.5" hidden="false" customHeight="true" outlineLevel="0" collapsed="false">
      <c r="A138" s="112" t="s">
        <v>31</v>
      </c>
      <c r="B138" s="126" t="n">
        <v>2021</v>
      </c>
      <c r="C138" s="113" t="n">
        <v>17.21</v>
      </c>
      <c r="D138" s="127" t="n">
        <v>36.76</v>
      </c>
      <c r="E138" s="115" t="n">
        <v>6.3386</v>
      </c>
      <c r="F138" s="128" t="n">
        <v>7.0975</v>
      </c>
      <c r="G138" s="129" t="n">
        <v>19466</v>
      </c>
      <c r="H138" s="130" t="n">
        <v>9.8764</v>
      </c>
      <c r="I138" s="96" t="n">
        <v>13.6</v>
      </c>
      <c r="J138" s="126" t="n">
        <v>0</v>
      </c>
      <c r="K138" s="132" t="n">
        <v>1</v>
      </c>
      <c r="L138" s="116" t="n">
        <v>43.5926</v>
      </c>
      <c r="M138" s="131" t="n">
        <v>3289290</v>
      </c>
    </row>
    <row r="139" customFormat="false" ht="13.5" hidden="false" customHeight="true" outlineLevel="0" collapsed="false">
      <c r="A139" s="104" t="s">
        <v>31</v>
      </c>
      <c r="B139" s="124" t="n">
        <v>2022</v>
      </c>
      <c r="C139" s="105" t="n">
        <v>18.56</v>
      </c>
      <c r="D139" s="106" t="n">
        <v>43.59</v>
      </c>
      <c r="E139" s="107" t="n">
        <v>6.4085</v>
      </c>
      <c r="F139" s="108" t="n">
        <v>7.2626</v>
      </c>
      <c r="G139" s="84" t="n">
        <v>22265</v>
      </c>
      <c r="H139" s="109" t="n">
        <v>10.0108</v>
      </c>
      <c r="I139" s="92" t="n">
        <v>10.2</v>
      </c>
      <c r="J139" s="124" t="n">
        <v>0</v>
      </c>
      <c r="K139" s="124" t="n">
        <v>0</v>
      </c>
      <c r="L139" s="108" t="n">
        <v>43.5926</v>
      </c>
      <c r="M139" s="125" t="n">
        <v>3271199</v>
      </c>
    </row>
    <row r="140" customFormat="false" ht="13.5" hidden="false" customHeight="true" outlineLevel="0" collapsed="false">
      <c r="A140" s="112" t="s">
        <v>31</v>
      </c>
      <c r="B140" s="126" t="n">
        <v>2023</v>
      </c>
      <c r="C140" s="113" t="n">
        <v>15.99</v>
      </c>
      <c r="D140" s="127" t="n">
        <v>0</v>
      </c>
      <c r="E140" s="115" t="n">
        <v>6.2596</v>
      </c>
      <c r="F140" s="128"/>
      <c r="G140" s="129" t="n">
        <v>24736</v>
      </c>
      <c r="H140" s="130" t="n">
        <v>10.116</v>
      </c>
      <c r="I140" s="96" t="n">
        <v>10.3</v>
      </c>
      <c r="J140" s="133" t="n">
        <v>1</v>
      </c>
      <c r="K140" s="126" t="n">
        <v>0</v>
      </c>
      <c r="L140" s="116" t="n">
        <v>43.5926</v>
      </c>
      <c r="M140" s="131" t="n">
        <v>3271199</v>
      </c>
    </row>
    <row r="141" customFormat="false" ht="13.5" hidden="false" customHeight="true" outlineLevel="0" collapsed="false">
      <c r="A141" s="104" t="s">
        <v>32</v>
      </c>
      <c r="B141" s="124" t="n">
        <v>2016</v>
      </c>
      <c r="C141" s="105" t="n">
        <v>18.95</v>
      </c>
      <c r="D141" s="106" t="n">
        <v>3.43</v>
      </c>
      <c r="E141" s="107" t="n">
        <v>7.6643</v>
      </c>
      <c r="F141" s="108" t="n">
        <v>5.9558</v>
      </c>
      <c r="G141" s="84" t="n">
        <v>35740</v>
      </c>
      <c r="H141" s="109" t="n">
        <v>10.484</v>
      </c>
      <c r="I141" s="92" t="n">
        <v>8.3</v>
      </c>
      <c r="J141" s="124" t="n">
        <v>0</v>
      </c>
      <c r="K141" s="124" t="n">
        <v>0</v>
      </c>
      <c r="L141" s="108" t="n">
        <v>339.4679</v>
      </c>
      <c r="M141" s="125" t="n">
        <v>11242720</v>
      </c>
    </row>
    <row r="142" customFormat="false" ht="13.5" hidden="false" customHeight="true" outlineLevel="0" collapsed="false">
      <c r="A142" s="112" t="s">
        <v>32</v>
      </c>
      <c r="B142" s="126" t="n">
        <v>2017</v>
      </c>
      <c r="C142" s="113" t="n">
        <v>16.23</v>
      </c>
      <c r="D142" s="127" t="n">
        <v>4.58</v>
      </c>
      <c r="E142" s="115" t="n">
        <v>7.5159</v>
      </c>
      <c r="F142" s="128" t="n">
        <v>6.25</v>
      </c>
      <c r="G142" s="129" t="n">
        <v>37232</v>
      </c>
      <c r="H142" s="130" t="n">
        <v>10.5249</v>
      </c>
      <c r="I142" s="96" t="n">
        <v>9</v>
      </c>
      <c r="J142" s="126" t="n">
        <v>0</v>
      </c>
      <c r="K142" s="126" t="n">
        <v>0</v>
      </c>
      <c r="L142" s="116" t="n">
        <v>339.4679</v>
      </c>
      <c r="M142" s="131" t="n">
        <v>11320892</v>
      </c>
    </row>
    <row r="143" customFormat="false" ht="13.5" hidden="false" customHeight="true" outlineLevel="0" collapsed="false">
      <c r="A143" s="104" t="s">
        <v>32</v>
      </c>
      <c r="B143" s="124" t="n">
        <v>2018</v>
      </c>
      <c r="C143" s="105" t="n">
        <v>13.45</v>
      </c>
      <c r="D143" s="106" t="n">
        <v>10.91</v>
      </c>
      <c r="E143" s="107" t="n">
        <v>7.3304</v>
      </c>
      <c r="F143" s="108" t="n">
        <v>7.1213</v>
      </c>
      <c r="G143" s="84" t="n">
        <v>38773</v>
      </c>
      <c r="H143" s="109" t="n">
        <v>10.5655</v>
      </c>
      <c r="I143" s="92" t="n">
        <v>8.8</v>
      </c>
      <c r="J143" s="124" t="n">
        <v>0</v>
      </c>
      <c r="K143" s="124" t="n">
        <v>0</v>
      </c>
      <c r="L143" s="108" t="n">
        <v>339.4679</v>
      </c>
      <c r="M143" s="125" t="n">
        <v>11348937</v>
      </c>
    </row>
    <row r="144" customFormat="false" ht="13.5" hidden="false" customHeight="true" outlineLevel="0" collapsed="false">
      <c r="A144" s="112" t="s">
        <v>32</v>
      </c>
      <c r="B144" s="126" t="n">
        <v>2019</v>
      </c>
      <c r="C144" s="113" t="n">
        <v>10.34</v>
      </c>
      <c r="D144" s="127" t="n">
        <v>64.2</v>
      </c>
      <c r="E144" s="115" t="n">
        <v>7.075</v>
      </c>
      <c r="F144" s="128" t="n">
        <v>8.9012</v>
      </c>
      <c r="G144" s="129" t="n">
        <v>40789</v>
      </c>
      <c r="H144" s="130" t="n">
        <v>10.6162</v>
      </c>
      <c r="I144" s="96" t="n">
        <v>8.7</v>
      </c>
      <c r="J144" s="126" t="n">
        <v>0</v>
      </c>
      <c r="K144" s="126" t="n">
        <v>0</v>
      </c>
      <c r="L144" s="116" t="n">
        <v>339.4679</v>
      </c>
      <c r="M144" s="131" t="n">
        <v>11433957</v>
      </c>
    </row>
    <row r="145" customFormat="false" ht="13.5" hidden="false" customHeight="true" outlineLevel="0" collapsed="false">
      <c r="A145" s="104" t="s">
        <v>32</v>
      </c>
      <c r="B145" s="124" t="n">
        <v>2020</v>
      </c>
      <c r="C145" s="105" t="n">
        <v>12.22</v>
      </c>
      <c r="D145" s="106" t="n">
        <v>150.15</v>
      </c>
      <c r="E145" s="107" t="n">
        <v>7.2492</v>
      </c>
      <c r="F145" s="108" t="n">
        <v>9.758</v>
      </c>
      <c r="G145" s="84" t="n">
        <v>42367</v>
      </c>
      <c r="H145" s="109" t="n">
        <v>10.6541</v>
      </c>
      <c r="I145" s="92" t="n">
        <v>9.6</v>
      </c>
      <c r="J145" s="124" t="n">
        <v>0</v>
      </c>
      <c r="K145" s="132" t="n">
        <v>1</v>
      </c>
      <c r="L145" s="108" t="n">
        <v>339.4679</v>
      </c>
      <c r="M145" s="125" t="n">
        <v>11516840</v>
      </c>
    </row>
    <row r="146" customFormat="false" ht="13.5" hidden="false" customHeight="true" outlineLevel="0" collapsed="false">
      <c r="A146" s="112" t="s">
        <v>32</v>
      </c>
      <c r="B146" s="126" t="n">
        <v>2021</v>
      </c>
      <c r="C146" s="113" t="n">
        <v>11.87</v>
      </c>
      <c r="D146" s="127" t="n">
        <v>131.36</v>
      </c>
      <c r="E146" s="115" t="n">
        <v>7.2277</v>
      </c>
      <c r="F146" s="128" t="n">
        <v>9.6314</v>
      </c>
      <c r="G146" s="129" t="n">
        <v>47422</v>
      </c>
      <c r="H146" s="130" t="n">
        <v>10.7668</v>
      </c>
      <c r="I146" s="96" t="n">
        <v>8.4</v>
      </c>
      <c r="J146" s="126" t="n">
        <v>0</v>
      </c>
      <c r="K146" s="132" t="n">
        <v>1</v>
      </c>
      <c r="L146" s="116" t="n">
        <v>339.4679</v>
      </c>
      <c r="M146" s="131" t="n">
        <v>11597484</v>
      </c>
    </row>
    <row r="147" customFormat="false" ht="13.5" hidden="false" customHeight="true" outlineLevel="0" collapsed="false">
      <c r="A147" s="104" t="s">
        <v>32</v>
      </c>
      <c r="B147" s="124" t="n">
        <v>2022</v>
      </c>
      <c r="C147" s="105" t="n">
        <v>13.12</v>
      </c>
      <c r="D147" s="106" t="n">
        <v>339.47</v>
      </c>
      <c r="E147" s="107" t="n">
        <v>7.3139</v>
      </c>
      <c r="F147" s="108" t="n">
        <v>10.5675</v>
      </c>
      <c r="G147" s="84" t="n">
        <v>53704</v>
      </c>
      <c r="H147" s="109" t="n">
        <v>10.8912</v>
      </c>
      <c r="I147" s="92" t="n">
        <v>5.8</v>
      </c>
      <c r="J147" s="124" t="n">
        <v>0</v>
      </c>
      <c r="K147" s="124" t="n">
        <v>0</v>
      </c>
      <c r="L147" s="108" t="n">
        <v>339.4679</v>
      </c>
      <c r="M147" s="125" t="n">
        <v>11444380</v>
      </c>
    </row>
    <row r="148" customFormat="false" ht="13.5" hidden="false" customHeight="true" outlineLevel="0" collapsed="false">
      <c r="A148" s="112" t="s">
        <v>32</v>
      </c>
      <c r="B148" s="126" t="n">
        <v>2023</v>
      </c>
      <c r="C148" s="113" t="n">
        <v>10.94</v>
      </c>
      <c r="D148" s="127" t="n">
        <v>0.76</v>
      </c>
      <c r="E148" s="115" t="n">
        <v>7.1325</v>
      </c>
      <c r="F148" s="128" t="n">
        <v>4.4659</v>
      </c>
      <c r="G148" s="129" t="n">
        <v>58624</v>
      </c>
      <c r="H148" s="130" t="n">
        <v>10.9789</v>
      </c>
      <c r="I148" s="96" t="n">
        <v>4.9</v>
      </c>
      <c r="J148" s="133" t="n">
        <v>1</v>
      </c>
      <c r="K148" s="126" t="n">
        <v>0</v>
      </c>
      <c r="L148" s="116" t="n">
        <v>339.4679</v>
      </c>
      <c r="M148" s="131" t="n">
        <v>11444380</v>
      </c>
    </row>
    <row r="149" customFormat="false" ht="13.5" hidden="false" customHeight="true" outlineLevel="0" collapsed="false">
      <c r="A149" s="104" t="s">
        <v>33</v>
      </c>
      <c r="B149" s="124" t="n">
        <v>2016</v>
      </c>
      <c r="C149" s="105" t="n">
        <v>24.26</v>
      </c>
      <c r="D149" s="106" t="n">
        <v>2.4</v>
      </c>
      <c r="E149" s="107" t="n">
        <v>8.303</v>
      </c>
      <c r="F149" s="108" t="n">
        <v>5.989</v>
      </c>
      <c r="G149" s="84" t="n">
        <v>38495</v>
      </c>
      <c r="H149" s="109" t="n">
        <v>10.5583</v>
      </c>
      <c r="I149" s="92" t="n">
        <v>11.9</v>
      </c>
      <c r="J149" s="124" t="n">
        <v>0</v>
      </c>
      <c r="K149" s="124" t="n">
        <v>0</v>
      </c>
      <c r="L149" s="108" t="n">
        <v>91.5966</v>
      </c>
      <c r="M149" s="125" t="n">
        <v>16635996</v>
      </c>
    </row>
    <row r="150" customFormat="false" ht="13.5" hidden="false" customHeight="true" outlineLevel="0" collapsed="false">
      <c r="A150" s="112" t="s">
        <v>33</v>
      </c>
      <c r="B150" s="126" t="n">
        <v>2017</v>
      </c>
      <c r="C150" s="113" t="n">
        <v>26.43</v>
      </c>
      <c r="D150" s="127" t="n">
        <v>4.02</v>
      </c>
      <c r="E150" s="115" t="n">
        <v>8.3937</v>
      </c>
      <c r="F150" s="128" t="n">
        <v>6.5103</v>
      </c>
      <c r="G150" s="129" t="n">
        <v>40170</v>
      </c>
      <c r="H150" s="130" t="n">
        <v>10.6009</v>
      </c>
      <c r="I150" s="96" t="n">
        <v>15.1</v>
      </c>
      <c r="J150" s="126" t="n">
        <v>0</v>
      </c>
      <c r="K150" s="126" t="n">
        <v>0</v>
      </c>
      <c r="L150" s="116" t="n">
        <v>91.5966</v>
      </c>
      <c r="M150" s="131" t="n">
        <v>16718956</v>
      </c>
    </row>
    <row r="151" customFormat="false" ht="13.5" hidden="false" customHeight="true" outlineLevel="0" collapsed="false">
      <c r="A151" s="104" t="s">
        <v>33</v>
      </c>
      <c r="B151" s="124" t="n">
        <v>2018</v>
      </c>
      <c r="C151" s="105" t="n">
        <v>24.87</v>
      </c>
      <c r="D151" s="106" t="n">
        <v>8.63</v>
      </c>
      <c r="E151" s="107" t="n">
        <v>8.3587</v>
      </c>
      <c r="F151" s="108" t="n">
        <v>7.3005</v>
      </c>
      <c r="G151" s="84" t="n">
        <v>44223</v>
      </c>
      <c r="H151" s="109" t="n">
        <v>10.697</v>
      </c>
      <c r="I151" s="92" t="n">
        <v>15.1</v>
      </c>
      <c r="J151" s="124" t="n">
        <v>0</v>
      </c>
      <c r="K151" s="124" t="n">
        <v>0</v>
      </c>
      <c r="L151" s="108" t="n">
        <v>91.5966</v>
      </c>
      <c r="M151" s="125" t="n">
        <v>17159960</v>
      </c>
    </row>
    <row r="152" customFormat="false" ht="13.5" hidden="false" customHeight="true" outlineLevel="0" collapsed="false">
      <c r="A152" s="112" t="s">
        <v>33</v>
      </c>
      <c r="B152" s="126" t="n">
        <v>2019</v>
      </c>
      <c r="C152" s="113" t="n">
        <v>13.39</v>
      </c>
      <c r="D152" s="127" t="n">
        <v>8.7</v>
      </c>
      <c r="E152" s="115" t="n">
        <v>7.7454</v>
      </c>
      <c r="F152" s="128" t="n">
        <v>7.3146</v>
      </c>
      <c r="G152" s="129" t="n">
        <v>45174</v>
      </c>
      <c r="H152" s="130" t="n">
        <v>10.7183</v>
      </c>
      <c r="I152" s="96" t="n">
        <v>14.8</v>
      </c>
      <c r="J152" s="126" t="n">
        <v>0</v>
      </c>
      <c r="K152" s="126" t="n">
        <v>0</v>
      </c>
      <c r="L152" s="116" t="n">
        <v>91.5966</v>
      </c>
      <c r="M152" s="131" t="n">
        <v>17264943</v>
      </c>
    </row>
    <row r="153" customFormat="false" ht="13.5" hidden="false" customHeight="true" outlineLevel="0" collapsed="false">
      <c r="A153" s="104" t="s">
        <v>33</v>
      </c>
      <c r="B153" s="124" t="n">
        <v>2020</v>
      </c>
      <c r="C153" s="105" t="n">
        <v>15.8</v>
      </c>
      <c r="D153" s="106" t="n">
        <v>18.55</v>
      </c>
      <c r="E153" s="107" t="n">
        <v>7.9172</v>
      </c>
      <c r="F153" s="108" t="n">
        <v>8.0774</v>
      </c>
      <c r="G153" s="84" t="n">
        <v>43408</v>
      </c>
      <c r="H153" s="109" t="n">
        <v>10.6784</v>
      </c>
      <c r="I153" s="92" t="n">
        <v>17.6</v>
      </c>
      <c r="J153" s="124" t="n">
        <v>0</v>
      </c>
      <c r="K153" s="132" t="n">
        <v>1</v>
      </c>
      <c r="L153" s="108" t="n">
        <v>91.5966</v>
      </c>
      <c r="M153" s="125" t="n">
        <v>17366189</v>
      </c>
    </row>
    <row r="154" customFormat="false" ht="13.5" hidden="false" customHeight="true" outlineLevel="0" collapsed="false">
      <c r="A154" s="112" t="s">
        <v>33</v>
      </c>
      <c r="B154" s="126" t="n">
        <v>2021</v>
      </c>
      <c r="C154" s="113" t="n">
        <v>17.18</v>
      </c>
      <c r="D154" s="127" t="n">
        <v>45.56</v>
      </c>
      <c r="E154" s="115" t="n">
        <v>8.0064</v>
      </c>
      <c r="F154" s="128" t="n">
        <v>8.9818</v>
      </c>
      <c r="G154" s="129" t="n">
        <v>54360</v>
      </c>
      <c r="H154" s="130" t="n">
        <v>10.9034</v>
      </c>
      <c r="I154" s="96" t="n">
        <v>16.9</v>
      </c>
      <c r="J154" s="126" t="n">
        <v>0</v>
      </c>
      <c r="K154" s="132" t="n">
        <v>1</v>
      </c>
      <c r="L154" s="116" t="n">
        <v>91.5966</v>
      </c>
      <c r="M154" s="131" t="n">
        <v>17463349</v>
      </c>
    </row>
    <row r="155" customFormat="false" ht="13.5" hidden="false" customHeight="true" outlineLevel="0" collapsed="false">
      <c r="A155" s="104" t="s">
        <v>33</v>
      </c>
      <c r="B155" s="124" t="n">
        <v>2022</v>
      </c>
      <c r="C155" s="105" t="n">
        <v>15.19</v>
      </c>
      <c r="D155" s="106" t="n">
        <v>91.6</v>
      </c>
      <c r="E155" s="107" t="n">
        <v>7.7989</v>
      </c>
      <c r="F155" s="108" t="n">
        <v>9.596</v>
      </c>
      <c r="G155" s="84" t="n">
        <v>71847</v>
      </c>
      <c r="H155" s="109" t="n">
        <v>11.1823</v>
      </c>
      <c r="I155" s="92" t="n">
        <v>12.8</v>
      </c>
      <c r="J155" s="124" t="n">
        <v>0</v>
      </c>
      <c r="K155" s="124" t="n">
        <v>0</v>
      </c>
      <c r="L155" s="108" t="n">
        <v>91.5966</v>
      </c>
      <c r="M155" s="125" t="n">
        <v>16055174</v>
      </c>
    </row>
    <row r="156" customFormat="false" ht="13.5" hidden="false" customHeight="true" outlineLevel="0" collapsed="false">
      <c r="A156" s="112" t="s">
        <v>33</v>
      </c>
      <c r="B156" s="126" t="n">
        <v>2023</v>
      </c>
      <c r="C156" s="113" t="n">
        <v>16.09</v>
      </c>
      <c r="D156" s="127" t="n">
        <v>0.31</v>
      </c>
      <c r="E156" s="115" t="n">
        <v>7.8571</v>
      </c>
      <c r="F156" s="128" t="n">
        <v>3.8918</v>
      </c>
      <c r="G156" s="129" t="n">
        <v>73053</v>
      </c>
      <c r="H156" s="130" t="n">
        <v>11.1989</v>
      </c>
      <c r="I156" s="96" t="n">
        <v>11</v>
      </c>
      <c r="J156" s="133" t="n">
        <v>1</v>
      </c>
      <c r="K156" s="126" t="n">
        <v>0</v>
      </c>
      <c r="L156" s="116" t="n">
        <v>91.5966</v>
      </c>
      <c r="M156" s="131" t="n">
        <v>16055174</v>
      </c>
    </row>
    <row r="157" customFormat="false" ht="13.5" hidden="false" customHeight="true" outlineLevel="0" collapsed="false">
      <c r="A157" s="104" t="s">
        <v>34</v>
      </c>
      <c r="B157" s="124" t="n">
        <v>2016</v>
      </c>
      <c r="C157" s="105" t="n">
        <v>45.12</v>
      </c>
      <c r="D157" s="106" t="n">
        <v>2.19</v>
      </c>
      <c r="E157" s="107" t="n">
        <v>7.3576</v>
      </c>
      <c r="F157" s="108" t="n">
        <v>4.3307</v>
      </c>
      <c r="G157" s="84" t="n">
        <v>17173</v>
      </c>
      <c r="H157" s="109" t="n">
        <v>9.7511</v>
      </c>
      <c r="I157" s="92" t="n">
        <v>14.3</v>
      </c>
      <c r="J157" s="124" t="n">
        <v>0</v>
      </c>
      <c r="K157" s="124" t="n">
        <v>0</v>
      </c>
      <c r="L157" s="108" t="n">
        <v>74.9986</v>
      </c>
      <c r="M157" s="125" t="n">
        <v>3474998</v>
      </c>
    </row>
    <row r="158" customFormat="false" ht="13.5" hidden="false" customHeight="true" outlineLevel="0" collapsed="false">
      <c r="A158" s="112" t="s">
        <v>34</v>
      </c>
      <c r="B158" s="126" t="n">
        <v>2017</v>
      </c>
      <c r="C158" s="113" t="n">
        <v>54.86</v>
      </c>
      <c r="D158" s="127" t="n">
        <v>2.22</v>
      </c>
      <c r="E158" s="115" t="n">
        <v>7.5622</v>
      </c>
      <c r="F158" s="128" t="n">
        <v>4.3567</v>
      </c>
      <c r="G158" s="129" t="n">
        <v>18336</v>
      </c>
      <c r="H158" s="130" t="n">
        <v>9.8166</v>
      </c>
      <c r="I158" s="96" t="n">
        <v>14.7</v>
      </c>
      <c r="J158" s="126" t="n">
        <v>0</v>
      </c>
      <c r="K158" s="126" t="n">
        <v>0</v>
      </c>
      <c r="L158" s="116" t="n">
        <v>74.9986</v>
      </c>
      <c r="M158" s="131" t="n">
        <v>3507003</v>
      </c>
    </row>
    <row r="159" customFormat="false" ht="13.5" hidden="false" customHeight="true" outlineLevel="0" collapsed="false">
      <c r="A159" s="104" t="s">
        <v>34</v>
      </c>
      <c r="B159" s="124" t="n">
        <v>2018</v>
      </c>
      <c r="C159" s="105" t="n">
        <v>47.17</v>
      </c>
      <c r="D159" s="106" t="n">
        <v>3.08</v>
      </c>
      <c r="E159" s="107" t="n">
        <v>7.4031</v>
      </c>
      <c r="F159" s="108" t="n">
        <v>4.6728</v>
      </c>
      <c r="G159" s="84" t="n">
        <v>19250</v>
      </c>
      <c r="H159" s="109" t="n">
        <v>9.8652</v>
      </c>
      <c r="I159" s="92" t="n">
        <v>13.7</v>
      </c>
      <c r="J159" s="124" t="n">
        <v>0</v>
      </c>
      <c r="K159" s="124" t="n">
        <v>0</v>
      </c>
      <c r="L159" s="108" t="n">
        <v>74.9986</v>
      </c>
      <c r="M159" s="125" t="n">
        <v>3479010</v>
      </c>
    </row>
    <row r="160" customFormat="false" ht="13.5" hidden="false" customHeight="true" outlineLevel="0" collapsed="false">
      <c r="A160" s="112" t="s">
        <v>34</v>
      </c>
      <c r="B160" s="126" t="n">
        <v>2019</v>
      </c>
      <c r="C160" s="113" t="n">
        <v>33.56</v>
      </c>
      <c r="D160" s="127" t="n">
        <v>26.78</v>
      </c>
      <c r="E160" s="115" t="n">
        <v>7.0707</v>
      </c>
      <c r="F160" s="128" t="n">
        <v>6.8448</v>
      </c>
      <c r="G160" s="129" t="n">
        <v>20342</v>
      </c>
      <c r="H160" s="130" t="n">
        <v>9.9204</v>
      </c>
      <c r="I160" s="96" t="n">
        <v>13.3</v>
      </c>
      <c r="J160" s="126" t="n">
        <v>0</v>
      </c>
      <c r="K160" s="126" t="n">
        <v>0</v>
      </c>
      <c r="L160" s="116" t="n">
        <v>74.9986</v>
      </c>
      <c r="M160" s="131" t="n">
        <v>3506853</v>
      </c>
    </row>
    <row r="161" customFormat="false" ht="13.5" hidden="false" customHeight="true" outlineLevel="0" collapsed="false">
      <c r="A161" s="104" t="s">
        <v>34</v>
      </c>
      <c r="B161" s="124" t="n">
        <v>2020</v>
      </c>
      <c r="C161" s="105" t="n">
        <v>34.8</v>
      </c>
      <c r="D161" s="106" t="n">
        <v>33.42</v>
      </c>
      <c r="E161" s="107" t="n">
        <v>7.1148</v>
      </c>
      <c r="F161" s="108" t="n">
        <v>7.0741</v>
      </c>
      <c r="G161" s="84" t="n">
        <v>20253</v>
      </c>
      <c r="H161" s="109" t="n">
        <v>9.9161</v>
      </c>
      <c r="I161" s="92" t="n">
        <v>16.1</v>
      </c>
      <c r="J161" s="124" t="n">
        <v>0</v>
      </c>
      <c r="K161" s="132" t="n">
        <v>1</v>
      </c>
      <c r="L161" s="108" t="n">
        <v>74.9986</v>
      </c>
      <c r="M161" s="125" t="n">
        <v>3534165</v>
      </c>
    </row>
    <row r="162" customFormat="false" ht="13.5" hidden="false" customHeight="true" outlineLevel="0" collapsed="false">
      <c r="A162" s="112" t="s">
        <v>34</v>
      </c>
      <c r="B162" s="126" t="n">
        <v>2021</v>
      </c>
      <c r="C162" s="113" t="n">
        <v>28.48</v>
      </c>
      <c r="D162" s="127" t="n">
        <v>54.26</v>
      </c>
      <c r="E162" s="115" t="n">
        <v>6.9217</v>
      </c>
      <c r="F162" s="128" t="n">
        <v>7.5663</v>
      </c>
      <c r="G162" s="129" t="n">
        <v>22517</v>
      </c>
      <c r="H162" s="130" t="n">
        <v>10.022</v>
      </c>
      <c r="I162" s="96" t="n">
        <v>14.9</v>
      </c>
      <c r="J162" s="126" t="n">
        <v>0</v>
      </c>
      <c r="K162" s="132" t="n">
        <v>1</v>
      </c>
      <c r="L162" s="116" t="n">
        <v>74.9986</v>
      </c>
      <c r="M162" s="131" t="n">
        <v>3560903</v>
      </c>
    </row>
    <row r="163" customFormat="false" ht="13.5" hidden="false" customHeight="true" outlineLevel="0" collapsed="false">
      <c r="A163" s="104" t="s">
        <v>34</v>
      </c>
      <c r="B163" s="124" t="n">
        <v>2022</v>
      </c>
      <c r="C163" s="105" t="n">
        <v>29.22</v>
      </c>
      <c r="D163" s="106" t="n">
        <v>75</v>
      </c>
      <c r="E163" s="107" t="n">
        <v>6.8721</v>
      </c>
      <c r="F163" s="108" t="n">
        <v>7.8148</v>
      </c>
      <c r="G163" s="84" t="n">
        <v>28407</v>
      </c>
      <c r="H163" s="109" t="n">
        <v>10.2544</v>
      </c>
      <c r="I163" s="92" t="n">
        <v>11.7</v>
      </c>
      <c r="J163" s="124" t="n">
        <v>0</v>
      </c>
      <c r="K163" s="124" t="n">
        <v>0</v>
      </c>
      <c r="L163" s="108" t="n">
        <v>74.9986</v>
      </c>
      <c r="M163" s="125" t="n">
        <v>3302729</v>
      </c>
    </row>
    <row r="164" customFormat="false" ht="13.5" hidden="false" customHeight="true" outlineLevel="0" collapsed="false">
      <c r="A164" s="112" t="s">
        <v>34</v>
      </c>
      <c r="B164" s="126" t="n">
        <v>2023</v>
      </c>
      <c r="C164" s="113" t="n">
        <v>21.38</v>
      </c>
      <c r="D164" s="127" t="n">
        <v>0.09</v>
      </c>
      <c r="E164" s="115" t="n">
        <v>6.5596</v>
      </c>
      <c r="F164" s="128" t="n">
        <v>1.0986</v>
      </c>
      <c r="G164" s="129" t="n">
        <v>30805</v>
      </c>
      <c r="H164" s="130" t="n">
        <v>10.3354</v>
      </c>
      <c r="I164" s="96" t="n">
        <v>10.3</v>
      </c>
      <c r="J164" s="133" t="n">
        <v>1</v>
      </c>
      <c r="K164" s="126" t="n">
        <v>0</v>
      </c>
      <c r="L164" s="116" t="n">
        <v>74.9986</v>
      </c>
      <c r="M164" s="131" t="n">
        <v>3302729</v>
      </c>
    </row>
    <row r="165" customFormat="false" ht="13.5" hidden="false" customHeight="true" outlineLevel="0" collapsed="false">
      <c r="A165" s="104" t="s">
        <v>35</v>
      </c>
      <c r="B165" s="124" t="n">
        <v>2016</v>
      </c>
      <c r="C165" s="105" t="n">
        <v>26.02</v>
      </c>
      <c r="D165" s="106" t="n">
        <v>4.7</v>
      </c>
      <c r="E165" s="107" t="n">
        <v>6.142</v>
      </c>
      <c r="F165" s="108" t="n">
        <v>4.4308</v>
      </c>
      <c r="G165" s="84" t="n">
        <v>22078</v>
      </c>
      <c r="H165" s="109" t="n">
        <v>10.0024</v>
      </c>
      <c r="I165" s="92" t="n">
        <v>8</v>
      </c>
      <c r="J165" s="124" t="n">
        <v>0</v>
      </c>
      <c r="K165" s="124" t="n">
        <v>0</v>
      </c>
      <c r="L165" s="108" t="n">
        <v>351.0001</v>
      </c>
      <c r="M165" s="125" t="n">
        <v>1787279</v>
      </c>
    </row>
    <row r="166" customFormat="false" ht="13.5" hidden="false" customHeight="true" outlineLevel="0" collapsed="false">
      <c r="A166" s="112" t="s">
        <v>35</v>
      </c>
      <c r="B166" s="126" t="n">
        <v>2017</v>
      </c>
      <c r="C166" s="113" t="n">
        <v>20.82</v>
      </c>
      <c r="D166" s="127" t="n">
        <v>4.87</v>
      </c>
      <c r="E166" s="115" t="n">
        <v>5.9296</v>
      </c>
      <c r="F166" s="128" t="n">
        <v>4.4773</v>
      </c>
      <c r="G166" s="129" t="n">
        <v>24098</v>
      </c>
      <c r="H166" s="130" t="n">
        <v>10.0899</v>
      </c>
      <c r="I166" s="96" t="n">
        <v>8.2</v>
      </c>
      <c r="J166" s="126" t="n">
        <v>0</v>
      </c>
      <c r="K166" s="126" t="n">
        <v>0</v>
      </c>
      <c r="L166" s="116" t="n">
        <v>351.0001</v>
      </c>
      <c r="M166" s="131" t="n">
        <v>1805788</v>
      </c>
    </row>
    <row r="167" customFormat="false" ht="13.5" hidden="false" customHeight="true" outlineLevel="0" collapsed="false">
      <c r="A167" s="104" t="s">
        <v>35</v>
      </c>
      <c r="B167" s="124" t="n">
        <v>2018</v>
      </c>
      <c r="C167" s="105" t="n">
        <v>17.18</v>
      </c>
      <c r="D167" s="106" t="n">
        <v>11.78</v>
      </c>
      <c r="E167" s="107" t="n">
        <v>5.7104</v>
      </c>
      <c r="F167" s="108" t="n">
        <v>5.3327</v>
      </c>
      <c r="G167" s="84" t="n">
        <v>25554</v>
      </c>
      <c r="H167" s="109" t="n">
        <v>10.1486</v>
      </c>
      <c r="I167" s="92" t="n">
        <v>9.2</v>
      </c>
      <c r="J167" s="124" t="n">
        <v>0</v>
      </c>
      <c r="K167" s="124" t="n">
        <v>0</v>
      </c>
      <c r="L167" s="108" t="n">
        <v>351.0001</v>
      </c>
      <c r="M167" s="125" t="n">
        <v>1757589</v>
      </c>
    </row>
    <row r="168" customFormat="false" ht="13.5" hidden="false" customHeight="true" outlineLevel="0" collapsed="false">
      <c r="A168" s="112" t="s">
        <v>35</v>
      </c>
      <c r="B168" s="126" t="n">
        <v>2019</v>
      </c>
      <c r="C168" s="113" t="n">
        <v>14.52</v>
      </c>
      <c r="D168" s="127" t="n">
        <v>53.79</v>
      </c>
      <c r="E168" s="115" t="n">
        <v>5.553</v>
      </c>
      <c r="F168" s="128" t="n">
        <v>6.8628</v>
      </c>
      <c r="G168" s="129" t="n">
        <v>26497</v>
      </c>
      <c r="H168" s="130" t="n">
        <v>10.1848</v>
      </c>
      <c r="I168" s="96" t="n">
        <v>8.1</v>
      </c>
      <c r="J168" s="126" t="n">
        <v>0</v>
      </c>
      <c r="K168" s="126" t="n">
        <v>0</v>
      </c>
      <c r="L168" s="116" t="n">
        <v>351.0001</v>
      </c>
      <c r="M168" s="131" t="n">
        <v>1777225</v>
      </c>
    </row>
    <row r="169" customFormat="false" ht="13.5" hidden="false" customHeight="true" outlineLevel="0" collapsed="false">
      <c r="A169" s="104" t="s">
        <v>35</v>
      </c>
      <c r="B169" s="124" t="n">
        <v>2020</v>
      </c>
      <c r="C169" s="105" t="n">
        <v>14.25</v>
      </c>
      <c r="D169" s="106" t="n">
        <v>105.71</v>
      </c>
      <c r="E169" s="107" t="n">
        <v>5.5452</v>
      </c>
      <c r="F169" s="108" t="n">
        <v>7.5491</v>
      </c>
      <c r="G169" s="84" t="n">
        <v>28722</v>
      </c>
      <c r="H169" s="109" t="n">
        <v>10.2654</v>
      </c>
      <c r="I169" s="92" t="n">
        <v>10.6</v>
      </c>
      <c r="J169" s="124" t="n">
        <v>0</v>
      </c>
      <c r="K169" s="132" t="n">
        <v>1</v>
      </c>
      <c r="L169" s="108" t="n">
        <v>351.0001</v>
      </c>
      <c r="M169" s="125" t="n">
        <v>1796460</v>
      </c>
    </row>
    <row r="170" customFormat="false" ht="13.5" hidden="false" customHeight="true" outlineLevel="0" collapsed="false">
      <c r="A170" s="112" t="s">
        <v>35</v>
      </c>
      <c r="B170" s="126" t="n">
        <v>2021</v>
      </c>
      <c r="C170" s="113" t="n">
        <v>17.85</v>
      </c>
      <c r="D170" s="127" t="n">
        <v>195.18</v>
      </c>
      <c r="E170" s="115" t="n">
        <v>5.7807</v>
      </c>
      <c r="F170" s="128" t="n">
        <v>8.1727</v>
      </c>
      <c r="G170" s="129" t="n">
        <v>32045</v>
      </c>
      <c r="H170" s="130" t="n">
        <v>10.3749</v>
      </c>
      <c r="I170" s="96" t="n">
        <v>8.9</v>
      </c>
      <c r="J170" s="126" t="n">
        <v>0</v>
      </c>
      <c r="K170" s="132" t="n">
        <v>1</v>
      </c>
      <c r="L170" s="116" t="n">
        <v>351.0001</v>
      </c>
      <c r="M170" s="131" t="n">
        <v>1815278</v>
      </c>
    </row>
    <row r="171" customFormat="false" ht="13.5" hidden="false" customHeight="true" outlineLevel="0" collapsed="false">
      <c r="A171" s="104" t="s">
        <v>35</v>
      </c>
      <c r="B171" s="124" t="n">
        <v>2022</v>
      </c>
      <c r="C171" s="105" t="n">
        <v>23.91</v>
      </c>
      <c r="D171" s="106" t="n">
        <v>351</v>
      </c>
      <c r="E171" s="107" t="n">
        <v>5.9349</v>
      </c>
      <c r="F171" s="108" t="n">
        <v>8.6216</v>
      </c>
      <c r="G171" s="84" t="n">
        <v>42244</v>
      </c>
      <c r="H171" s="109" t="n">
        <v>10.6512</v>
      </c>
      <c r="I171" s="92" t="n">
        <v>4.9</v>
      </c>
      <c r="J171" s="124" t="n">
        <v>0</v>
      </c>
      <c r="K171" s="124" t="n">
        <v>0</v>
      </c>
      <c r="L171" s="108" t="n">
        <v>351.0001</v>
      </c>
      <c r="M171" s="125" t="n">
        <v>1581196</v>
      </c>
    </row>
    <row r="172" customFormat="false" ht="13.5" hidden="false" customHeight="true" outlineLevel="0" collapsed="false">
      <c r="A172" s="112" t="s">
        <v>35</v>
      </c>
      <c r="B172" s="126" t="n">
        <v>2023</v>
      </c>
      <c r="C172" s="113" t="n">
        <v>20.68</v>
      </c>
      <c r="D172" s="127" t="n">
        <v>0.51</v>
      </c>
      <c r="E172" s="115" t="n">
        <v>5.79</v>
      </c>
      <c r="F172" s="128" t="n">
        <v>2.0794</v>
      </c>
      <c r="G172" s="129" t="n">
        <v>48353</v>
      </c>
      <c r="H172" s="130" t="n">
        <v>10.7863</v>
      </c>
      <c r="I172" s="96" t="n">
        <v>2.9</v>
      </c>
      <c r="J172" s="133" t="n">
        <v>1</v>
      </c>
      <c r="K172" s="126" t="n">
        <v>0</v>
      </c>
      <c r="L172" s="116" t="n">
        <v>351.0001</v>
      </c>
      <c r="M172" s="131" t="n">
        <v>1581196</v>
      </c>
    </row>
    <row r="173" customFormat="false" ht="13.5" hidden="false" customHeight="true" outlineLevel="0" collapsed="false">
      <c r="A173" s="104" t="s">
        <v>36</v>
      </c>
      <c r="B173" s="124" t="n">
        <v>2016</v>
      </c>
      <c r="C173" s="105" t="n">
        <v>13.61</v>
      </c>
      <c r="D173" s="106" t="n">
        <v>0</v>
      </c>
      <c r="E173" s="107" t="n">
        <v>4.2485</v>
      </c>
      <c r="F173" s="108"/>
      <c r="G173" s="84" t="n">
        <v>21417</v>
      </c>
      <c r="H173" s="109" t="n">
        <v>9.9719</v>
      </c>
      <c r="I173" s="92" t="n">
        <v>8.9</v>
      </c>
      <c r="J173" s="124" t="n">
        <v>0</v>
      </c>
      <c r="K173" s="124" t="n">
        <v>0</v>
      </c>
      <c r="L173" s="108" t="n">
        <v>80.8849</v>
      </c>
      <c r="M173" s="125" t="n">
        <v>514229</v>
      </c>
    </row>
    <row r="174" customFormat="false" ht="13.5" hidden="false" customHeight="true" outlineLevel="0" collapsed="false">
      <c r="A174" s="112" t="s">
        <v>36</v>
      </c>
      <c r="B174" s="126" t="n">
        <v>2017</v>
      </c>
      <c r="C174" s="113" t="n">
        <v>18.37</v>
      </c>
      <c r="D174" s="127" t="n">
        <v>1.34</v>
      </c>
      <c r="E174" s="115" t="n">
        <v>4.5643</v>
      </c>
      <c r="F174" s="128" t="n">
        <v>1.9459</v>
      </c>
      <c r="G174" s="129" t="n">
        <v>23161</v>
      </c>
      <c r="H174" s="130" t="n">
        <v>10.0502</v>
      </c>
      <c r="I174" s="96" t="n">
        <v>10</v>
      </c>
      <c r="J174" s="126" t="n">
        <v>0</v>
      </c>
      <c r="K174" s="126" t="n">
        <v>0</v>
      </c>
      <c r="L174" s="116" t="n">
        <v>80.8849</v>
      </c>
      <c r="M174" s="131" t="n">
        <v>522636</v>
      </c>
    </row>
    <row r="175" customFormat="false" ht="13.5" hidden="false" customHeight="true" outlineLevel="0" collapsed="false">
      <c r="A175" s="104" t="s">
        <v>36</v>
      </c>
      <c r="B175" s="124" t="n">
        <v>2018</v>
      </c>
      <c r="C175" s="105" t="n">
        <v>31.57</v>
      </c>
      <c r="D175" s="106" t="n">
        <v>2.78</v>
      </c>
      <c r="E175" s="107" t="n">
        <v>5.204</v>
      </c>
      <c r="F175" s="108" t="n">
        <v>2.7726</v>
      </c>
      <c r="G175" s="84" t="n">
        <v>23189</v>
      </c>
      <c r="H175" s="109" t="n">
        <v>10.0514</v>
      </c>
      <c r="I175" s="92" t="n">
        <v>12.4</v>
      </c>
      <c r="J175" s="124" t="n">
        <v>0</v>
      </c>
      <c r="K175" s="124" t="n">
        <v>0</v>
      </c>
      <c r="L175" s="108" t="n">
        <v>80.8849</v>
      </c>
      <c r="M175" s="125" t="n">
        <v>576568</v>
      </c>
    </row>
    <row r="176" customFormat="false" ht="13.5" hidden="false" customHeight="true" outlineLevel="0" collapsed="false">
      <c r="A176" s="112" t="s">
        <v>36</v>
      </c>
      <c r="B176" s="126" t="n">
        <v>2019</v>
      </c>
      <c r="C176" s="113" t="n">
        <v>13.7</v>
      </c>
      <c r="D176" s="127" t="n">
        <v>10.4</v>
      </c>
      <c r="E176" s="115" t="n">
        <v>4.4188</v>
      </c>
      <c r="F176" s="128" t="n">
        <v>4.1431</v>
      </c>
      <c r="G176" s="129" t="n">
        <v>23594</v>
      </c>
      <c r="H176" s="130" t="n">
        <v>10.0687</v>
      </c>
      <c r="I176" s="96" t="n">
        <v>15.1</v>
      </c>
      <c r="J176" s="126" t="n">
        <v>0</v>
      </c>
      <c r="K176" s="126" t="n">
        <v>0</v>
      </c>
      <c r="L176" s="116" t="n">
        <v>80.8849</v>
      </c>
      <c r="M176" s="131" t="n">
        <v>605761</v>
      </c>
    </row>
    <row r="177" customFormat="false" ht="13.5" hidden="false" customHeight="true" outlineLevel="0" collapsed="false">
      <c r="A177" s="104" t="s">
        <v>36</v>
      </c>
      <c r="B177" s="124" t="n">
        <v>2020</v>
      </c>
      <c r="C177" s="105" t="n">
        <v>16</v>
      </c>
      <c r="D177" s="106" t="n">
        <v>16.48</v>
      </c>
      <c r="E177" s="107" t="n">
        <v>4.6151</v>
      </c>
      <c r="F177" s="108" t="n">
        <v>4.6444</v>
      </c>
      <c r="G177" s="84" t="n">
        <v>25388</v>
      </c>
      <c r="H177" s="109" t="n">
        <v>10.142</v>
      </c>
      <c r="I177" s="92" t="n">
        <v>16.8</v>
      </c>
      <c r="J177" s="124" t="n">
        <v>0</v>
      </c>
      <c r="K177" s="132" t="n">
        <v>1</v>
      </c>
      <c r="L177" s="108" t="n">
        <v>80.8849</v>
      </c>
      <c r="M177" s="125" t="n">
        <v>631181</v>
      </c>
    </row>
    <row r="178" customFormat="false" ht="13.5" hidden="false" customHeight="true" outlineLevel="0" collapsed="false">
      <c r="A178" s="112" t="s">
        <v>36</v>
      </c>
      <c r="B178" s="126" t="n">
        <v>2021</v>
      </c>
      <c r="C178" s="113" t="n">
        <v>16.09</v>
      </c>
      <c r="D178" s="127" t="n">
        <v>36.92</v>
      </c>
      <c r="E178" s="115" t="n">
        <v>4.654</v>
      </c>
      <c r="F178" s="128" t="n">
        <v>5.4848</v>
      </c>
      <c r="G178" s="129" t="n">
        <v>27888</v>
      </c>
      <c r="H178" s="130" t="n">
        <v>10.2359</v>
      </c>
      <c r="I178" s="96" t="n">
        <v>12.1</v>
      </c>
      <c r="J178" s="126" t="n">
        <v>0</v>
      </c>
      <c r="K178" s="132" t="n">
        <v>1</v>
      </c>
      <c r="L178" s="116" t="n">
        <v>80.8849</v>
      </c>
      <c r="M178" s="131" t="n">
        <v>652713</v>
      </c>
    </row>
    <row r="179" customFormat="false" ht="13.5" hidden="false" customHeight="true" outlineLevel="0" collapsed="false">
      <c r="A179" s="104" t="s">
        <v>36</v>
      </c>
      <c r="B179" s="124" t="n">
        <v>2022</v>
      </c>
      <c r="C179" s="105" t="n">
        <v>16.18</v>
      </c>
      <c r="D179" s="106" t="n">
        <v>80.88</v>
      </c>
      <c r="E179" s="107" t="n">
        <v>4.6347</v>
      </c>
      <c r="F179" s="108" t="n">
        <v>6.2442</v>
      </c>
      <c r="G179" s="84" t="n">
        <v>33132</v>
      </c>
      <c r="H179" s="109" t="n">
        <v>10.4083</v>
      </c>
      <c r="I179" s="92" t="n">
        <v>6.1</v>
      </c>
      <c r="J179" s="124" t="n">
        <v>0</v>
      </c>
      <c r="K179" s="124" t="n">
        <v>0</v>
      </c>
      <c r="L179" s="108" t="n">
        <v>80.8849</v>
      </c>
      <c r="M179" s="125" t="n">
        <v>636707</v>
      </c>
    </row>
    <row r="180" customFormat="false" ht="13.5" hidden="false" customHeight="true" outlineLevel="0" collapsed="false">
      <c r="A180" s="112" t="s">
        <v>36</v>
      </c>
      <c r="B180" s="126" t="n">
        <v>2023</v>
      </c>
      <c r="C180" s="113" t="n">
        <v>16.49</v>
      </c>
      <c r="D180" s="127" t="n">
        <v>0.94</v>
      </c>
      <c r="E180" s="115" t="n">
        <v>4.654</v>
      </c>
      <c r="F180" s="128" t="n">
        <v>1.7918</v>
      </c>
      <c r="G180" s="129" t="n">
        <v>39461</v>
      </c>
      <c r="H180" s="130" t="n">
        <v>10.5831</v>
      </c>
      <c r="I180" s="96" t="n">
        <v>6.7</v>
      </c>
      <c r="J180" s="133" t="n">
        <v>1</v>
      </c>
      <c r="K180" s="126" t="n">
        <v>0</v>
      </c>
      <c r="L180" s="116" t="n">
        <v>80.8849</v>
      </c>
      <c r="M180" s="131" t="n">
        <v>636707</v>
      </c>
    </row>
    <row r="181" customFormat="false" ht="13.5" hidden="false" customHeight="true" outlineLevel="0" collapsed="false">
      <c r="A181" s="104" t="s">
        <v>37</v>
      </c>
      <c r="B181" s="124" t="n">
        <v>2016</v>
      </c>
      <c r="C181" s="105" t="n">
        <v>22.2</v>
      </c>
      <c r="D181" s="106" t="n">
        <v>7.65</v>
      </c>
      <c r="E181" s="107" t="n">
        <v>7.8264</v>
      </c>
      <c r="F181" s="108" t="n">
        <v>6.7604</v>
      </c>
      <c r="G181" s="84" t="n">
        <v>36219</v>
      </c>
      <c r="H181" s="109" t="n">
        <v>10.4973</v>
      </c>
      <c r="I181" s="92" t="n">
        <v>8.3</v>
      </c>
      <c r="J181" s="124" t="n">
        <v>0</v>
      </c>
      <c r="K181" s="124" t="n">
        <v>0</v>
      </c>
      <c r="L181" s="108" t="n">
        <v>273.3079</v>
      </c>
      <c r="M181" s="125" t="n">
        <v>11286500</v>
      </c>
    </row>
    <row r="182" customFormat="false" ht="13.5" hidden="false" customHeight="true" outlineLevel="0" collapsed="false">
      <c r="A182" s="112" t="s">
        <v>37</v>
      </c>
      <c r="B182" s="126" t="n">
        <v>2017</v>
      </c>
      <c r="C182" s="113" t="n">
        <v>22.8</v>
      </c>
      <c r="D182" s="127" t="n">
        <v>12.89</v>
      </c>
      <c r="E182" s="115" t="n">
        <v>7.8563</v>
      </c>
      <c r="F182" s="128" t="n">
        <v>7.2862</v>
      </c>
      <c r="G182" s="129" t="n">
        <v>37382</v>
      </c>
      <c r="H182" s="130" t="n">
        <v>10.5289</v>
      </c>
      <c r="I182" s="96" t="n">
        <v>8.5</v>
      </c>
      <c r="J182" s="126" t="n">
        <v>0</v>
      </c>
      <c r="K182" s="126" t="n">
        <v>0</v>
      </c>
      <c r="L182" s="116" t="n">
        <v>273.3079</v>
      </c>
      <c r="M182" s="131" t="n">
        <v>11322895</v>
      </c>
    </row>
    <row r="183" customFormat="false" ht="13.5" hidden="false" customHeight="true" outlineLevel="0" collapsed="false">
      <c r="A183" s="104" t="s">
        <v>37</v>
      </c>
      <c r="B183" s="124" t="n">
        <v>2018</v>
      </c>
      <c r="C183" s="105" t="n">
        <v>18.26</v>
      </c>
      <c r="D183" s="106" t="n">
        <v>18.17</v>
      </c>
      <c r="E183" s="107" t="n">
        <v>7.6348</v>
      </c>
      <c r="F183" s="108" t="n">
        <v>7.63</v>
      </c>
      <c r="G183" s="84" t="n">
        <v>40363</v>
      </c>
      <c r="H183" s="109" t="n">
        <v>10.6057</v>
      </c>
      <c r="I183" s="92" t="n">
        <v>8.2</v>
      </c>
      <c r="J183" s="124" t="n">
        <v>0</v>
      </c>
      <c r="K183" s="124" t="n">
        <v>0</v>
      </c>
      <c r="L183" s="108" t="n">
        <v>273.3079</v>
      </c>
      <c r="M183" s="125" t="n">
        <v>11329605</v>
      </c>
    </row>
    <row r="184" customFormat="false" ht="13.5" hidden="false" customHeight="true" outlineLevel="0" collapsed="false">
      <c r="A184" s="112" t="s">
        <v>37</v>
      </c>
      <c r="B184" s="126" t="n">
        <v>2019</v>
      </c>
      <c r="C184" s="113" t="n">
        <v>14.05</v>
      </c>
      <c r="D184" s="127" t="n">
        <v>96.31</v>
      </c>
      <c r="E184" s="115" t="n">
        <v>7.3771</v>
      </c>
      <c r="F184" s="128" t="n">
        <v>9.3017</v>
      </c>
      <c r="G184" s="129" t="n">
        <v>42406</v>
      </c>
      <c r="H184" s="130" t="n">
        <v>10.655</v>
      </c>
      <c r="I184" s="96" t="n">
        <v>8.2</v>
      </c>
      <c r="J184" s="126" t="n">
        <v>0</v>
      </c>
      <c r="K184" s="126" t="n">
        <v>0</v>
      </c>
      <c r="L184" s="116" t="n">
        <v>273.3079</v>
      </c>
      <c r="M184" s="131" t="n">
        <v>11377239</v>
      </c>
    </row>
    <row r="185" customFormat="false" ht="13.5" hidden="false" customHeight="true" outlineLevel="0" collapsed="false">
      <c r="A185" s="104" t="s">
        <v>37</v>
      </c>
      <c r="B185" s="124" t="n">
        <v>2020</v>
      </c>
      <c r="C185" s="105" t="n">
        <v>13.46</v>
      </c>
      <c r="D185" s="106" t="n">
        <v>138.97</v>
      </c>
      <c r="E185" s="107" t="n">
        <v>7.3376</v>
      </c>
      <c r="F185" s="108" t="n">
        <v>9.6725</v>
      </c>
      <c r="G185" s="84" t="n">
        <v>41228</v>
      </c>
      <c r="H185" s="109" t="n">
        <v>10.6269</v>
      </c>
      <c r="I185" s="92" t="n">
        <v>9.3</v>
      </c>
      <c r="J185" s="124" t="n">
        <v>0</v>
      </c>
      <c r="K185" s="132" t="n">
        <v>1</v>
      </c>
      <c r="L185" s="108" t="n">
        <v>273.3079</v>
      </c>
      <c r="M185" s="125" t="n">
        <v>11422973</v>
      </c>
    </row>
    <row r="186" customFormat="false" ht="13.5" hidden="false" customHeight="true" outlineLevel="0" collapsed="false">
      <c r="A186" s="112" t="s">
        <v>37</v>
      </c>
      <c r="B186" s="126" t="n">
        <v>2021</v>
      </c>
      <c r="C186" s="113" t="n">
        <v>12.02</v>
      </c>
      <c r="D186" s="127" t="n">
        <v>215.13</v>
      </c>
      <c r="E186" s="115" t="n">
        <v>7.2284</v>
      </c>
      <c r="F186" s="128" t="n">
        <v>10.1133</v>
      </c>
      <c r="G186" s="129" t="n">
        <v>50694</v>
      </c>
      <c r="H186" s="130" t="n">
        <v>10.8336</v>
      </c>
      <c r="I186" s="96" t="n">
        <v>8.7</v>
      </c>
      <c r="J186" s="126" t="n">
        <v>0</v>
      </c>
      <c r="K186" s="132" t="n">
        <v>1</v>
      </c>
      <c r="L186" s="116" t="n">
        <v>273.3079</v>
      </c>
      <c r="M186" s="131" t="n">
        <v>11466630</v>
      </c>
    </row>
    <row r="187" customFormat="false" ht="13.5" hidden="false" customHeight="true" outlineLevel="0" collapsed="false">
      <c r="A187" s="104" t="s">
        <v>37</v>
      </c>
      <c r="B187" s="124" t="n">
        <v>2022</v>
      </c>
      <c r="C187" s="105" t="n">
        <v>13.58</v>
      </c>
      <c r="D187" s="106" t="n">
        <v>273.31</v>
      </c>
      <c r="E187" s="107" t="n">
        <v>7.2984</v>
      </c>
      <c r="F187" s="108" t="n">
        <v>10.3004</v>
      </c>
      <c r="G187" s="84" t="n">
        <v>54547</v>
      </c>
      <c r="H187" s="109" t="n">
        <v>10.9068</v>
      </c>
      <c r="I187" s="92" t="n">
        <v>6.1</v>
      </c>
      <c r="J187" s="124" t="n">
        <v>0</v>
      </c>
      <c r="K187" s="124" t="n">
        <v>0</v>
      </c>
      <c r="L187" s="108" t="n">
        <v>273.3079</v>
      </c>
      <c r="M187" s="125" t="n">
        <v>10882965</v>
      </c>
    </row>
    <row r="188" customFormat="false" ht="13.5" hidden="false" customHeight="true" outlineLevel="0" collapsed="false">
      <c r="A188" s="112" t="s">
        <v>37</v>
      </c>
      <c r="B188" s="126" t="n">
        <v>2023</v>
      </c>
      <c r="C188" s="113" t="n">
        <v>12.93</v>
      </c>
      <c r="D188" s="127" t="n">
        <v>1.38</v>
      </c>
      <c r="E188" s="115" t="n">
        <v>7.2492</v>
      </c>
      <c r="F188" s="128" t="n">
        <v>5.0106</v>
      </c>
      <c r="G188" s="129" t="n">
        <v>59736</v>
      </c>
      <c r="H188" s="130" t="n">
        <v>10.9977</v>
      </c>
      <c r="I188" s="96" t="n">
        <v>5.3</v>
      </c>
      <c r="J188" s="133" t="n">
        <v>1</v>
      </c>
      <c r="K188" s="126" t="n">
        <v>0</v>
      </c>
      <c r="L188" s="116" t="n">
        <v>273.3079</v>
      </c>
      <c r="M188" s="131" t="n">
        <v>10882965</v>
      </c>
    </row>
    <row r="189" customFormat="false" ht="13.5" hidden="false" customHeight="true" outlineLevel="0" collapsed="false">
      <c r="A189" s="104" t="s">
        <v>38</v>
      </c>
      <c r="B189" s="124" t="n">
        <v>2016</v>
      </c>
      <c r="C189" s="105" t="n">
        <v>8.8</v>
      </c>
      <c r="D189" s="106" t="n">
        <v>6.29</v>
      </c>
      <c r="E189" s="107" t="n">
        <v>6.4102</v>
      </c>
      <c r="F189" s="108" t="n">
        <v>6.0753</v>
      </c>
      <c r="G189" s="84" t="n">
        <v>37154</v>
      </c>
      <c r="H189" s="109" t="n">
        <v>10.5228</v>
      </c>
      <c r="I189" s="92" t="n">
        <v>6.4</v>
      </c>
      <c r="J189" s="124" t="n">
        <v>0</v>
      </c>
      <c r="K189" s="124" t="n">
        <v>0</v>
      </c>
      <c r="L189" s="108" t="n">
        <v>371.165</v>
      </c>
      <c r="M189" s="125" t="n">
        <v>6910553</v>
      </c>
    </row>
    <row r="190" customFormat="false" ht="13.5" hidden="false" customHeight="true" outlineLevel="0" collapsed="false">
      <c r="A190" s="112" t="s">
        <v>38</v>
      </c>
      <c r="B190" s="126" t="n">
        <v>2017</v>
      </c>
      <c r="C190" s="113" t="n">
        <v>9.56</v>
      </c>
      <c r="D190" s="127" t="n">
        <v>7.14</v>
      </c>
      <c r="E190" s="115" t="n">
        <v>6.5058</v>
      </c>
      <c r="F190" s="128" t="n">
        <v>6.2146</v>
      </c>
      <c r="G190" s="129" t="n">
        <v>39603</v>
      </c>
      <c r="H190" s="130" t="n">
        <v>10.5867</v>
      </c>
      <c r="I190" s="96" t="n">
        <v>7.2</v>
      </c>
      <c r="J190" s="126" t="n">
        <v>0</v>
      </c>
      <c r="K190" s="126" t="n">
        <v>0</v>
      </c>
      <c r="L190" s="116" t="n">
        <v>371.165</v>
      </c>
      <c r="M190" s="131" t="n">
        <v>7001161</v>
      </c>
    </row>
    <row r="191" customFormat="false" ht="13.5" hidden="false" customHeight="true" outlineLevel="0" collapsed="false">
      <c r="A191" s="104" t="s">
        <v>38</v>
      </c>
      <c r="B191" s="124" t="n">
        <v>2018</v>
      </c>
      <c r="C191" s="105" t="n">
        <v>6.35</v>
      </c>
      <c r="D191" s="106" t="n">
        <v>14.74</v>
      </c>
      <c r="E191" s="107" t="n">
        <v>6.107</v>
      </c>
      <c r="F191" s="108" t="n">
        <v>6.9499</v>
      </c>
      <c r="G191" s="84" t="n">
        <v>42149</v>
      </c>
      <c r="H191" s="109" t="n">
        <v>10.649</v>
      </c>
      <c r="I191" s="92" t="n">
        <v>6.5</v>
      </c>
      <c r="J191" s="124" t="n">
        <v>0</v>
      </c>
      <c r="K191" s="124" t="n">
        <v>0</v>
      </c>
      <c r="L191" s="108" t="n">
        <v>371.165</v>
      </c>
      <c r="M191" s="125" t="n">
        <v>7075494</v>
      </c>
    </row>
    <row r="192" customFormat="false" ht="13.5" hidden="false" customHeight="true" outlineLevel="0" collapsed="false">
      <c r="A192" s="112" t="s">
        <v>38</v>
      </c>
      <c r="B192" s="126" t="n">
        <v>2019</v>
      </c>
      <c r="C192" s="113" t="n">
        <v>5.51</v>
      </c>
      <c r="D192" s="127" t="n">
        <v>100.77</v>
      </c>
      <c r="E192" s="115" t="n">
        <v>5.9789</v>
      </c>
      <c r="F192" s="128" t="n">
        <v>8.8846</v>
      </c>
      <c r="G192" s="129" t="n">
        <v>45118</v>
      </c>
      <c r="H192" s="130" t="n">
        <v>10.717</v>
      </c>
      <c r="I192" s="96" t="n">
        <v>6.2</v>
      </c>
      <c r="J192" s="126" t="n">
        <v>0</v>
      </c>
      <c r="K192" s="126" t="n">
        <v>0</v>
      </c>
      <c r="L192" s="116" t="n">
        <v>371.165</v>
      </c>
      <c r="M192" s="131" t="n">
        <v>7164788</v>
      </c>
    </row>
    <row r="193" customFormat="false" ht="13.5" hidden="false" customHeight="true" outlineLevel="0" collapsed="false">
      <c r="A193" s="104" t="s">
        <v>38</v>
      </c>
      <c r="B193" s="124" t="n">
        <v>2020</v>
      </c>
      <c r="C193" s="105" t="n">
        <v>5.27</v>
      </c>
      <c r="D193" s="106" t="n">
        <v>179.33</v>
      </c>
      <c r="E193" s="107" t="n">
        <v>5.9454</v>
      </c>
      <c r="F193" s="108" t="n">
        <v>9.4732</v>
      </c>
      <c r="G193" s="84" t="n">
        <v>48159</v>
      </c>
      <c r="H193" s="109" t="n">
        <v>10.7823</v>
      </c>
      <c r="I193" s="92" t="n">
        <v>6.3</v>
      </c>
      <c r="J193" s="124" t="n">
        <v>0</v>
      </c>
      <c r="K193" s="132" t="n">
        <v>1</v>
      </c>
      <c r="L193" s="108" t="n">
        <v>371.165</v>
      </c>
      <c r="M193" s="125" t="n">
        <v>7252502</v>
      </c>
    </row>
    <row r="194" customFormat="false" ht="13.5" hidden="false" customHeight="true" outlineLevel="0" collapsed="false">
      <c r="A194" s="112" t="s">
        <v>38</v>
      </c>
      <c r="B194" s="126" t="n">
        <v>2021</v>
      </c>
      <c r="C194" s="113" t="n">
        <v>5.18</v>
      </c>
      <c r="D194" s="127" t="n">
        <v>153.79</v>
      </c>
      <c r="E194" s="115" t="n">
        <v>5.9402</v>
      </c>
      <c r="F194" s="128" t="n">
        <v>9.3313</v>
      </c>
      <c r="G194" s="129" t="n">
        <v>58401</v>
      </c>
      <c r="H194" s="130" t="n">
        <v>10.9751</v>
      </c>
      <c r="I194" s="96" t="n">
        <v>5.5</v>
      </c>
      <c r="J194" s="126" t="n">
        <v>0</v>
      </c>
      <c r="K194" s="132" t="n">
        <v>1</v>
      </c>
      <c r="L194" s="116" t="n">
        <v>371.165</v>
      </c>
      <c r="M194" s="131" t="n">
        <v>7338473</v>
      </c>
    </row>
    <row r="195" customFormat="false" ht="13.5" hidden="false" customHeight="true" outlineLevel="0" collapsed="false">
      <c r="A195" s="104" t="s">
        <v>38</v>
      </c>
      <c r="B195" s="124" t="n">
        <v>2022</v>
      </c>
      <c r="C195" s="105" t="n">
        <v>4.11</v>
      </c>
      <c r="D195" s="106" t="n">
        <v>371.17</v>
      </c>
      <c r="E195" s="107" t="n">
        <v>5.7462</v>
      </c>
      <c r="F195" s="108" t="n">
        <v>10.2487</v>
      </c>
      <c r="G195" s="84" t="n">
        <v>61268</v>
      </c>
      <c r="H195" s="109" t="n">
        <v>11.023</v>
      </c>
      <c r="I195" s="92" t="n">
        <v>3.9</v>
      </c>
      <c r="J195" s="124" t="n">
        <v>0</v>
      </c>
      <c r="K195" s="124" t="n">
        <v>0</v>
      </c>
      <c r="L195" s="108" t="n">
        <v>371.165</v>
      </c>
      <c r="M195" s="125" t="n">
        <v>7610361</v>
      </c>
    </row>
    <row r="196" customFormat="false" ht="13.5" hidden="false" customHeight="true" outlineLevel="0" collapsed="false">
      <c r="A196" s="112" t="s">
        <v>38</v>
      </c>
      <c r="B196" s="126" t="n">
        <v>2023</v>
      </c>
      <c r="C196" s="113" t="n">
        <v>3.9</v>
      </c>
      <c r="D196" s="127" t="n">
        <v>0.97</v>
      </c>
      <c r="E196" s="115" t="n">
        <v>5.6937</v>
      </c>
      <c r="F196" s="128" t="n">
        <v>4.3041</v>
      </c>
      <c r="G196" s="129" t="n">
        <v>67460</v>
      </c>
      <c r="H196" s="130" t="n">
        <v>11.1193</v>
      </c>
      <c r="I196" s="96" t="n">
        <v>3.5</v>
      </c>
      <c r="J196" s="133" t="n">
        <v>1</v>
      </c>
      <c r="K196" s="126" t="n">
        <v>0</v>
      </c>
      <c r="L196" s="116" t="n">
        <v>371.165</v>
      </c>
      <c r="M196" s="131" t="n">
        <v>7610361</v>
      </c>
    </row>
    <row r="197" customFormat="false" ht="13.5" hidden="false" customHeight="true" outlineLevel="0" collapsed="false">
      <c r="A197" s="104" t="s">
        <v>39</v>
      </c>
      <c r="B197" s="124" t="n">
        <v>2016</v>
      </c>
      <c r="C197" s="105" t="n">
        <v>55.74</v>
      </c>
      <c r="D197" s="106" t="n">
        <v>2.43</v>
      </c>
      <c r="E197" s="107" t="n">
        <v>7.1412</v>
      </c>
      <c r="F197" s="108" t="n">
        <v>4.0073</v>
      </c>
      <c r="G197" s="84" t="n">
        <v>17159</v>
      </c>
      <c r="H197" s="109" t="n">
        <v>9.7503</v>
      </c>
      <c r="I197" s="92" t="n">
        <v>13.6</v>
      </c>
      <c r="J197" s="124" t="n">
        <v>0</v>
      </c>
      <c r="K197" s="124" t="n">
        <v>0</v>
      </c>
      <c r="L197" s="108" t="n">
        <v>47.4207</v>
      </c>
      <c r="M197" s="125" t="n">
        <v>2265779</v>
      </c>
    </row>
    <row r="198" customFormat="false" ht="13.5" hidden="false" customHeight="true" outlineLevel="0" collapsed="false">
      <c r="A198" s="112" t="s">
        <v>39</v>
      </c>
      <c r="B198" s="126" t="n">
        <v>2017</v>
      </c>
      <c r="C198" s="113" t="n">
        <v>47.94</v>
      </c>
      <c r="D198" s="127" t="n">
        <v>3.76</v>
      </c>
      <c r="E198" s="115" t="n">
        <v>7.0003</v>
      </c>
      <c r="F198" s="128" t="n">
        <v>4.4543</v>
      </c>
      <c r="G198" s="129" t="n">
        <v>17793</v>
      </c>
      <c r="H198" s="130" t="n">
        <v>9.7865</v>
      </c>
      <c r="I198" s="96" t="n">
        <v>14.6</v>
      </c>
      <c r="J198" s="126" t="n">
        <v>0</v>
      </c>
      <c r="K198" s="126" t="n">
        <v>0</v>
      </c>
      <c r="L198" s="116" t="n">
        <v>47.4207</v>
      </c>
      <c r="M198" s="131" t="n">
        <v>2288116</v>
      </c>
    </row>
    <row r="199" customFormat="false" ht="13.5" hidden="false" customHeight="true" outlineLevel="0" collapsed="false">
      <c r="A199" s="104" t="s">
        <v>39</v>
      </c>
      <c r="B199" s="124" t="n">
        <v>2018</v>
      </c>
      <c r="C199" s="105" t="n">
        <v>42.18</v>
      </c>
      <c r="D199" s="106" t="n">
        <v>4.13</v>
      </c>
      <c r="E199" s="107" t="n">
        <v>6.868</v>
      </c>
      <c r="F199" s="108" t="n">
        <v>4.5433</v>
      </c>
      <c r="G199" s="84" t="n">
        <v>18443</v>
      </c>
      <c r="H199" s="109" t="n">
        <v>9.8224</v>
      </c>
      <c r="I199" s="92" t="n">
        <v>16.8</v>
      </c>
      <c r="J199" s="124" t="n">
        <v>0</v>
      </c>
      <c r="K199" s="124" t="n">
        <v>0</v>
      </c>
      <c r="L199" s="108" t="n">
        <v>47.4207</v>
      </c>
      <c r="M199" s="125" t="n">
        <v>2278308</v>
      </c>
    </row>
    <row r="200" customFormat="false" ht="13.5" hidden="false" customHeight="true" outlineLevel="0" collapsed="false">
      <c r="A200" s="112" t="s">
        <v>39</v>
      </c>
      <c r="B200" s="126" t="n">
        <v>2019</v>
      </c>
      <c r="C200" s="113" t="n">
        <v>33.93</v>
      </c>
      <c r="D200" s="127" t="n">
        <v>15.84</v>
      </c>
      <c r="E200" s="115" t="n">
        <v>6.6593</v>
      </c>
      <c r="F200" s="128" t="n">
        <v>5.8972</v>
      </c>
      <c r="G200" s="129" t="n">
        <v>19441</v>
      </c>
      <c r="H200" s="130" t="n">
        <v>9.8752</v>
      </c>
      <c r="I200" s="96" t="n">
        <v>15.2</v>
      </c>
      <c r="J200" s="126" t="n">
        <v>0</v>
      </c>
      <c r="K200" s="126" t="n">
        <v>0</v>
      </c>
      <c r="L200" s="116" t="n">
        <v>47.4207</v>
      </c>
      <c r="M200" s="131" t="n">
        <v>2298696</v>
      </c>
    </row>
    <row r="201" customFormat="false" ht="13.5" hidden="false" customHeight="true" outlineLevel="0" collapsed="false">
      <c r="A201" s="104" t="s">
        <v>39</v>
      </c>
      <c r="B201" s="124" t="n">
        <v>2020</v>
      </c>
      <c r="C201" s="105" t="n">
        <v>35.49</v>
      </c>
      <c r="D201" s="106" t="n">
        <v>26.69</v>
      </c>
      <c r="E201" s="107" t="n">
        <v>6.713</v>
      </c>
      <c r="F201" s="108" t="n">
        <v>6.4281</v>
      </c>
      <c r="G201" s="84" t="n">
        <v>19583</v>
      </c>
      <c r="H201" s="109" t="n">
        <v>9.8824</v>
      </c>
      <c r="I201" s="92" t="n">
        <v>18.9</v>
      </c>
      <c r="J201" s="124" t="n">
        <v>0</v>
      </c>
      <c r="K201" s="132" t="n">
        <v>1</v>
      </c>
      <c r="L201" s="108" t="n">
        <v>47.4207</v>
      </c>
      <c r="M201" s="125" t="n">
        <v>2318822</v>
      </c>
    </row>
    <row r="202" customFormat="false" ht="13.5" hidden="false" customHeight="true" outlineLevel="0" collapsed="false">
      <c r="A202" s="112" t="s">
        <v>39</v>
      </c>
      <c r="B202" s="126" t="n">
        <v>2021</v>
      </c>
      <c r="C202" s="113" t="n">
        <v>28.39</v>
      </c>
      <c r="D202" s="127" t="n">
        <v>42.89</v>
      </c>
      <c r="E202" s="115" t="n">
        <v>6.4983</v>
      </c>
      <c r="F202" s="128" t="n">
        <v>6.9108</v>
      </c>
      <c r="G202" s="129" t="n">
        <v>22177</v>
      </c>
      <c r="H202" s="130" t="n">
        <v>10.0068</v>
      </c>
      <c r="I202" s="96" t="n">
        <v>18</v>
      </c>
      <c r="J202" s="126" t="n">
        <v>0</v>
      </c>
      <c r="K202" s="132" t="n">
        <v>1</v>
      </c>
      <c r="L202" s="116" t="n">
        <v>47.4207</v>
      </c>
      <c r="M202" s="131" t="n">
        <v>2338474</v>
      </c>
    </row>
    <row r="203" customFormat="false" ht="13.5" hidden="false" customHeight="true" outlineLevel="0" collapsed="false">
      <c r="A203" s="104" t="s">
        <v>39</v>
      </c>
      <c r="B203" s="124" t="n">
        <v>2022</v>
      </c>
      <c r="C203" s="105" t="n">
        <v>29.59</v>
      </c>
      <c r="D203" s="106" t="n">
        <v>47.42</v>
      </c>
      <c r="E203" s="107" t="n">
        <v>6.4831</v>
      </c>
      <c r="F203" s="108" t="n">
        <v>6.9546</v>
      </c>
      <c r="G203" s="84" t="n">
        <v>25960</v>
      </c>
      <c r="H203" s="109" t="n">
        <v>10.1643</v>
      </c>
      <c r="I203" s="92" t="n">
        <v>13.1</v>
      </c>
      <c r="J203" s="124" t="n">
        <v>0</v>
      </c>
      <c r="K203" s="124" t="n">
        <v>0</v>
      </c>
      <c r="L203" s="108" t="n">
        <v>47.4207</v>
      </c>
      <c r="M203" s="125" t="n">
        <v>2210004</v>
      </c>
    </row>
    <row r="204" customFormat="false" ht="13.5" hidden="false" customHeight="true" outlineLevel="0" collapsed="false">
      <c r="A204" s="112" t="s">
        <v>39</v>
      </c>
      <c r="B204" s="126" t="n">
        <v>2023</v>
      </c>
      <c r="C204" s="113" t="n">
        <v>25.88</v>
      </c>
      <c r="D204" s="127" t="n">
        <v>0.05</v>
      </c>
      <c r="E204" s="115" t="n">
        <v>6.3491</v>
      </c>
      <c r="F204" s="128" t="n">
        <v>0</v>
      </c>
      <c r="G204" s="129" t="n">
        <v>27519</v>
      </c>
      <c r="H204" s="130" t="n">
        <v>10.2226</v>
      </c>
      <c r="I204" s="96" t="n">
        <v>10.9</v>
      </c>
      <c r="J204" s="133" t="n">
        <v>1</v>
      </c>
      <c r="K204" s="126" t="n">
        <v>0</v>
      </c>
      <c r="L204" s="116" t="n">
        <v>47.4207</v>
      </c>
      <c r="M204" s="131" t="n">
        <v>2210004</v>
      </c>
    </row>
    <row r="205" customFormat="false" ht="13.5" hidden="false" customHeight="true" outlineLevel="0" collapsed="false">
      <c r="A205" s="104" t="s">
        <v>40</v>
      </c>
      <c r="B205" s="124" t="n">
        <v>2016</v>
      </c>
      <c r="C205" s="105" t="n">
        <v>6.01</v>
      </c>
      <c r="D205" s="106" t="n">
        <v>4.46</v>
      </c>
      <c r="E205" s="107" t="n">
        <v>7.8973</v>
      </c>
      <c r="F205" s="108" t="n">
        <v>7.5979</v>
      </c>
      <c r="G205" s="84" t="n">
        <v>45559</v>
      </c>
      <c r="H205" s="109" t="n">
        <v>10.7268</v>
      </c>
      <c r="I205" s="92" t="n">
        <v>12.5</v>
      </c>
      <c r="J205" s="124" t="n">
        <v>0</v>
      </c>
      <c r="K205" s="124" t="n">
        <v>0</v>
      </c>
      <c r="L205" s="108" t="n">
        <v>190.7603</v>
      </c>
      <c r="M205" s="125" t="n">
        <v>44749699</v>
      </c>
    </row>
    <row r="206" customFormat="false" ht="13.5" hidden="false" customHeight="true" outlineLevel="0" collapsed="false">
      <c r="A206" s="112" t="s">
        <v>40</v>
      </c>
      <c r="B206" s="126" t="n">
        <v>2017</v>
      </c>
      <c r="C206" s="113" t="n">
        <v>5.52</v>
      </c>
      <c r="D206" s="127" t="n">
        <v>7.2</v>
      </c>
      <c r="E206" s="115" t="n">
        <v>7.82</v>
      </c>
      <c r="F206" s="128" t="n">
        <v>8.0858</v>
      </c>
      <c r="G206" s="129" t="n">
        <v>47029</v>
      </c>
      <c r="H206" s="130" t="n">
        <v>10.7585</v>
      </c>
      <c r="I206" s="96" t="n">
        <v>13.5</v>
      </c>
      <c r="J206" s="126" t="n">
        <v>0</v>
      </c>
      <c r="K206" s="126" t="n">
        <v>0</v>
      </c>
      <c r="L206" s="116" t="n">
        <v>190.7603</v>
      </c>
      <c r="M206" s="131" t="n">
        <v>45094866</v>
      </c>
    </row>
    <row r="207" customFormat="false" ht="13.5" hidden="false" customHeight="true" outlineLevel="0" collapsed="false">
      <c r="A207" s="104" t="s">
        <v>40</v>
      </c>
      <c r="B207" s="124" t="n">
        <v>2018</v>
      </c>
      <c r="C207" s="105" t="n">
        <v>4.32</v>
      </c>
      <c r="D207" s="106" t="n">
        <v>10.01</v>
      </c>
      <c r="E207" s="107" t="n">
        <v>7.5838</v>
      </c>
      <c r="F207" s="108" t="n">
        <v>8.4249</v>
      </c>
      <c r="G207" s="84" t="n">
        <v>48542</v>
      </c>
      <c r="H207" s="109" t="n">
        <v>10.7902</v>
      </c>
      <c r="I207" s="92" t="n">
        <v>13.4</v>
      </c>
      <c r="J207" s="124" t="n">
        <v>0</v>
      </c>
      <c r="K207" s="124" t="n">
        <v>0</v>
      </c>
      <c r="L207" s="108" t="n">
        <v>190.7603</v>
      </c>
      <c r="M207" s="125" t="n">
        <v>45538936</v>
      </c>
    </row>
    <row r="208" customFormat="false" ht="13.5" hidden="false" customHeight="true" outlineLevel="0" collapsed="false">
      <c r="A208" s="112" t="s">
        <v>40</v>
      </c>
      <c r="B208" s="126" t="n">
        <v>2019</v>
      </c>
      <c r="C208" s="113" t="n">
        <v>3.75</v>
      </c>
      <c r="D208" s="127" t="n">
        <v>53.87</v>
      </c>
      <c r="E208" s="115" t="n">
        <v>7.4507</v>
      </c>
      <c r="F208" s="128" t="n">
        <v>10.1161</v>
      </c>
      <c r="G208" s="129" t="n">
        <v>51141</v>
      </c>
      <c r="H208" s="130" t="n">
        <v>10.8423</v>
      </c>
      <c r="I208" s="96" t="n">
        <v>12.6</v>
      </c>
      <c r="J208" s="126" t="n">
        <v>0</v>
      </c>
      <c r="K208" s="126" t="n">
        <v>0</v>
      </c>
      <c r="L208" s="116" t="n">
        <v>190.7603</v>
      </c>
      <c r="M208" s="131" t="n">
        <v>45919049</v>
      </c>
    </row>
    <row r="209" customFormat="false" ht="13.5" hidden="false" customHeight="true" outlineLevel="0" collapsed="false">
      <c r="A209" s="104" t="s">
        <v>40</v>
      </c>
      <c r="B209" s="124" t="n">
        <v>2020</v>
      </c>
      <c r="C209" s="105" t="n">
        <v>3.81</v>
      </c>
      <c r="D209" s="106" t="n">
        <v>50.59</v>
      </c>
      <c r="E209" s="107" t="n">
        <v>7.4742</v>
      </c>
      <c r="F209" s="108" t="n">
        <v>10.0612</v>
      </c>
      <c r="G209" s="84" t="n">
        <v>51365</v>
      </c>
      <c r="H209" s="109" t="n">
        <v>10.8467</v>
      </c>
      <c r="I209" s="92" t="n">
        <v>14.1</v>
      </c>
      <c r="J209" s="124" t="n">
        <v>0</v>
      </c>
      <c r="K209" s="132" t="n">
        <v>1</v>
      </c>
      <c r="L209" s="108" t="n">
        <v>190.7603</v>
      </c>
      <c r="M209" s="125" t="n">
        <v>46289333</v>
      </c>
    </row>
    <row r="210" customFormat="false" ht="13.5" hidden="false" customHeight="true" outlineLevel="0" collapsed="false">
      <c r="A210" s="112" t="s">
        <v>40</v>
      </c>
      <c r="B210" s="126" t="n">
        <v>2021</v>
      </c>
      <c r="C210" s="113" t="n">
        <v>3.48</v>
      </c>
      <c r="D210" s="127" t="n">
        <v>129.04</v>
      </c>
      <c r="E210" s="115" t="n">
        <v>7.3914</v>
      </c>
      <c r="F210" s="128" t="n">
        <v>11.0053</v>
      </c>
      <c r="G210" s="129" t="n">
        <v>58302</v>
      </c>
      <c r="H210" s="130" t="n">
        <v>10.9734</v>
      </c>
      <c r="I210" s="96" t="n">
        <v>13.5</v>
      </c>
      <c r="J210" s="126" t="n">
        <v>0</v>
      </c>
      <c r="K210" s="132" t="n">
        <v>1</v>
      </c>
      <c r="L210" s="116" t="n">
        <v>190.7603</v>
      </c>
      <c r="M210" s="131" t="n">
        <v>46649132</v>
      </c>
    </row>
    <row r="211" customFormat="false" ht="13.5" hidden="false" customHeight="true" outlineLevel="0" collapsed="false">
      <c r="A211" s="104" t="s">
        <v>40</v>
      </c>
      <c r="B211" s="124" t="n">
        <v>2022</v>
      </c>
      <c r="C211" s="105" t="n">
        <v>3.71</v>
      </c>
      <c r="D211" s="106" t="n">
        <v>190.76</v>
      </c>
      <c r="E211" s="107" t="n">
        <v>7.4079</v>
      </c>
      <c r="F211" s="108" t="n">
        <v>11.3471</v>
      </c>
      <c r="G211" s="84" t="n">
        <v>70485</v>
      </c>
      <c r="H211" s="109" t="n">
        <v>11.1632</v>
      </c>
      <c r="I211" s="92" t="n">
        <v>9.1</v>
      </c>
      <c r="J211" s="124" t="n">
        <v>0</v>
      </c>
      <c r="K211" s="124" t="n">
        <v>0</v>
      </c>
      <c r="L211" s="108" t="n">
        <v>190.7603</v>
      </c>
      <c r="M211" s="125" t="n">
        <v>44411238</v>
      </c>
    </row>
    <row r="212" customFormat="false" ht="13.5" hidden="false" customHeight="true" outlineLevel="0" collapsed="false">
      <c r="A212" s="112" t="s">
        <v>40</v>
      </c>
      <c r="B212" s="126" t="n">
        <v>2023</v>
      </c>
      <c r="C212" s="113" t="n">
        <v>3.29</v>
      </c>
      <c r="D212" s="127" t="n">
        <v>0.44</v>
      </c>
      <c r="E212" s="115" t="n">
        <v>7.2876</v>
      </c>
      <c r="F212" s="128" t="n">
        <v>5.2781</v>
      </c>
      <c r="G212" s="129" t="n">
        <v>77566</v>
      </c>
      <c r="H212" s="130" t="n">
        <v>11.2589</v>
      </c>
      <c r="I212" s="96" t="n">
        <v>7.6</v>
      </c>
      <c r="J212" s="133" t="n">
        <v>1</v>
      </c>
      <c r="K212" s="126" t="n">
        <v>0</v>
      </c>
      <c r="L212" s="116" t="n">
        <v>190.7603</v>
      </c>
      <c r="M212" s="131" t="n">
        <v>44411238</v>
      </c>
    </row>
    <row r="213" customFormat="false" ht="13.5" hidden="false" customHeight="true" outlineLevel="0" collapsed="false">
      <c r="A213" s="104" t="s">
        <v>41</v>
      </c>
      <c r="B213" s="124" t="n">
        <v>2016</v>
      </c>
      <c r="C213" s="105" t="n">
        <v>19.77</v>
      </c>
      <c r="D213" s="106" t="n">
        <v>3.85</v>
      </c>
      <c r="E213" s="107" t="n">
        <v>5.7137</v>
      </c>
      <c r="F213" s="108" t="n">
        <v>4.0775</v>
      </c>
      <c r="G213" s="84" t="n">
        <v>20605</v>
      </c>
      <c r="H213" s="109" t="n">
        <v>9.9333</v>
      </c>
      <c r="I213" s="92" t="n">
        <v>11.5</v>
      </c>
      <c r="J213" s="124" t="n">
        <v>0</v>
      </c>
      <c r="K213" s="124" t="n">
        <v>0</v>
      </c>
      <c r="L213" s="108" t="n">
        <v>202.1886</v>
      </c>
      <c r="M213" s="125" t="n">
        <v>1532902</v>
      </c>
    </row>
    <row r="214" customFormat="false" ht="13.5" hidden="false" customHeight="true" outlineLevel="0" collapsed="false">
      <c r="A214" s="112" t="s">
        <v>41</v>
      </c>
      <c r="B214" s="126" t="n">
        <v>2017</v>
      </c>
      <c r="C214" s="113" t="n">
        <v>20.71</v>
      </c>
      <c r="D214" s="127" t="n">
        <v>3.74</v>
      </c>
      <c r="E214" s="115" t="n">
        <v>5.7714</v>
      </c>
      <c r="F214" s="128" t="n">
        <v>4.0604</v>
      </c>
      <c r="G214" s="129" t="n">
        <v>22002</v>
      </c>
      <c r="H214" s="130" t="n">
        <v>9.9989</v>
      </c>
      <c r="I214" s="96" t="n">
        <v>11.7</v>
      </c>
      <c r="J214" s="126" t="n">
        <v>0</v>
      </c>
      <c r="K214" s="126" t="n">
        <v>0</v>
      </c>
      <c r="L214" s="116" t="n">
        <v>202.1886</v>
      </c>
      <c r="M214" s="131" t="n">
        <v>1550194</v>
      </c>
    </row>
    <row r="215" customFormat="false" ht="13.5" hidden="false" customHeight="true" outlineLevel="0" collapsed="false">
      <c r="A215" s="104" t="s">
        <v>41</v>
      </c>
      <c r="B215" s="124" t="n">
        <v>2018</v>
      </c>
      <c r="C215" s="105" t="n">
        <v>19.74</v>
      </c>
      <c r="D215" s="106" t="n">
        <v>6.62</v>
      </c>
      <c r="E215" s="107" t="n">
        <v>5.7268</v>
      </c>
      <c r="F215" s="108" t="n">
        <v>4.6347</v>
      </c>
      <c r="G215" s="84" t="n">
        <v>22933</v>
      </c>
      <c r="H215" s="109" t="n">
        <v>10.0403</v>
      </c>
      <c r="I215" s="92" t="n">
        <v>10.7</v>
      </c>
      <c r="J215" s="124" t="n">
        <v>0</v>
      </c>
      <c r="K215" s="124" t="n">
        <v>0</v>
      </c>
      <c r="L215" s="108" t="n">
        <v>202.1886</v>
      </c>
      <c r="M215" s="125" t="n">
        <v>1555229</v>
      </c>
    </row>
    <row r="216" customFormat="false" ht="13.5" hidden="false" customHeight="true" outlineLevel="0" collapsed="false">
      <c r="A216" s="112" t="s">
        <v>41</v>
      </c>
      <c r="B216" s="126" t="n">
        <v>2019</v>
      </c>
      <c r="C216" s="113" t="n">
        <v>15.7</v>
      </c>
      <c r="D216" s="127" t="n">
        <v>27.47</v>
      </c>
      <c r="E216" s="115" t="n">
        <v>5.5094</v>
      </c>
      <c r="F216" s="128" t="n">
        <v>6.0684</v>
      </c>
      <c r="G216" s="129" t="n">
        <v>25022</v>
      </c>
      <c r="H216" s="130" t="n">
        <v>10.1275</v>
      </c>
      <c r="I216" s="96" t="n">
        <v>11</v>
      </c>
      <c r="J216" s="126" t="n">
        <v>0</v>
      </c>
      <c r="K216" s="126" t="n">
        <v>0</v>
      </c>
      <c r="L216" s="116" t="n">
        <v>202.1886</v>
      </c>
      <c r="M216" s="131" t="n">
        <v>1572866</v>
      </c>
    </row>
    <row r="217" customFormat="false" ht="13.5" hidden="false" customHeight="true" outlineLevel="0" collapsed="false">
      <c r="A217" s="104" t="s">
        <v>41</v>
      </c>
      <c r="B217" s="124" t="n">
        <v>2020</v>
      </c>
      <c r="C217" s="105" t="n">
        <v>17.29</v>
      </c>
      <c r="D217" s="106" t="n">
        <v>47.35</v>
      </c>
      <c r="E217" s="107" t="n">
        <v>5.6168</v>
      </c>
      <c r="F217" s="108" t="n">
        <v>6.6241</v>
      </c>
      <c r="G217" s="84" t="n">
        <v>27448</v>
      </c>
      <c r="H217" s="109" t="n">
        <v>10.2201</v>
      </c>
      <c r="I217" s="92" t="n">
        <v>12.1</v>
      </c>
      <c r="J217" s="124" t="n">
        <v>0</v>
      </c>
      <c r="K217" s="132" t="n">
        <v>1</v>
      </c>
      <c r="L217" s="108" t="n">
        <v>202.1886</v>
      </c>
      <c r="M217" s="125" t="n">
        <v>1590248</v>
      </c>
    </row>
    <row r="218" customFormat="false" ht="13.5" hidden="false" customHeight="true" outlineLevel="0" collapsed="false">
      <c r="A218" s="112" t="s">
        <v>41</v>
      </c>
      <c r="B218" s="126" t="n">
        <v>2021</v>
      </c>
      <c r="C218" s="113" t="n">
        <v>15.62</v>
      </c>
      <c r="D218" s="127" t="n">
        <v>100.91</v>
      </c>
      <c r="E218" s="115" t="n">
        <v>5.5255</v>
      </c>
      <c r="F218" s="128" t="n">
        <v>7.3914</v>
      </c>
      <c r="G218" s="129" t="n">
        <v>32215</v>
      </c>
      <c r="H218" s="130" t="n">
        <v>10.3802</v>
      </c>
      <c r="I218" s="96" t="n">
        <v>13.4</v>
      </c>
      <c r="J218" s="126" t="n">
        <v>0</v>
      </c>
      <c r="K218" s="132" t="n">
        <v>1</v>
      </c>
      <c r="L218" s="116" t="n">
        <v>202.1886</v>
      </c>
      <c r="M218" s="131" t="n">
        <v>1607363</v>
      </c>
    </row>
    <row r="219" customFormat="false" ht="13.5" hidden="false" customHeight="true" outlineLevel="0" collapsed="false">
      <c r="A219" s="104" t="s">
        <v>41</v>
      </c>
      <c r="B219" s="124" t="n">
        <v>2022</v>
      </c>
      <c r="C219" s="105" t="n">
        <v>16.41</v>
      </c>
      <c r="D219" s="106" t="n">
        <v>202.19</v>
      </c>
      <c r="E219" s="107" t="n">
        <v>5.5134</v>
      </c>
      <c r="F219" s="108" t="n">
        <v>8.0249</v>
      </c>
      <c r="G219" s="84" t="n">
        <v>38512</v>
      </c>
      <c r="H219" s="109" t="n">
        <v>10.5587</v>
      </c>
      <c r="I219" s="92" t="n">
        <v>6.4</v>
      </c>
      <c r="J219" s="124" t="n">
        <v>0</v>
      </c>
      <c r="K219" s="124" t="n">
        <v>0</v>
      </c>
      <c r="L219" s="108" t="n">
        <v>202.1886</v>
      </c>
      <c r="M219" s="125" t="n">
        <v>1511460</v>
      </c>
    </row>
    <row r="220" customFormat="false" ht="13.5" hidden="false" customHeight="true" outlineLevel="0" collapsed="false">
      <c r="A220" s="112" t="s">
        <v>41</v>
      </c>
      <c r="B220" s="126" t="n">
        <v>2023</v>
      </c>
      <c r="C220" s="113" t="n">
        <v>17.67</v>
      </c>
      <c r="D220" s="127" t="n">
        <v>0.33</v>
      </c>
      <c r="E220" s="115" t="n">
        <v>5.5872</v>
      </c>
      <c r="F220" s="128" t="n">
        <v>1.6094</v>
      </c>
      <c r="G220" s="129" t="n">
        <v>42553</v>
      </c>
      <c r="H220" s="130" t="n">
        <v>10.6585</v>
      </c>
      <c r="I220" s="96" t="n">
        <v>6.1</v>
      </c>
      <c r="J220" s="133" t="n">
        <v>1</v>
      </c>
      <c r="K220" s="126" t="n">
        <v>0</v>
      </c>
      <c r="L220" s="116" t="n">
        <v>202.1886</v>
      </c>
      <c r="M220" s="131" t="n">
        <v>1511460</v>
      </c>
    </row>
    <row r="221" customFormat="false" ht="13.5" hidden="false" customHeight="true" outlineLevel="0" collapsed="false">
      <c r="A221" s="134" t="s">
        <v>15</v>
      </c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5" t="n">
        <v>880631</v>
      </c>
    </row>
    <row r="222" customFormat="false" ht="13.5" hidden="false" customHeight="true" outlineLevel="0" collapsed="false">
      <c r="A222" s="136" t="s">
        <v>16</v>
      </c>
      <c r="B222" s="137" t="n">
        <v>2024</v>
      </c>
      <c r="C222" s="138" t="n">
        <v>27.61</v>
      </c>
      <c r="D222" s="138" t="n">
        <v>16.52</v>
      </c>
      <c r="E222" s="139" t="n">
        <v>6.7901</v>
      </c>
      <c r="F222" s="139" t="n">
        <v>6.2766</v>
      </c>
      <c r="G222" s="140" t="n">
        <v>30268</v>
      </c>
      <c r="H222" s="141" t="n">
        <v>10.3178</v>
      </c>
      <c r="I222" s="142" t="n">
        <v>8.6</v>
      </c>
      <c r="J222" s="143" t="n">
        <v>1</v>
      </c>
      <c r="K222" s="143" t="n">
        <v>0</v>
      </c>
      <c r="L222" s="139" t="n">
        <v>111.5203</v>
      </c>
      <c r="M222" s="144" t="n">
        <v>3220104</v>
      </c>
    </row>
    <row r="223" customFormat="false" ht="13.5" hidden="false" customHeight="true" outlineLevel="0" collapsed="false">
      <c r="A223" s="134" t="s">
        <v>17</v>
      </c>
      <c r="B223" s="145" t="n">
        <v>2024</v>
      </c>
      <c r="C223" s="146" t="n">
        <v>17.71</v>
      </c>
      <c r="D223" s="146" t="n">
        <v>2.85</v>
      </c>
      <c r="E223" s="147" t="n">
        <v>6.6307</v>
      </c>
      <c r="F223" s="147" t="n">
        <v>4.804</v>
      </c>
      <c r="G223" s="148" t="n">
        <v>41557</v>
      </c>
      <c r="H223" s="149" t="n">
        <v>10.6348</v>
      </c>
      <c r="I223" s="150" t="n">
        <v>8.8</v>
      </c>
      <c r="J223" s="151" t="n">
        <v>1</v>
      </c>
      <c r="K223" s="151" t="n">
        <v>0</v>
      </c>
      <c r="L223" s="147" t="n">
        <v>101.6081</v>
      </c>
      <c r="M223" s="135" t="n">
        <v>4281209</v>
      </c>
    </row>
    <row r="224" customFormat="false" ht="13.5" hidden="false" customHeight="true" outlineLevel="0" collapsed="false">
      <c r="A224" s="136" t="s">
        <v>18</v>
      </c>
      <c r="B224" s="137" t="n">
        <v>2024</v>
      </c>
      <c r="C224" s="138" t="n">
        <v>24.41</v>
      </c>
      <c r="D224" s="138" t="n">
        <v>8.22</v>
      </c>
      <c r="E224" s="139" t="n">
        <v>5.2781</v>
      </c>
      <c r="F224" s="139" t="n">
        <v>4.1897</v>
      </c>
      <c r="G224" s="140" t="n">
        <v>39592</v>
      </c>
      <c r="H224" s="141" t="n">
        <v>10.5864</v>
      </c>
      <c r="I224" s="142" t="n">
        <v>9.3</v>
      </c>
      <c r="J224" s="143" t="n">
        <v>1</v>
      </c>
      <c r="K224" s="143" t="n">
        <v>0</v>
      </c>
      <c r="L224" s="139" t="n">
        <v>75.0928</v>
      </c>
      <c r="M224" s="144" t="n">
        <v>802837</v>
      </c>
    </row>
    <row r="225" customFormat="false" ht="13.5" hidden="false" customHeight="true" outlineLevel="0" collapsed="false">
      <c r="A225" s="134" t="s">
        <v>19</v>
      </c>
      <c r="B225" s="145" t="n">
        <v>2024</v>
      </c>
      <c r="C225" s="146" t="n">
        <v>25.43</v>
      </c>
      <c r="D225" s="146" t="n">
        <v>10.38</v>
      </c>
      <c r="E225" s="147" t="n">
        <v>8.2367</v>
      </c>
      <c r="F225" s="147" t="n">
        <v>7.3402</v>
      </c>
      <c r="G225" s="148" t="n">
        <v>31312</v>
      </c>
      <c r="H225" s="149" t="n">
        <v>10.3518</v>
      </c>
      <c r="I225" s="150" t="n">
        <v>11.2</v>
      </c>
      <c r="J225" s="151" t="n">
        <v>1</v>
      </c>
      <c r="K225" s="151" t="n">
        <v>0</v>
      </c>
      <c r="L225" s="147" t="n">
        <v>83.5901</v>
      </c>
      <c r="M225" s="135" t="n">
        <v>14850513</v>
      </c>
    </row>
    <row r="226" customFormat="false" ht="13.5" hidden="false" customHeight="true" outlineLevel="0" collapsed="false">
      <c r="A226" s="136" t="s">
        <v>20</v>
      </c>
      <c r="B226" s="137" t="n">
        <v>2024</v>
      </c>
      <c r="C226" s="138" t="n">
        <v>29.3</v>
      </c>
      <c r="D226" s="138" t="n">
        <v>14.34</v>
      </c>
      <c r="E226" s="139" t="n">
        <v>7.9029</v>
      </c>
      <c r="F226" s="139" t="n">
        <v>7.1884</v>
      </c>
      <c r="G226" s="140" t="n">
        <v>27101</v>
      </c>
      <c r="H226" s="141" t="n">
        <v>10.2073</v>
      </c>
      <c r="I226" s="142" t="n">
        <v>7.3</v>
      </c>
      <c r="J226" s="143" t="n">
        <v>1</v>
      </c>
      <c r="K226" s="143" t="n">
        <v>0</v>
      </c>
      <c r="L226" s="139" t="n">
        <v>73.201</v>
      </c>
      <c r="M226" s="144" t="n">
        <v>9233656</v>
      </c>
    </row>
    <row r="227" customFormat="false" ht="13.5" hidden="false" customHeight="true" outlineLevel="0" collapsed="false">
      <c r="A227" s="134" t="s">
        <v>21</v>
      </c>
      <c r="B227" s="145" t="n">
        <v>2024</v>
      </c>
      <c r="C227" s="146" t="n">
        <v>3.69</v>
      </c>
      <c r="D227" s="146" t="n">
        <v>38.49</v>
      </c>
      <c r="E227" s="147" t="n">
        <v>4.7005</v>
      </c>
      <c r="F227" s="147" t="n">
        <v>7.0458</v>
      </c>
      <c r="G227" s="148" t="n">
        <v>136149</v>
      </c>
      <c r="H227" s="149" t="n">
        <v>11.8215</v>
      </c>
      <c r="I227" s="150" t="n">
        <v>9.2</v>
      </c>
      <c r="J227" s="151" t="n">
        <v>1</v>
      </c>
      <c r="K227" s="151" t="n">
        <v>0</v>
      </c>
      <c r="L227" s="147" t="n">
        <v>385.4999</v>
      </c>
      <c r="M227" s="135" t="n">
        <v>2982818</v>
      </c>
    </row>
    <row r="228" customFormat="false" ht="13.5" hidden="false" customHeight="true" outlineLevel="0" collapsed="false">
      <c r="A228" s="136" t="s">
        <v>22</v>
      </c>
      <c r="B228" s="137" t="n">
        <v>2024</v>
      </c>
      <c r="C228" s="138" t="n">
        <v>18.14</v>
      </c>
      <c r="D228" s="138" t="n">
        <v>12.55</v>
      </c>
      <c r="E228" s="139" t="n">
        <v>6.612</v>
      </c>
      <c r="F228" s="139" t="n">
        <v>6.2442</v>
      </c>
      <c r="G228" s="140" t="n">
        <v>53393</v>
      </c>
      <c r="H228" s="141" t="n">
        <v>10.8854</v>
      </c>
      <c r="I228" s="142" t="n">
        <v>4.7</v>
      </c>
      <c r="J228" s="143" t="n">
        <v>1</v>
      </c>
      <c r="K228" s="143" t="n">
        <v>0</v>
      </c>
      <c r="L228" s="139" t="n">
        <v>78.6444</v>
      </c>
      <c r="M228" s="144" t="n">
        <v>4102129</v>
      </c>
    </row>
    <row r="229" customFormat="false" ht="13.5" hidden="false" customHeight="true" outlineLevel="0" collapsed="false">
      <c r="A229" s="134" t="s">
        <v>23</v>
      </c>
      <c r="B229" s="145" t="n">
        <v>2024</v>
      </c>
      <c r="C229" s="146" t="n">
        <v>8.63</v>
      </c>
      <c r="D229" s="146" t="n">
        <v>68.7</v>
      </c>
      <c r="E229" s="147" t="n">
        <v>6.452</v>
      </c>
      <c r="F229" s="147" t="n">
        <v>8.5271</v>
      </c>
      <c r="G229" s="148" t="n">
        <v>50470</v>
      </c>
      <c r="H229" s="149" t="n">
        <v>10.8291</v>
      </c>
      <c r="I229" s="150" t="n">
        <v>5.4</v>
      </c>
      <c r="J229" s="151" t="n">
        <v>1</v>
      </c>
      <c r="K229" s="151" t="n">
        <v>0</v>
      </c>
      <c r="L229" s="147" t="n">
        <v>412.6553</v>
      </c>
      <c r="M229" s="135" t="n">
        <v>7350483</v>
      </c>
    </row>
    <row r="230" customFormat="false" ht="13.5" hidden="false" customHeight="true" outlineLevel="0" collapsed="false">
      <c r="A230" s="136" t="s">
        <v>24</v>
      </c>
      <c r="B230" s="137" t="n">
        <v>2024</v>
      </c>
      <c r="C230" s="138" t="n">
        <v>22.42</v>
      </c>
      <c r="D230" s="138" t="n">
        <v>7.32</v>
      </c>
      <c r="E230" s="139" t="n">
        <v>7.3601</v>
      </c>
      <c r="F230" s="139" t="n">
        <v>6.2403</v>
      </c>
      <c r="G230" s="140" t="n">
        <v>22544</v>
      </c>
      <c r="H230" s="141" t="n">
        <v>10.0232</v>
      </c>
      <c r="I230" s="142" t="n">
        <v>7.7</v>
      </c>
      <c r="J230" s="143" t="n">
        <v>1</v>
      </c>
      <c r="K230" s="143" t="n">
        <v>0</v>
      </c>
      <c r="L230" s="139" t="n">
        <v>73.5314</v>
      </c>
      <c r="M230" s="144" t="n">
        <v>7010960</v>
      </c>
    </row>
    <row r="231" customFormat="false" ht="13.5" hidden="false" customHeight="true" outlineLevel="0" collapsed="false">
      <c r="A231" s="134" t="s">
        <v>25</v>
      </c>
      <c r="B231" s="145" t="n">
        <v>2024</v>
      </c>
      <c r="C231" s="146" t="n">
        <v>7.89</v>
      </c>
      <c r="D231" s="146" t="n">
        <v>36.42</v>
      </c>
      <c r="E231" s="147" t="n">
        <v>7.4277</v>
      </c>
      <c r="F231" s="147" t="n">
        <v>8.9575</v>
      </c>
      <c r="G231" s="148" t="n">
        <v>48462</v>
      </c>
      <c r="H231" s="149" t="n">
        <v>10.7885</v>
      </c>
      <c r="I231" s="150" t="n">
        <v>5.2</v>
      </c>
      <c r="J231" s="151" t="n">
        <v>1</v>
      </c>
      <c r="K231" s="151" t="n">
        <v>0</v>
      </c>
      <c r="L231" s="147" t="n">
        <v>178.189</v>
      </c>
      <c r="M231" s="135" t="n">
        <v>21322691</v>
      </c>
    </row>
    <row r="232" customFormat="false" ht="13.5" hidden="false" customHeight="true" outlineLevel="0" collapsed="false">
      <c r="A232" s="136" t="s">
        <v>26</v>
      </c>
      <c r="B232" s="137" t="n">
        <v>2024</v>
      </c>
      <c r="C232" s="138" t="n">
        <v>7.48</v>
      </c>
      <c r="D232" s="138" t="n">
        <v>40.66</v>
      </c>
      <c r="E232" s="139" t="n">
        <v>5.3799</v>
      </c>
      <c r="F232" s="139" t="n">
        <v>7.0733</v>
      </c>
      <c r="G232" s="140" t="n">
        <v>69436</v>
      </c>
      <c r="H232" s="141" t="n">
        <v>11.1482</v>
      </c>
      <c r="I232" s="142" t="n">
        <v>4</v>
      </c>
      <c r="J232" s="143" t="n">
        <v>1</v>
      </c>
      <c r="K232" s="143" t="n">
        <v>0</v>
      </c>
      <c r="L232" s="139" t="n">
        <v>325.6786</v>
      </c>
      <c r="M232" s="144" t="n">
        <v>2901895</v>
      </c>
    </row>
    <row r="233" customFormat="false" ht="13.5" hidden="false" customHeight="true" outlineLevel="0" collapsed="false">
      <c r="A233" s="134" t="s">
        <v>27</v>
      </c>
      <c r="B233" s="145" t="n">
        <v>2024</v>
      </c>
      <c r="C233" s="146" t="n">
        <v>18.06</v>
      </c>
      <c r="D233" s="146" t="n">
        <v>58.75</v>
      </c>
      <c r="E233" s="147" t="n">
        <v>6.541</v>
      </c>
      <c r="F233" s="147" t="n">
        <v>7.7205</v>
      </c>
      <c r="G233" s="148" t="n">
        <v>75843</v>
      </c>
      <c r="H233" s="149" t="n">
        <v>11.2364</v>
      </c>
      <c r="I233" s="150" t="n">
        <v>2.9</v>
      </c>
      <c r="J233" s="151" t="n">
        <v>1</v>
      </c>
      <c r="K233" s="151" t="n">
        <v>0</v>
      </c>
      <c r="L233" s="147" t="n">
        <v>362.7569</v>
      </c>
      <c r="M233" s="135" t="n">
        <v>3836399</v>
      </c>
    </row>
    <row r="234" customFormat="false" ht="13.5" hidden="false" customHeight="true" outlineLevel="0" collapsed="false">
      <c r="A234" s="136" t="s">
        <v>28</v>
      </c>
      <c r="B234" s="137" t="n">
        <v>2024</v>
      </c>
      <c r="C234" s="138" t="n">
        <v>18</v>
      </c>
      <c r="D234" s="138" t="n">
        <v>11.15</v>
      </c>
      <c r="E234" s="139" t="n">
        <v>7.3524</v>
      </c>
      <c r="F234" s="139" t="n">
        <v>6.8732</v>
      </c>
      <c r="G234" s="140" t="n">
        <v>30179</v>
      </c>
      <c r="H234" s="141" t="n">
        <v>10.3149</v>
      </c>
      <c r="I234" s="142" t="n">
        <v>7.5</v>
      </c>
      <c r="J234" s="143" t="n">
        <v>1</v>
      </c>
      <c r="K234" s="143" t="n">
        <v>0</v>
      </c>
      <c r="L234" s="139" t="n">
        <v>75.4668</v>
      </c>
      <c r="M234" s="144" t="n">
        <v>8664306</v>
      </c>
    </row>
    <row r="235" customFormat="false" ht="13.5" hidden="false" customHeight="true" outlineLevel="0" collapsed="false">
      <c r="A235" s="134" t="s">
        <v>29</v>
      </c>
      <c r="B235" s="145" t="n">
        <v>2024</v>
      </c>
      <c r="C235" s="146" t="n">
        <v>21.52</v>
      </c>
      <c r="D235" s="146" t="n">
        <v>13.05</v>
      </c>
      <c r="E235" s="147" t="n">
        <v>6.7935</v>
      </c>
      <c r="F235" s="147" t="n">
        <v>6.2934</v>
      </c>
      <c r="G235" s="148" t="n">
        <v>25683</v>
      </c>
      <c r="H235" s="149" t="n">
        <v>10.1536</v>
      </c>
      <c r="I235" s="150" t="n">
        <v>8.7</v>
      </c>
      <c r="J235" s="151" t="n">
        <v>1</v>
      </c>
      <c r="K235" s="151" t="n">
        <v>0</v>
      </c>
      <c r="L235" s="147" t="n">
        <v>93.391</v>
      </c>
      <c r="M235" s="135" t="n">
        <v>4145040</v>
      </c>
    </row>
    <row r="236" customFormat="false" ht="13.5" hidden="false" customHeight="true" outlineLevel="0" collapsed="false">
      <c r="A236" s="136" t="s">
        <v>30</v>
      </c>
      <c r="B236" s="137" t="n">
        <v>2024</v>
      </c>
      <c r="C236" s="138" t="n">
        <v>29.09</v>
      </c>
      <c r="D236" s="138" t="n">
        <v>10.01</v>
      </c>
      <c r="E236" s="139" t="n">
        <v>7.9284</v>
      </c>
      <c r="F236" s="139" t="n">
        <v>6.8617</v>
      </c>
      <c r="G236" s="140" t="n">
        <v>30956</v>
      </c>
      <c r="H236" s="141" t="n">
        <v>10.3403</v>
      </c>
      <c r="I236" s="142" t="n">
        <v>11.1</v>
      </c>
      <c r="J236" s="143" t="n">
        <v>1</v>
      </c>
      <c r="K236" s="143" t="n">
        <v>0</v>
      </c>
      <c r="L236" s="139" t="n">
        <v>91.6996</v>
      </c>
      <c r="M236" s="144" t="n">
        <v>9539029</v>
      </c>
    </row>
    <row r="237" customFormat="false" ht="13.5" hidden="false" customHeight="true" outlineLevel="0" collapsed="false">
      <c r="A237" s="134" t="s">
        <v>31</v>
      </c>
      <c r="B237" s="145" t="n">
        <v>2024</v>
      </c>
      <c r="C237" s="146" t="n">
        <v>14.31</v>
      </c>
      <c r="D237" s="146" t="n">
        <v>8.06</v>
      </c>
      <c r="E237" s="147" t="n">
        <v>6.18</v>
      </c>
      <c r="F237" s="147" t="n">
        <v>5.6058</v>
      </c>
      <c r="G237" s="148" t="n">
        <v>26337</v>
      </c>
      <c r="H237" s="149" t="n">
        <v>10.1787</v>
      </c>
      <c r="I237" s="150" t="n">
        <v>8.5</v>
      </c>
      <c r="J237" s="151" t="n">
        <v>1</v>
      </c>
      <c r="K237" s="151" t="n">
        <v>0</v>
      </c>
      <c r="L237" s="147" t="n">
        <v>43.5926</v>
      </c>
      <c r="M237" s="135" t="n">
        <v>3375646</v>
      </c>
    </row>
    <row r="238" customFormat="false" ht="13.5" hidden="false" customHeight="true" outlineLevel="0" collapsed="false">
      <c r="A238" s="136" t="s">
        <v>32</v>
      </c>
      <c r="B238" s="137" t="n">
        <v>2024</v>
      </c>
      <c r="C238" s="138" t="n">
        <v>9.26</v>
      </c>
      <c r="D238" s="138" t="n">
        <v>45.04</v>
      </c>
      <c r="E238" s="139" t="n">
        <v>6.9985</v>
      </c>
      <c r="F238" s="139" t="n">
        <v>8.5804</v>
      </c>
      <c r="G238" s="140" t="n">
        <v>61827</v>
      </c>
      <c r="H238" s="141" t="n">
        <v>11.0321</v>
      </c>
      <c r="I238" s="142" t="n">
        <v>4</v>
      </c>
      <c r="J238" s="143" t="n">
        <v>1</v>
      </c>
      <c r="K238" s="143" t="n">
        <v>0</v>
      </c>
      <c r="L238" s="139" t="n">
        <v>339.4679</v>
      </c>
      <c r="M238" s="144" t="n">
        <v>11824665</v>
      </c>
    </row>
    <row r="239" customFormat="false" ht="13.5" hidden="false" customHeight="true" outlineLevel="0" collapsed="false">
      <c r="A239" s="134" t="s">
        <v>33</v>
      </c>
      <c r="B239" s="145" t="n">
        <v>2024</v>
      </c>
      <c r="C239" s="146" t="n">
        <v>11.81</v>
      </c>
      <c r="D239" s="146" t="n">
        <v>15.89</v>
      </c>
      <c r="E239" s="147" t="n">
        <v>7.6173</v>
      </c>
      <c r="F239" s="147" t="n">
        <v>7.9143</v>
      </c>
      <c r="G239" s="148" t="n">
        <v>74008</v>
      </c>
      <c r="H239" s="149" t="n">
        <v>11.2119</v>
      </c>
      <c r="I239" s="150" t="n">
        <v>9</v>
      </c>
      <c r="J239" s="151" t="n">
        <v>1</v>
      </c>
      <c r="K239" s="151" t="n">
        <v>0</v>
      </c>
      <c r="L239" s="147" t="n">
        <v>91.5966</v>
      </c>
      <c r="M239" s="135" t="n">
        <v>17219679</v>
      </c>
    </row>
    <row r="240" customFormat="false" ht="13.5" hidden="false" customHeight="true" outlineLevel="0" collapsed="false">
      <c r="A240" s="136" t="s">
        <v>34</v>
      </c>
      <c r="B240" s="137" t="n">
        <v>2024</v>
      </c>
      <c r="C240" s="138" t="n">
        <v>17.59</v>
      </c>
      <c r="D240" s="138" t="n">
        <v>18.92</v>
      </c>
      <c r="E240" s="139" t="n">
        <v>6.4069</v>
      </c>
      <c r="F240" s="139" t="n">
        <v>6.48</v>
      </c>
      <c r="G240" s="140" t="n">
        <v>32670</v>
      </c>
      <c r="H240" s="141" t="n">
        <v>10.3942</v>
      </c>
      <c r="I240" s="142" t="n">
        <v>9.1</v>
      </c>
      <c r="J240" s="143" t="n">
        <v>1</v>
      </c>
      <c r="K240" s="143" t="n">
        <v>0</v>
      </c>
      <c r="L240" s="139" t="n">
        <v>74.9986</v>
      </c>
      <c r="M240" s="144" t="n">
        <v>3446071</v>
      </c>
    </row>
    <row r="241" customFormat="false" ht="13.5" hidden="false" customHeight="true" outlineLevel="0" collapsed="false">
      <c r="A241" s="134" t="s">
        <v>35</v>
      </c>
      <c r="B241" s="145" t="n">
        <v>2024</v>
      </c>
      <c r="C241" s="146" t="n">
        <v>18.96</v>
      </c>
      <c r="D241" s="146" t="n">
        <v>21.65</v>
      </c>
      <c r="E241" s="147" t="n">
        <v>5.8021</v>
      </c>
      <c r="F241" s="147" t="n">
        <v>5.9349</v>
      </c>
      <c r="G241" s="148" t="n">
        <v>48766</v>
      </c>
      <c r="H241" s="149" t="n">
        <v>10.7948</v>
      </c>
      <c r="I241" s="150" t="n">
        <v>2.9</v>
      </c>
      <c r="J241" s="151" t="n">
        <v>1</v>
      </c>
      <c r="K241" s="151" t="n">
        <v>0</v>
      </c>
      <c r="L241" s="147" t="n">
        <v>351.0001</v>
      </c>
      <c r="M241" s="135" t="n">
        <v>1746227</v>
      </c>
    </row>
    <row r="242" customFormat="false" ht="13.5" hidden="false" customHeight="true" outlineLevel="0" collapsed="false">
      <c r="A242" s="136" t="s">
        <v>36</v>
      </c>
      <c r="B242" s="137" t="n">
        <v>2024</v>
      </c>
      <c r="C242" s="138" t="n">
        <v>9.63</v>
      </c>
      <c r="D242" s="138" t="n">
        <v>7.81</v>
      </c>
      <c r="E242" s="139" t="n">
        <v>4.2341</v>
      </c>
      <c r="F242" s="139" t="n">
        <v>4.0254</v>
      </c>
      <c r="G242" s="140" t="n">
        <v>39946</v>
      </c>
      <c r="H242" s="141" t="n">
        <v>10.5953</v>
      </c>
      <c r="I242" s="142" t="n">
        <v>6.8</v>
      </c>
      <c r="J242" s="143" t="n">
        <v>1</v>
      </c>
      <c r="K242" s="143" t="n">
        <v>0</v>
      </c>
      <c r="L242" s="139" t="n">
        <v>80.8849</v>
      </c>
      <c r="M242" s="144" t="n">
        <v>716793</v>
      </c>
    </row>
    <row r="243" customFormat="false" ht="13.5" hidden="false" customHeight="true" outlineLevel="0" collapsed="false">
      <c r="A243" s="134" t="s">
        <v>37</v>
      </c>
      <c r="B243" s="145" t="n">
        <v>2024</v>
      </c>
      <c r="C243" s="146" t="n">
        <v>10.93</v>
      </c>
      <c r="D243" s="146" t="n">
        <v>47.75</v>
      </c>
      <c r="E243" s="147" t="n">
        <v>7.1123</v>
      </c>
      <c r="F243" s="147" t="n">
        <v>8.5871</v>
      </c>
      <c r="G243" s="148" t="n">
        <v>61199</v>
      </c>
      <c r="H243" s="149" t="n">
        <v>11.0219</v>
      </c>
      <c r="I243" s="150" t="n">
        <v>5.1</v>
      </c>
      <c r="J243" s="151" t="n">
        <v>1</v>
      </c>
      <c r="K243" s="151" t="n">
        <v>0</v>
      </c>
      <c r="L243" s="147" t="n">
        <v>273.3079</v>
      </c>
      <c r="M243" s="135" t="n">
        <v>11229915</v>
      </c>
    </row>
    <row r="244" customFormat="false" ht="13.5" hidden="false" customHeight="true" outlineLevel="0" collapsed="false">
      <c r="A244" s="136" t="s">
        <v>38</v>
      </c>
      <c r="B244" s="137" t="n">
        <v>2024</v>
      </c>
      <c r="C244" s="138" t="n">
        <v>3.78</v>
      </c>
      <c r="D244" s="138" t="n">
        <v>72.78</v>
      </c>
      <c r="E244" s="139" t="n">
        <v>5.7203</v>
      </c>
      <c r="F244" s="139" t="n">
        <v>8.6768</v>
      </c>
      <c r="G244" s="140" t="n">
        <v>69506</v>
      </c>
      <c r="H244" s="141" t="n">
        <v>11.1492</v>
      </c>
      <c r="I244" s="142" t="n">
        <v>3.1</v>
      </c>
      <c r="J244" s="143" t="n">
        <v>1</v>
      </c>
      <c r="K244" s="143" t="n">
        <v>0</v>
      </c>
      <c r="L244" s="139" t="n">
        <v>371.165</v>
      </c>
      <c r="M244" s="144" t="n">
        <v>8058441</v>
      </c>
    </row>
    <row r="245" customFormat="false" ht="13.5" hidden="false" customHeight="true" outlineLevel="0" collapsed="false">
      <c r="A245" s="134" t="s">
        <v>39</v>
      </c>
      <c r="B245" s="145" t="n">
        <v>2024</v>
      </c>
      <c r="C245" s="146" t="n">
        <v>17.28</v>
      </c>
      <c r="D245" s="146" t="n">
        <v>1.05</v>
      </c>
      <c r="E245" s="147" t="n">
        <v>5.9814</v>
      </c>
      <c r="F245" s="147" t="n">
        <v>3.1781</v>
      </c>
      <c r="G245" s="148" t="n">
        <v>28579</v>
      </c>
      <c r="H245" s="149" t="n">
        <v>10.2604</v>
      </c>
      <c r="I245" s="150" t="n">
        <v>8.9</v>
      </c>
      <c r="J245" s="151" t="n">
        <v>1</v>
      </c>
      <c r="K245" s="151" t="n">
        <v>0</v>
      </c>
      <c r="L245" s="147" t="n">
        <v>47.4207</v>
      </c>
      <c r="M245" s="135" t="n">
        <v>2291077</v>
      </c>
    </row>
    <row r="246" customFormat="false" ht="13.5" hidden="false" customHeight="true" outlineLevel="0" collapsed="false">
      <c r="A246" s="136" t="s">
        <v>40</v>
      </c>
      <c r="B246" s="137" t="n">
        <v>2024</v>
      </c>
      <c r="C246" s="138" t="n">
        <v>3.13</v>
      </c>
      <c r="D246" s="138" t="n">
        <v>59.74</v>
      </c>
      <c r="E246" s="139" t="n">
        <v>7.2724</v>
      </c>
      <c r="F246" s="139" t="n">
        <v>10.2206</v>
      </c>
      <c r="G246" s="140" t="n">
        <v>82767</v>
      </c>
      <c r="H246" s="141" t="n">
        <v>11.3238</v>
      </c>
      <c r="I246" s="142" t="n">
        <v>6.5</v>
      </c>
      <c r="J246" s="143" t="n">
        <v>1</v>
      </c>
      <c r="K246" s="143" t="n">
        <v>0</v>
      </c>
      <c r="L246" s="139" t="n">
        <v>190.7603</v>
      </c>
      <c r="M246" s="144" t="n">
        <v>45973194</v>
      </c>
    </row>
    <row r="247" customFormat="false" ht="13.5" hidden="false" customHeight="true" outlineLevel="0" collapsed="false">
      <c r="A247" s="134" t="s">
        <v>41</v>
      </c>
      <c r="B247" s="145" t="n">
        <v>2024</v>
      </c>
      <c r="C247" s="146" t="n">
        <v>8.62</v>
      </c>
      <c r="D247" s="146" t="n">
        <v>41.34</v>
      </c>
      <c r="E247" s="147" t="n">
        <v>4.9127</v>
      </c>
      <c r="F247" s="147" t="n">
        <v>6.48</v>
      </c>
      <c r="G247" s="148" t="n">
        <v>45296</v>
      </c>
      <c r="H247" s="149" t="n">
        <v>10.721</v>
      </c>
      <c r="I247" s="150" t="n">
        <v>5.4</v>
      </c>
      <c r="J247" s="151" t="n">
        <v>1</v>
      </c>
      <c r="K247" s="151" t="n">
        <v>0</v>
      </c>
      <c r="L247" s="147" t="n">
        <v>202.1886</v>
      </c>
      <c r="M247" s="135" t="n">
        <v>1577342</v>
      </c>
    </row>
    <row r="248" customFormat="false" ht="548.25" hidden="false" customHeight="true" outlineLevel="0" collapsed="false">
      <c r="A248" s="152" t="s">
        <v>164</v>
      </c>
    </row>
  </sheetData>
  <mergeCells count="3">
    <mergeCell ref="A1:L1"/>
    <mergeCell ref="A2:L2"/>
    <mergeCell ref="A221:L2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1" width="12"/>
  </cols>
  <sheetData>
    <row r="1" customFormat="false" ht="19.5" hidden="false" customHeight="true" outlineLevel="0" collapsed="false">
      <c r="A1" s="153" t="s">
        <v>165</v>
      </c>
      <c r="B1" s="153"/>
      <c r="C1" s="153"/>
    </row>
    <row r="2" customFormat="false" ht="12.75" hidden="false" customHeight="true" outlineLevel="0" collapsed="false">
      <c r="A2" s="154" t="s">
        <v>166</v>
      </c>
      <c r="B2" s="154"/>
      <c r="C2" s="154"/>
    </row>
    <row r="3" customFormat="false" ht="19.5" hidden="false" customHeight="true" outlineLevel="0" collapsed="false">
      <c r="A3" s="155" t="s">
        <v>138</v>
      </c>
      <c r="B3" s="155" t="s">
        <v>139</v>
      </c>
      <c r="C3" s="156" t="s">
        <v>167</v>
      </c>
    </row>
    <row r="4" customFormat="false" ht="24" hidden="false" customHeight="true" outlineLevel="0" collapsed="false">
      <c r="A4" s="123" t="s">
        <v>151</v>
      </c>
      <c r="B4" s="123" t="s">
        <v>45</v>
      </c>
      <c r="C4" s="123" t="s">
        <v>168</v>
      </c>
    </row>
    <row r="5" customFormat="false" ht="13.5" hidden="false" customHeight="true" outlineLevel="0" collapsed="false">
      <c r="A5" s="104" t="s">
        <v>15</v>
      </c>
      <c r="B5" s="124" t="n">
        <v>2016</v>
      </c>
      <c r="C5" s="83" t="n">
        <v>10</v>
      </c>
    </row>
    <row r="6" customFormat="false" ht="13.5" hidden="false" customHeight="true" outlineLevel="0" collapsed="false">
      <c r="A6" s="112" t="s">
        <v>15</v>
      </c>
      <c r="B6" s="126" t="n">
        <v>2017</v>
      </c>
      <c r="C6" s="86" t="n">
        <v>23</v>
      </c>
    </row>
    <row r="7" customFormat="false" ht="13.5" hidden="false" customHeight="true" outlineLevel="0" collapsed="false">
      <c r="A7" s="104" t="s">
        <v>15</v>
      </c>
      <c r="B7" s="124" t="n">
        <v>2018</v>
      </c>
      <c r="C7" s="83" t="n">
        <v>66</v>
      </c>
    </row>
    <row r="8" customFormat="false" ht="13.5" hidden="false" customHeight="true" outlineLevel="0" collapsed="false">
      <c r="A8" s="112" t="s">
        <v>15</v>
      </c>
      <c r="B8" s="126" t="n">
        <v>2019</v>
      </c>
      <c r="C8" s="86" t="n">
        <v>159</v>
      </c>
    </row>
    <row r="9" customFormat="false" ht="13.5" hidden="false" customHeight="true" outlineLevel="0" collapsed="false">
      <c r="A9" s="104" t="s">
        <v>15</v>
      </c>
      <c r="B9" s="124" t="n">
        <v>2020</v>
      </c>
      <c r="C9" s="83" t="n">
        <v>337</v>
      </c>
    </row>
    <row r="10" customFormat="false" ht="13.5" hidden="false" customHeight="true" outlineLevel="0" collapsed="false">
      <c r="A10" s="112" t="s">
        <v>15</v>
      </c>
      <c r="B10" s="126" t="n">
        <v>2021</v>
      </c>
      <c r="C10" s="86" t="n">
        <v>544</v>
      </c>
    </row>
    <row r="11" customFormat="false" ht="13.5" hidden="false" customHeight="true" outlineLevel="0" collapsed="false">
      <c r="A11" s="104" t="s">
        <v>15</v>
      </c>
      <c r="B11" s="124" t="n">
        <v>2022</v>
      </c>
      <c r="C11" s="84" t="n">
        <v>605</v>
      </c>
    </row>
    <row r="12" customFormat="false" ht="13.5" hidden="false" customHeight="true" outlineLevel="0" collapsed="false">
      <c r="A12" s="112" t="s">
        <v>15</v>
      </c>
      <c r="B12" s="126" t="n">
        <v>2023</v>
      </c>
      <c r="C12" s="85" t="n">
        <v>1</v>
      </c>
    </row>
    <row r="13" customFormat="false" ht="13.5" hidden="false" customHeight="true" outlineLevel="0" collapsed="false">
      <c r="A13" s="104" t="s">
        <v>15</v>
      </c>
      <c r="B13" s="124" t="n">
        <v>2024</v>
      </c>
      <c r="C13" s="83" t="n">
        <v>39</v>
      </c>
    </row>
    <row r="14" customFormat="false" ht="13.5" hidden="false" customHeight="true" outlineLevel="0" collapsed="false">
      <c r="A14" s="112" t="s">
        <v>15</v>
      </c>
      <c r="B14" s="126" t="n">
        <v>2025</v>
      </c>
      <c r="C14" s="86" t="n">
        <v>99</v>
      </c>
    </row>
    <row r="15" customFormat="false" ht="13.5" hidden="false" customHeight="true" outlineLevel="0" collapsed="false">
      <c r="A15" s="104" t="s">
        <v>16</v>
      </c>
      <c r="B15" s="124" t="n">
        <v>2016</v>
      </c>
      <c r="C15" s="83" t="n">
        <v>27</v>
      </c>
    </row>
    <row r="16" customFormat="false" ht="13.5" hidden="false" customHeight="true" outlineLevel="0" collapsed="false">
      <c r="A16" s="112" t="s">
        <v>16</v>
      </c>
      <c r="B16" s="126" t="n">
        <v>2017</v>
      </c>
      <c r="C16" s="86" t="n">
        <v>77</v>
      </c>
    </row>
    <row r="17" customFormat="false" ht="13.5" hidden="false" customHeight="true" outlineLevel="0" collapsed="false">
      <c r="A17" s="104" t="s">
        <v>16</v>
      </c>
      <c r="B17" s="124" t="n">
        <v>2018</v>
      </c>
      <c r="C17" s="83" t="n">
        <v>121</v>
      </c>
    </row>
    <row r="18" customFormat="false" ht="13.5" hidden="false" customHeight="true" outlineLevel="0" collapsed="false">
      <c r="A18" s="112" t="s">
        <v>16</v>
      </c>
      <c r="B18" s="126" t="n">
        <v>2019</v>
      </c>
      <c r="C18" s="86" t="n">
        <v>722</v>
      </c>
    </row>
    <row r="19" customFormat="false" ht="13.5" hidden="false" customHeight="true" outlineLevel="0" collapsed="false">
      <c r="A19" s="104" t="s">
        <v>16</v>
      </c>
      <c r="B19" s="124" t="n">
        <v>2020</v>
      </c>
      <c r="C19" s="83" t="n">
        <v>1261</v>
      </c>
    </row>
    <row r="20" customFormat="false" ht="13.5" hidden="false" customHeight="true" outlineLevel="0" collapsed="false">
      <c r="A20" s="112" t="s">
        <v>16</v>
      </c>
      <c r="B20" s="126" t="n">
        <v>2021</v>
      </c>
      <c r="C20" s="86" t="n">
        <v>2587</v>
      </c>
    </row>
    <row r="21" customFormat="false" ht="13.5" hidden="false" customHeight="true" outlineLevel="0" collapsed="false">
      <c r="A21" s="104" t="s">
        <v>16</v>
      </c>
      <c r="B21" s="124" t="n">
        <v>2022</v>
      </c>
      <c r="C21" s="84" t="n">
        <v>3488</v>
      </c>
    </row>
    <row r="22" customFormat="false" ht="13.5" hidden="false" customHeight="true" outlineLevel="0" collapsed="false">
      <c r="A22" s="112" t="s">
        <v>16</v>
      </c>
      <c r="B22" s="126" t="n">
        <v>2023</v>
      </c>
      <c r="C22" s="85" t="n">
        <v>4</v>
      </c>
    </row>
    <row r="23" customFormat="false" ht="13.5" hidden="false" customHeight="true" outlineLevel="0" collapsed="false">
      <c r="A23" s="104" t="s">
        <v>16</v>
      </c>
      <c r="B23" s="124" t="n">
        <v>2024</v>
      </c>
      <c r="C23" s="83" t="n">
        <v>532</v>
      </c>
    </row>
    <row r="24" customFormat="false" ht="13.5" hidden="false" customHeight="true" outlineLevel="0" collapsed="false">
      <c r="A24" s="112" t="s">
        <v>16</v>
      </c>
      <c r="B24" s="126" t="n">
        <v>2025</v>
      </c>
      <c r="C24" s="86" t="n">
        <v>756</v>
      </c>
    </row>
    <row r="25" customFormat="false" ht="13.5" hidden="false" customHeight="true" outlineLevel="0" collapsed="false">
      <c r="A25" s="104" t="s">
        <v>17</v>
      </c>
      <c r="B25" s="124" t="n">
        <v>2016</v>
      </c>
      <c r="C25" s="83" t="n">
        <v>20</v>
      </c>
    </row>
    <row r="26" customFormat="false" ht="13.5" hidden="false" customHeight="true" outlineLevel="0" collapsed="false">
      <c r="A26" s="112" t="s">
        <v>17</v>
      </c>
      <c r="B26" s="126" t="n">
        <v>2017</v>
      </c>
      <c r="C26" s="86" t="n">
        <v>88</v>
      </c>
    </row>
    <row r="27" customFormat="false" ht="13.5" hidden="false" customHeight="true" outlineLevel="0" collapsed="false">
      <c r="A27" s="104" t="s">
        <v>17</v>
      </c>
      <c r="B27" s="124" t="n">
        <v>2018</v>
      </c>
      <c r="C27" s="83" t="n">
        <v>192</v>
      </c>
    </row>
    <row r="28" customFormat="false" ht="13.5" hidden="false" customHeight="true" outlineLevel="0" collapsed="false">
      <c r="A28" s="112" t="s">
        <v>17</v>
      </c>
      <c r="B28" s="126" t="n">
        <v>2019</v>
      </c>
      <c r="C28" s="86" t="n">
        <v>397</v>
      </c>
    </row>
    <row r="29" customFormat="false" ht="13.5" hidden="false" customHeight="true" outlineLevel="0" collapsed="false">
      <c r="A29" s="104" t="s">
        <v>17</v>
      </c>
      <c r="B29" s="124" t="n">
        <v>2020</v>
      </c>
      <c r="C29" s="83" t="n">
        <v>1067</v>
      </c>
    </row>
    <row r="30" customFormat="false" ht="13.5" hidden="false" customHeight="true" outlineLevel="0" collapsed="false">
      <c r="A30" s="112" t="s">
        <v>17</v>
      </c>
      <c r="B30" s="126" t="n">
        <v>2021</v>
      </c>
      <c r="C30" s="86" t="n">
        <v>2142</v>
      </c>
    </row>
    <row r="31" customFormat="false" ht="13.5" hidden="false" customHeight="true" outlineLevel="0" collapsed="false">
      <c r="A31" s="104" t="s">
        <v>17</v>
      </c>
      <c r="B31" s="124" t="n">
        <v>2022</v>
      </c>
      <c r="C31" s="84" t="n">
        <v>4005</v>
      </c>
    </row>
    <row r="32" customFormat="false" ht="13.5" hidden="false" customHeight="true" outlineLevel="0" collapsed="false">
      <c r="A32" s="112" t="s">
        <v>17</v>
      </c>
      <c r="B32" s="126" t="n">
        <v>2023</v>
      </c>
      <c r="C32" s="85" t="n">
        <v>16</v>
      </c>
    </row>
    <row r="33" customFormat="false" ht="13.5" hidden="false" customHeight="true" outlineLevel="0" collapsed="false">
      <c r="A33" s="104" t="s">
        <v>17</v>
      </c>
      <c r="B33" s="124" t="n">
        <v>2024</v>
      </c>
      <c r="C33" s="83" t="n">
        <v>122</v>
      </c>
    </row>
    <row r="34" customFormat="false" ht="13.5" hidden="false" customHeight="true" outlineLevel="0" collapsed="false">
      <c r="A34" s="112" t="s">
        <v>17</v>
      </c>
      <c r="B34" s="126" t="n">
        <v>2025</v>
      </c>
      <c r="C34" s="86" t="n">
        <v>232</v>
      </c>
    </row>
    <row r="35" customFormat="false" ht="13.5" hidden="false" customHeight="true" outlineLevel="0" collapsed="false">
      <c r="A35" s="104" t="s">
        <v>18</v>
      </c>
      <c r="B35" s="124" t="n">
        <v>2016</v>
      </c>
      <c r="C35" s="83" t="n">
        <v>0</v>
      </c>
    </row>
    <row r="36" customFormat="false" ht="13.5" hidden="false" customHeight="true" outlineLevel="0" collapsed="false">
      <c r="A36" s="112" t="s">
        <v>18</v>
      </c>
      <c r="B36" s="126" t="n">
        <v>2017</v>
      </c>
      <c r="C36" s="86" t="n">
        <v>22</v>
      </c>
    </row>
    <row r="37" customFormat="false" ht="13.5" hidden="false" customHeight="true" outlineLevel="0" collapsed="false">
      <c r="A37" s="104" t="s">
        <v>18</v>
      </c>
      <c r="B37" s="124" t="n">
        <v>2018</v>
      </c>
      <c r="C37" s="83" t="n">
        <v>21</v>
      </c>
    </row>
    <row r="38" customFormat="false" ht="13.5" hidden="false" customHeight="true" outlineLevel="0" collapsed="false">
      <c r="A38" s="112" t="s">
        <v>18</v>
      </c>
      <c r="B38" s="126" t="n">
        <v>2019</v>
      </c>
      <c r="C38" s="86" t="n">
        <v>111</v>
      </c>
    </row>
    <row r="39" customFormat="false" ht="13.5" hidden="false" customHeight="true" outlineLevel="0" collapsed="false">
      <c r="A39" s="104" t="s">
        <v>18</v>
      </c>
      <c r="B39" s="124" t="n">
        <v>2020</v>
      </c>
      <c r="C39" s="83" t="n">
        <v>226</v>
      </c>
    </row>
    <row r="40" customFormat="false" ht="13.5" hidden="false" customHeight="true" outlineLevel="0" collapsed="false">
      <c r="A40" s="112" t="s">
        <v>18</v>
      </c>
      <c r="B40" s="126" t="n">
        <v>2021</v>
      </c>
      <c r="C40" s="86" t="n">
        <v>355</v>
      </c>
    </row>
    <row r="41" customFormat="false" ht="13.5" hidden="false" customHeight="true" outlineLevel="0" collapsed="false">
      <c r="A41" s="104" t="s">
        <v>18</v>
      </c>
      <c r="B41" s="124" t="n">
        <v>2022</v>
      </c>
      <c r="C41" s="84" t="n">
        <v>551</v>
      </c>
    </row>
    <row r="42" customFormat="false" ht="13.5" hidden="false" customHeight="true" outlineLevel="0" collapsed="false">
      <c r="A42" s="112" t="s">
        <v>18</v>
      </c>
      <c r="B42" s="126" t="n">
        <v>2023</v>
      </c>
      <c r="C42" s="85" t="n">
        <v>41</v>
      </c>
    </row>
    <row r="43" customFormat="false" ht="13.5" hidden="false" customHeight="true" outlineLevel="0" collapsed="false">
      <c r="A43" s="104" t="s">
        <v>18</v>
      </c>
      <c r="B43" s="124" t="n">
        <v>2024</v>
      </c>
      <c r="C43" s="83" t="n">
        <v>66</v>
      </c>
    </row>
    <row r="44" customFormat="false" ht="13.5" hidden="false" customHeight="true" outlineLevel="0" collapsed="false">
      <c r="A44" s="112" t="s">
        <v>18</v>
      </c>
      <c r="B44" s="126" t="n">
        <v>2025</v>
      </c>
      <c r="C44" s="86" t="n">
        <v>170</v>
      </c>
    </row>
    <row r="45" customFormat="false" ht="13.5" hidden="false" customHeight="true" outlineLevel="0" collapsed="false">
      <c r="A45" s="104" t="s">
        <v>19</v>
      </c>
      <c r="B45" s="124" t="n">
        <v>2016</v>
      </c>
      <c r="C45" s="83" t="n">
        <v>245</v>
      </c>
    </row>
    <row r="46" customFormat="false" ht="13.5" hidden="false" customHeight="true" outlineLevel="0" collapsed="false">
      <c r="A46" s="112" t="s">
        <v>19</v>
      </c>
      <c r="B46" s="126" t="n">
        <v>2017</v>
      </c>
      <c r="C46" s="86" t="n">
        <v>455</v>
      </c>
    </row>
    <row r="47" customFormat="false" ht="13.5" hidden="false" customHeight="true" outlineLevel="0" collapsed="false">
      <c r="A47" s="104" t="s">
        <v>19</v>
      </c>
      <c r="B47" s="124" t="n">
        <v>2018</v>
      </c>
      <c r="C47" s="83" t="n">
        <v>790</v>
      </c>
    </row>
    <row r="48" customFormat="false" ht="13.5" hidden="false" customHeight="true" outlineLevel="0" collapsed="false">
      <c r="A48" s="112" t="s">
        <v>19</v>
      </c>
      <c r="B48" s="126" t="n">
        <v>2019</v>
      </c>
      <c r="C48" s="86" t="n">
        <v>2920</v>
      </c>
    </row>
    <row r="49" customFormat="false" ht="13.5" hidden="false" customHeight="true" outlineLevel="0" collapsed="false">
      <c r="A49" s="104" t="s">
        <v>19</v>
      </c>
      <c r="B49" s="124" t="n">
        <v>2020</v>
      </c>
      <c r="C49" s="83" t="n">
        <v>6161</v>
      </c>
    </row>
    <row r="50" customFormat="false" ht="13.5" hidden="false" customHeight="true" outlineLevel="0" collapsed="false">
      <c r="A50" s="112" t="s">
        <v>19</v>
      </c>
      <c r="B50" s="126" t="n">
        <v>2021</v>
      </c>
      <c r="C50" s="86" t="n">
        <v>8501</v>
      </c>
    </row>
    <row r="51" customFormat="false" ht="13.5" hidden="false" customHeight="true" outlineLevel="0" collapsed="false">
      <c r="A51" s="104" t="s">
        <v>19</v>
      </c>
      <c r="B51" s="124" t="n">
        <v>2022</v>
      </c>
      <c r="C51" s="84" t="n">
        <v>11821</v>
      </c>
    </row>
    <row r="52" customFormat="false" ht="13.5" hidden="false" customHeight="true" outlineLevel="0" collapsed="false">
      <c r="A52" s="112" t="s">
        <v>19</v>
      </c>
      <c r="B52" s="126" t="n">
        <v>2023</v>
      </c>
      <c r="C52" s="85" t="n">
        <v>72</v>
      </c>
    </row>
    <row r="53" customFormat="false" ht="13.5" hidden="false" customHeight="true" outlineLevel="0" collapsed="false">
      <c r="A53" s="104" t="s">
        <v>19</v>
      </c>
      <c r="B53" s="124" t="n">
        <v>2024</v>
      </c>
      <c r="C53" s="83" t="n">
        <v>1541</v>
      </c>
    </row>
    <row r="54" customFormat="false" ht="13.5" hidden="false" customHeight="true" outlineLevel="0" collapsed="false">
      <c r="A54" s="112" t="s">
        <v>19</v>
      </c>
      <c r="B54" s="126" t="n">
        <v>2025</v>
      </c>
      <c r="C54" s="86" t="n">
        <v>4306</v>
      </c>
    </row>
    <row r="55" customFormat="false" ht="13.5" hidden="false" customHeight="true" outlineLevel="0" collapsed="false">
      <c r="A55" s="104" t="s">
        <v>20</v>
      </c>
      <c r="B55" s="124" t="n">
        <v>2016</v>
      </c>
      <c r="C55" s="83" t="n">
        <v>388</v>
      </c>
    </row>
    <row r="56" customFormat="false" ht="13.5" hidden="false" customHeight="true" outlineLevel="0" collapsed="false">
      <c r="A56" s="112" t="s">
        <v>20</v>
      </c>
      <c r="B56" s="126" t="n">
        <v>2017</v>
      </c>
      <c r="C56" s="86" t="n">
        <v>692</v>
      </c>
    </row>
    <row r="57" customFormat="false" ht="13.5" hidden="false" customHeight="true" outlineLevel="0" collapsed="false">
      <c r="A57" s="104" t="s">
        <v>20</v>
      </c>
      <c r="B57" s="124" t="n">
        <v>2018</v>
      </c>
      <c r="C57" s="83" t="n">
        <v>993</v>
      </c>
    </row>
    <row r="58" customFormat="false" ht="13.5" hidden="false" customHeight="true" outlineLevel="0" collapsed="false">
      <c r="A58" s="112" t="s">
        <v>20</v>
      </c>
      <c r="B58" s="126" t="n">
        <v>2019</v>
      </c>
      <c r="C58" s="86" t="n">
        <v>2102</v>
      </c>
    </row>
    <row r="59" customFormat="false" ht="13.5" hidden="false" customHeight="true" outlineLevel="0" collapsed="false">
      <c r="A59" s="104" t="s">
        <v>20</v>
      </c>
      <c r="B59" s="124" t="n">
        <v>2020</v>
      </c>
      <c r="C59" s="83" t="n">
        <v>3117</v>
      </c>
    </row>
    <row r="60" customFormat="false" ht="13.5" hidden="false" customHeight="true" outlineLevel="0" collapsed="false">
      <c r="A60" s="112" t="s">
        <v>20</v>
      </c>
      <c r="B60" s="126" t="n">
        <v>2021</v>
      </c>
      <c r="C60" s="86" t="n">
        <v>6179</v>
      </c>
    </row>
    <row r="61" customFormat="false" ht="13.5" hidden="false" customHeight="true" outlineLevel="0" collapsed="false">
      <c r="A61" s="104" t="s">
        <v>20</v>
      </c>
      <c r="B61" s="124" t="n">
        <v>2022</v>
      </c>
      <c r="C61" s="84" t="n">
        <v>6438</v>
      </c>
    </row>
    <row r="62" customFormat="false" ht="13.5" hidden="false" customHeight="true" outlineLevel="0" collapsed="false">
      <c r="A62" s="112" t="s">
        <v>20</v>
      </c>
      <c r="B62" s="126" t="n">
        <v>2023</v>
      </c>
      <c r="C62" s="85" t="n">
        <v>18</v>
      </c>
    </row>
    <row r="63" customFormat="false" ht="13.5" hidden="false" customHeight="true" outlineLevel="0" collapsed="false">
      <c r="A63" s="104" t="s">
        <v>20</v>
      </c>
      <c r="B63" s="124" t="n">
        <v>2024</v>
      </c>
      <c r="C63" s="83" t="n">
        <v>1324</v>
      </c>
    </row>
    <row r="64" customFormat="false" ht="13.5" hidden="false" customHeight="true" outlineLevel="0" collapsed="false">
      <c r="A64" s="112" t="s">
        <v>20</v>
      </c>
      <c r="B64" s="126" t="n">
        <v>2025</v>
      </c>
      <c r="C64" s="86" t="n">
        <v>1409</v>
      </c>
    </row>
    <row r="65" customFormat="false" ht="13.5" hidden="false" customHeight="true" outlineLevel="0" collapsed="false">
      <c r="A65" s="104" t="s">
        <v>21</v>
      </c>
      <c r="B65" s="124" t="n">
        <v>2016</v>
      </c>
      <c r="C65" s="83" t="n">
        <v>189</v>
      </c>
    </row>
    <row r="66" customFormat="false" ht="13.5" hidden="false" customHeight="true" outlineLevel="0" collapsed="false">
      <c r="A66" s="112" t="s">
        <v>21</v>
      </c>
      <c r="B66" s="126" t="n">
        <v>2017</v>
      </c>
      <c r="C66" s="86" t="n">
        <v>319</v>
      </c>
    </row>
    <row r="67" customFormat="false" ht="13.5" hidden="false" customHeight="true" outlineLevel="0" collapsed="false">
      <c r="A67" s="104" t="s">
        <v>21</v>
      </c>
      <c r="B67" s="124" t="n">
        <v>2018</v>
      </c>
      <c r="C67" s="83" t="n">
        <v>500</v>
      </c>
    </row>
    <row r="68" customFormat="false" ht="13.5" hidden="false" customHeight="true" outlineLevel="0" collapsed="false">
      <c r="A68" s="112" t="s">
        <v>21</v>
      </c>
      <c r="B68" s="126" t="n">
        <v>2019</v>
      </c>
      <c r="C68" s="86" t="n">
        <v>2483</v>
      </c>
    </row>
    <row r="69" customFormat="false" ht="13.5" hidden="false" customHeight="true" outlineLevel="0" collapsed="false">
      <c r="A69" s="104" t="s">
        <v>21</v>
      </c>
      <c r="B69" s="124" t="n">
        <v>2020</v>
      </c>
      <c r="C69" s="83" t="n">
        <v>5045</v>
      </c>
    </row>
    <row r="70" customFormat="false" ht="13.5" hidden="false" customHeight="true" outlineLevel="0" collapsed="false">
      <c r="A70" s="112" t="s">
        <v>21</v>
      </c>
      <c r="B70" s="126" t="n">
        <v>2021</v>
      </c>
      <c r="C70" s="86" t="n">
        <v>8289</v>
      </c>
    </row>
    <row r="71" customFormat="false" ht="13.5" hidden="false" customHeight="true" outlineLevel="0" collapsed="false">
      <c r="A71" s="104" t="s">
        <v>21</v>
      </c>
      <c r="B71" s="124" t="n">
        <v>2022</v>
      </c>
      <c r="C71" s="84" t="n">
        <v>10861</v>
      </c>
    </row>
    <row r="72" customFormat="false" ht="13.5" hidden="false" customHeight="true" outlineLevel="0" collapsed="false">
      <c r="A72" s="112" t="s">
        <v>21</v>
      </c>
      <c r="B72" s="126" t="n">
        <v>2023</v>
      </c>
      <c r="C72" s="85" t="n">
        <v>18</v>
      </c>
    </row>
    <row r="73" customFormat="false" ht="13.5" hidden="false" customHeight="true" outlineLevel="0" collapsed="false">
      <c r="A73" s="104" t="s">
        <v>21</v>
      </c>
      <c r="B73" s="124" t="n">
        <v>2024</v>
      </c>
      <c r="C73" s="83" t="n">
        <v>1148</v>
      </c>
    </row>
    <row r="74" customFormat="false" ht="13.5" hidden="false" customHeight="true" outlineLevel="0" collapsed="false">
      <c r="A74" s="112" t="s">
        <v>21</v>
      </c>
      <c r="B74" s="126" t="n">
        <v>2025</v>
      </c>
      <c r="C74" s="86" t="n">
        <v>1512</v>
      </c>
    </row>
    <row r="75" customFormat="false" ht="13.5" hidden="false" customHeight="true" outlineLevel="0" collapsed="false">
      <c r="A75" s="104" t="s">
        <v>22</v>
      </c>
      <c r="B75" s="124" t="n">
        <v>2016</v>
      </c>
      <c r="C75" s="83" t="n">
        <v>40</v>
      </c>
    </row>
    <row r="76" customFormat="false" ht="13.5" hidden="false" customHeight="true" outlineLevel="0" collapsed="false">
      <c r="A76" s="112" t="s">
        <v>22</v>
      </c>
      <c r="B76" s="126" t="n">
        <v>2017</v>
      </c>
      <c r="C76" s="86" t="n">
        <v>135</v>
      </c>
    </row>
    <row r="77" customFormat="false" ht="13.5" hidden="false" customHeight="true" outlineLevel="0" collapsed="false">
      <c r="A77" s="104" t="s">
        <v>22</v>
      </c>
      <c r="B77" s="124" t="n">
        <v>2018</v>
      </c>
      <c r="C77" s="83" t="n">
        <v>321</v>
      </c>
    </row>
    <row r="78" customFormat="false" ht="13.5" hidden="false" customHeight="true" outlineLevel="0" collapsed="false">
      <c r="A78" s="112" t="s">
        <v>22</v>
      </c>
      <c r="B78" s="126" t="n">
        <v>2019</v>
      </c>
      <c r="C78" s="86" t="n">
        <v>658</v>
      </c>
    </row>
    <row r="79" customFormat="false" ht="13.5" hidden="false" customHeight="true" outlineLevel="0" collapsed="false">
      <c r="A79" s="104" t="s">
        <v>22</v>
      </c>
      <c r="B79" s="124" t="n">
        <v>2020</v>
      </c>
      <c r="C79" s="83" t="n">
        <v>750</v>
      </c>
    </row>
    <row r="80" customFormat="false" ht="13.5" hidden="false" customHeight="true" outlineLevel="0" collapsed="false">
      <c r="A80" s="112" t="s">
        <v>22</v>
      </c>
      <c r="B80" s="126" t="n">
        <v>2021</v>
      </c>
      <c r="C80" s="86" t="n">
        <v>2320</v>
      </c>
    </row>
    <row r="81" customFormat="false" ht="13.5" hidden="false" customHeight="true" outlineLevel="0" collapsed="false">
      <c r="A81" s="104" t="s">
        <v>22</v>
      </c>
      <c r="B81" s="124" t="n">
        <v>2022</v>
      </c>
      <c r="C81" s="84" t="n">
        <v>3015</v>
      </c>
    </row>
    <row r="82" customFormat="false" ht="13.5" hidden="false" customHeight="true" outlineLevel="0" collapsed="false">
      <c r="A82" s="112" t="s">
        <v>22</v>
      </c>
      <c r="B82" s="126" t="n">
        <v>2023</v>
      </c>
      <c r="C82" s="85" t="n">
        <v>39</v>
      </c>
    </row>
    <row r="83" customFormat="false" ht="13.5" hidden="false" customHeight="true" outlineLevel="0" collapsed="false">
      <c r="A83" s="104" t="s">
        <v>22</v>
      </c>
      <c r="B83" s="124" t="n">
        <v>2024</v>
      </c>
      <c r="C83" s="83" t="n">
        <v>515</v>
      </c>
    </row>
    <row r="84" customFormat="false" ht="13.5" hidden="false" customHeight="true" outlineLevel="0" collapsed="false">
      <c r="A84" s="112" t="s">
        <v>22</v>
      </c>
      <c r="B84" s="126" t="n">
        <v>2025</v>
      </c>
      <c r="C84" s="86" t="n">
        <v>1496</v>
      </c>
    </row>
    <row r="85" customFormat="false" ht="13.5" hidden="false" customHeight="true" outlineLevel="0" collapsed="false">
      <c r="A85" s="104" t="s">
        <v>23</v>
      </c>
      <c r="B85" s="124" t="n">
        <v>2016</v>
      </c>
      <c r="C85" s="83" t="n">
        <v>115</v>
      </c>
    </row>
    <row r="86" customFormat="false" ht="13.5" hidden="false" customHeight="true" outlineLevel="0" collapsed="false">
      <c r="A86" s="112" t="s">
        <v>23</v>
      </c>
      <c r="B86" s="126" t="n">
        <v>2017</v>
      </c>
      <c r="C86" s="86" t="n">
        <v>301</v>
      </c>
    </row>
    <row r="87" customFormat="false" ht="13.5" hidden="false" customHeight="true" outlineLevel="0" collapsed="false">
      <c r="A87" s="104" t="s">
        <v>23</v>
      </c>
      <c r="B87" s="124" t="n">
        <v>2018</v>
      </c>
      <c r="C87" s="83" t="n">
        <v>594</v>
      </c>
    </row>
    <row r="88" customFormat="false" ht="13.5" hidden="false" customHeight="true" outlineLevel="0" collapsed="false">
      <c r="A88" s="112" t="s">
        <v>23</v>
      </c>
      <c r="B88" s="126" t="n">
        <v>2019</v>
      </c>
      <c r="C88" s="86" t="n">
        <v>3046</v>
      </c>
    </row>
    <row r="89" customFormat="false" ht="13.5" hidden="false" customHeight="true" outlineLevel="0" collapsed="false">
      <c r="A89" s="104" t="s">
        <v>23</v>
      </c>
      <c r="B89" s="124" t="n">
        <v>2020</v>
      </c>
      <c r="C89" s="83" t="n">
        <v>8498</v>
      </c>
    </row>
    <row r="90" customFormat="false" ht="13.5" hidden="false" customHeight="true" outlineLevel="0" collapsed="false">
      <c r="A90" s="112" t="s">
        <v>23</v>
      </c>
      <c r="B90" s="126" t="n">
        <v>2021</v>
      </c>
      <c r="C90" s="86" t="n">
        <v>22040</v>
      </c>
    </row>
    <row r="91" customFormat="false" ht="13.5" hidden="false" customHeight="true" outlineLevel="0" collapsed="false">
      <c r="A91" s="104" t="s">
        <v>23</v>
      </c>
      <c r="B91" s="124" t="n">
        <v>2022</v>
      </c>
      <c r="C91" s="84" t="n">
        <v>29119</v>
      </c>
    </row>
    <row r="92" customFormat="false" ht="13.5" hidden="false" customHeight="true" outlineLevel="0" collapsed="false">
      <c r="A92" s="112" t="s">
        <v>23</v>
      </c>
      <c r="B92" s="126" t="n">
        <v>2023</v>
      </c>
      <c r="C92" s="85" t="n">
        <v>52</v>
      </c>
    </row>
    <row r="93" customFormat="false" ht="13.5" hidden="false" customHeight="true" outlineLevel="0" collapsed="false">
      <c r="A93" s="104" t="s">
        <v>23</v>
      </c>
      <c r="B93" s="124" t="n">
        <v>2024</v>
      </c>
      <c r="C93" s="83" t="n">
        <v>5050</v>
      </c>
    </row>
    <row r="94" customFormat="false" ht="13.5" hidden="false" customHeight="true" outlineLevel="0" collapsed="false">
      <c r="A94" s="112" t="s">
        <v>23</v>
      </c>
      <c r="B94" s="126" t="n">
        <v>2025</v>
      </c>
      <c r="C94" s="86" t="n">
        <v>5594</v>
      </c>
    </row>
    <row r="95" customFormat="false" ht="13.5" hidden="false" customHeight="true" outlineLevel="0" collapsed="false">
      <c r="A95" s="104" t="s">
        <v>24</v>
      </c>
      <c r="B95" s="124" t="n">
        <v>2016</v>
      </c>
      <c r="C95" s="83" t="n">
        <v>32</v>
      </c>
    </row>
    <row r="96" customFormat="false" ht="13.5" hidden="false" customHeight="true" outlineLevel="0" collapsed="false">
      <c r="A96" s="112" t="s">
        <v>24</v>
      </c>
      <c r="B96" s="126" t="n">
        <v>2017</v>
      </c>
      <c r="C96" s="86" t="n">
        <v>90</v>
      </c>
    </row>
    <row r="97" customFormat="false" ht="13.5" hidden="false" customHeight="true" outlineLevel="0" collapsed="false">
      <c r="A97" s="104" t="s">
        <v>24</v>
      </c>
      <c r="B97" s="124" t="n">
        <v>2018</v>
      </c>
      <c r="C97" s="83" t="n">
        <v>118</v>
      </c>
    </row>
    <row r="98" customFormat="false" ht="13.5" hidden="false" customHeight="true" outlineLevel="0" collapsed="false">
      <c r="A98" s="112" t="s">
        <v>24</v>
      </c>
      <c r="B98" s="126" t="n">
        <v>2019</v>
      </c>
      <c r="C98" s="86" t="n">
        <v>636</v>
      </c>
    </row>
    <row r="99" customFormat="false" ht="13.5" hidden="false" customHeight="true" outlineLevel="0" collapsed="false">
      <c r="A99" s="104" t="s">
        <v>24</v>
      </c>
      <c r="B99" s="124" t="n">
        <v>2020</v>
      </c>
      <c r="C99" s="83" t="n">
        <v>1500</v>
      </c>
    </row>
    <row r="100" customFormat="false" ht="13.5" hidden="false" customHeight="true" outlineLevel="0" collapsed="false">
      <c r="A100" s="112" t="s">
        <v>24</v>
      </c>
      <c r="B100" s="126" t="n">
        <v>2021</v>
      </c>
      <c r="C100" s="86" t="n">
        <v>2852</v>
      </c>
    </row>
    <row r="101" customFormat="false" ht="13.5" hidden="false" customHeight="true" outlineLevel="0" collapsed="false">
      <c r="A101" s="104" t="s">
        <v>24</v>
      </c>
      <c r="B101" s="124" t="n">
        <v>2022</v>
      </c>
      <c r="C101" s="84" t="n">
        <v>4983</v>
      </c>
    </row>
    <row r="102" customFormat="false" ht="13.5" hidden="false" customHeight="true" outlineLevel="0" collapsed="false">
      <c r="A102" s="112" t="s">
        <v>24</v>
      </c>
      <c r="B102" s="126" t="n">
        <v>2023</v>
      </c>
      <c r="C102" s="85" t="n">
        <v>2</v>
      </c>
    </row>
    <row r="103" customFormat="false" ht="13.5" hidden="false" customHeight="true" outlineLevel="0" collapsed="false">
      <c r="A103" s="104" t="s">
        <v>24</v>
      </c>
      <c r="B103" s="124" t="n">
        <v>2024</v>
      </c>
      <c r="C103" s="83" t="n">
        <v>513</v>
      </c>
    </row>
    <row r="104" customFormat="false" ht="13.5" hidden="false" customHeight="true" outlineLevel="0" collapsed="false">
      <c r="A104" s="112" t="s">
        <v>24</v>
      </c>
      <c r="B104" s="126" t="n">
        <v>2025</v>
      </c>
      <c r="C104" s="86" t="n">
        <v>2285</v>
      </c>
    </row>
    <row r="105" customFormat="false" ht="13.5" hidden="false" customHeight="true" outlineLevel="0" collapsed="false">
      <c r="A105" s="104" t="s">
        <v>25</v>
      </c>
      <c r="B105" s="124" t="n">
        <v>2016</v>
      </c>
      <c r="C105" s="83" t="n">
        <v>272</v>
      </c>
    </row>
    <row r="106" customFormat="false" ht="13.5" hidden="false" customHeight="true" outlineLevel="0" collapsed="false">
      <c r="A106" s="112" t="s">
        <v>25</v>
      </c>
      <c r="B106" s="126" t="n">
        <v>2017</v>
      </c>
      <c r="C106" s="86" t="n">
        <v>489</v>
      </c>
    </row>
    <row r="107" customFormat="false" ht="13.5" hidden="false" customHeight="true" outlineLevel="0" collapsed="false">
      <c r="A107" s="104" t="s">
        <v>25</v>
      </c>
      <c r="B107" s="124" t="n">
        <v>2018</v>
      </c>
      <c r="C107" s="83" t="n">
        <v>1089</v>
      </c>
    </row>
    <row r="108" customFormat="false" ht="13.5" hidden="false" customHeight="true" outlineLevel="0" collapsed="false">
      <c r="A108" s="112" t="s">
        <v>25</v>
      </c>
      <c r="B108" s="126" t="n">
        <v>2019</v>
      </c>
      <c r="C108" s="86" t="n">
        <v>6591</v>
      </c>
    </row>
    <row r="109" customFormat="false" ht="13.5" hidden="false" customHeight="true" outlineLevel="0" collapsed="false">
      <c r="A109" s="104" t="s">
        <v>25</v>
      </c>
      <c r="B109" s="124" t="n">
        <v>2020</v>
      </c>
      <c r="C109" s="83" t="n">
        <v>10111</v>
      </c>
    </row>
    <row r="110" customFormat="false" ht="13.5" hidden="false" customHeight="true" outlineLevel="0" collapsed="false">
      <c r="A110" s="112" t="s">
        <v>25</v>
      </c>
      <c r="B110" s="126" t="n">
        <v>2021</v>
      </c>
      <c r="C110" s="86" t="n">
        <v>23876</v>
      </c>
    </row>
    <row r="111" customFormat="false" ht="13.5" hidden="false" customHeight="true" outlineLevel="0" collapsed="false">
      <c r="A111" s="104" t="s">
        <v>25</v>
      </c>
      <c r="B111" s="124" t="n">
        <v>2022</v>
      </c>
      <c r="C111" s="84" t="n">
        <v>36600</v>
      </c>
    </row>
    <row r="112" customFormat="false" ht="13.5" hidden="false" customHeight="true" outlineLevel="0" collapsed="false">
      <c r="A112" s="112" t="s">
        <v>25</v>
      </c>
      <c r="B112" s="126" t="n">
        <v>2023</v>
      </c>
      <c r="C112" s="85" t="n">
        <v>101</v>
      </c>
    </row>
    <row r="113" customFormat="false" ht="13.5" hidden="false" customHeight="true" outlineLevel="0" collapsed="false">
      <c r="A113" s="104" t="s">
        <v>25</v>
      </c>
      <c r="B113" s="124" t="n">
        <v>2024</v>
      </c>
      <c r="C113" s="83" t="n">
        <v>7766</v>
      </c>
    </row>
    <row r="114" customFormat="false" ht="13.5" hidden="false" customHeight="true" outlineLevel="0" collapsed="false">
      <c r="A114" s="112" t="s">
        <v>25</v>
      </c>
      <c r="B114" s="126" t="n">
        <v>2025</v>
      </c>
      <c r="C114" s="86" t="n">
        <v>8984</v>
      </c>
    </row>
    <row r="115" customFormat="false" ht="13.5" hidden="false" customHeight="true" outlineLevel="0" collapsed="false">
      <c r="A115" s="104" t="s">
        <v>26</v>
      </c>
      <c r="B115" s="124" t="n">
        <v>2016</v>
      </c>
      <c r="C115" s="83" t="n">
        <v>117</v>
      </c>
    </row>
    <row r="116" customFormat="false" ht="13.5" hidden="false" customHeight="true" outlineLevel="0" collapsed="false">
      <c r="A116" s="112" t="s">
        <v>26</v>
      </c>
      <c r="B116" s="126" t="n">
        <v>2017</v>
      </c>
      <c r="C116" s="86" t="n">
        <v>190</v>
      </c>
    </row>
    <row r="117" customFormat="false" ht="13.5" hidden="false" customHeight="true" outlineLevel="0" collapsed="false">
      <c r="A117" s="104" t="s">
        <v>26</v>
      </c>
      <c r="B117" s="124" t="n">
        <v>2018</v>
      </c>
      <c r="C117" s="83" t="n">
        <v>187</v>
      </c>
    </row>
    <row r="118" customFormat="false" ht="13.5" hidden="false" customHeight="true" outlineLevel="0" collapsed="false">
      <c r="A118" s="112" t="s">
        <v>26</v>
      </c>
      <c r="B118" s="126" t="n">
        <v>2019</v>
      </c>
      <c r="C118" s="86" t="n">
        <v>1053</v>
      </c>
    </row>
    <row r="119" customFormat="false" ht="13.5" hidden="false" customHeight="true" outlineLevel="0" collapsed="false">
      <c r="A119" s="104" t="s">
        <v>26</v>
      </c>
      <c r="B119" s="124" t="n">
        <v>2020</v>
      </c>
      <c r="C119" s="83" t="n">
        <v>2364</v>
      </c>
    </row>
    <row r="120" customFormat="false" ht="13.5" hidden="false" customHeight="true" outlineLevel="0" collapsed="false">
      <c r="A120" s="112" t="s">
        <v>26</v>
      </c>
      <c r="B120" s="126" t="n">
        <v>2021</v>
      </c>
      <c r="C120" s="86" t="n">
        <v>4750</v>
      </c>
    </row>
    <row r="121" customFormat="false" ht="13.5" hidden="false" customHeight="true" outlineLevel="0" collapsed="false">
      <c r="A121" s="104" t="s">
        <v>26</v>
      </c>
      <c r="B121" s="124" t="n">
        <v>2022</v>
      </c>
      <c r="C121" s="84" t="n">
        <v>8979</v>
      </c>
    </row>
    <row r="122" customFormat="false" ht="13.5" hidden="false" customHeight="true" outlineLevel="0" collapsed="false">
      <c r="A122" s="112" t="s">
        <v>26</v>
      </c>
      <c r="B122" s="126" t="n">
        <v>2023</v>
      </c>
      <c r="C122" s="85" t="n">
        <v>18</v>
      </c>
    </row>
    <row r="123" customFormat="false" ht="13.5" hidden="false" customHeight="true" outlineLevel="0" collapsed="false">
      <c r="A123" s="104" t="s">
        <v>26</v>
      </c>
      <c r="B123" s="124" t="n">
        <v>2024</v>
      </c>
      <c r="C123" s="83" t="n">
        <v>1180</v>
      </c>
    </row>
    <row r="124" customFormat="false" ht="13.5" hidden="false" customHeight="true" outlineLevel="0" collapsed="false">
      <c r="A124" s="112" t="s">
        <v>26</v>
      </c>
      <c r="B124" s="126" t="n">
        <v>2025</v>
      </c>
      <c r="C124" s="86" t="n">
        <v>1513</v>
      </c>
    </row>
    <row r="125" customFormat="false" ht="13.5" hidden="false" customHeight="true" outlineLevel="0" collapsed="false">
      <c r="A125" s="104" t="s">
        <v>27</v>
      </c>
      <c r="B125" s="124" t="n">
        <v>2016</v>
      </c>
      <c r="C125" s="83" t="n">
        <v>143</v>
      </c>
    </row>
    <row r="126" customFormat="false" ht="13.5" hidden="false" customHeight="true" outlineLevel="0" collapsed="false">
      <c r="A126" s="112" t="s">
        <v>27</v>
      </c>
      <c r="B126" s="126" t="n">
        <v>2017</v>
      </c>
      <c r="C126" s="86" t="n">
        <v>226</v>
      </c>
    </row>
    <row r="127" customFormat="false" ht="13.5" hidden="false" customHeight="true" outlineLevel="0" collapsed="false">
      <c r="A127" s="104" t="s">
        <v>27</v>
      </c>
      <c r="B127" s="124" t="n">
        <v>2018</v>
      </c>
      <c r="C127" s="83" t="n">
        <v>325</v>
      </c>
    </row>
    <row r="128" customFormat="false" ht="13.5" hidden="false" customHeight="true" outlineLevel="0" collapsed="false">
      <c r="A128" s="112" t="s">
        <v>27</v>
      </c>
      <c r="B128" s="126" t="n">
        <v>2019</v>
      </c>
      <c r="C128" s="86" t="n">
        <v>1654</v>
      </c>
    </row>
    <row r="129" customFormat="false" ht="13.5" hidden="false" customHeight="true" outlineLevel="0" collapsed="false">
      <c r="A129" s="104" t="s">
        <v>27</v>
      </c>
      <c r="B129" s="124" t="n">
        <v>2020</v>
      </c>
      <c r="C129" s="83" t="n">
        <v>2269</v>
      </c>
    </row>
    <row r="130" customFormat="false" ht="13.5" hidden="false" customHeight="true" outlineLevel="0" collapsed="false">
      <c r="A130" s="112" t="s">
        <v>27</v>
      </c>
      <c r="B130" s="126" t="n">
        <v>2021</v>
      </c>
      <c r="C130" s="86" t="n">
        <v>6044</v>
      </c>
    </row>
    <row r="131" customFormat="false" ht="13.5" hidden="false" customHeight="true" outlineLevel="0" collapsed="false">
      <c r="A131" s="104" t="s">
        <v>27</v>
      </c>
      <c r="B131" s="124" t="n">
        <v>2022</v>
      </c>
      <c r="C131" s="84" t="n">
        <v>13272</v>
      </c>
    </row>
    <row r="132" customFormat="false" ht="13.5" hidden="false" customHeight="true" outlineLevel="0" collapsed="false">
      <c r="A132" s="112" t="s">
        <v>27</v>
      </c>
      <c r="B132" s="126" t="n">
        <v>2023</v>
      </c>
      <c r="C132" s="85" t="n">
        <v>37</v>
      </c>
    </row>
    <row r="133" customFormat="false" ht="13.5" hidden="false" customHeight="true" outlineLevel="0" collapsed="false">
      <c r="A133" s="104" t="s">
        <v>27</v>
      </c>
      <c r="B133" s="124" t="n">
        <v>2024</v>
      </c>
      <c r="C133" s="83" t="n">
        <v>2254</v>
      </c>
    </row>
    <row r="134" customFormat="false" ht="13.5" hidden="false" customHeight="true" outlineLevel="0" collapsed="false">
      <c r="A134" s="112" t="s">
        <v>27</v>
      </c>
      <c r="B134" s="126" t="n">
        <v>2025</v>
      </c>
      <c r="C134" s="86" t="n">
        <v>3388</v>
      </c>
    </row>
    <row r="135" customFormat="false" ht="13.5" hidden="false" customHeight="true" outlineLevel="0" collapsed="false">
      <c r="A135" s="104" t="s">
        <v>28</v>
      </c>
      <c r="B135" s="124" t="n">
        <v>2016</v>
      </c>
      <c r="C135" s="83" t="n">
        <v>51</v>
      </c>
    </row>
    <row r="136" customFormat="false" ht="13.5" hidden="false" customHeight="true" outlineLevel="0" collapsed="false">
      <c r="A136" s="112" t="s">
        <v>28</v>
      </c>
      <c r="B136" s="126" t="n">
        <v>2017</v>
      </c>
      <c r="C136" s="86" t="n">
        <v>68</v>
      </c>
    </row>
    <row r="137" customFormat="false" ht="13.5" hidden="false" customHeight="true" outlineLevel="0" collapsed="false">
      <c r="A137" s="104" t="s">
        <v>28</v>
      </c>
      <c r="B137" s="124" t="n">
        <v>2018</v>
      </c>
      <c r="C137" s="83" t="n">
        <v>84</v>
      </c>
    </row>
    <row r="138" customFormat="false" ht="13.5" hidden="false" customHeight="true" outlineLevel="0" collapsed="false">
      <c r="A138" s="112" t="s">
        <v>28</v>
      </c>
      <c r="B138" s="126" t="n">
        <v>2019</v>
      </c>
      <c r="C138" s="86" t="n">
        <v>490</v>
      </c>
    </row>
    <row r="139" customFormat="false" ht="13.5" hidden="false" customHeight="true" outlineLevel="0" collapsed="false">
      <c r="A139" s="104" t="s">
        <v>28</v>
      </c>
      <c r="B139" s="124" t="n">
        <v>2020</v>
      </c>
      <c r="C139" s="83" t="n">
        <v>1937</v>
      </c>
    </row>
    <row r="140" customFormat="false" ht="13.5" hidden="false" customHeight="true" outlineLevel="0" collapsed="false">
      <c r="A140" s="112" t="s">
        <v>28</v>
      </c>
      <c r="B140" s="126" t="n">
        <v>2021</v>
      </c>
      <c r="C140" s="86" t="n">
        <v>4052</v>
      </c>
    </row>
    <row r="141" customFormat="false" ht="13.5" hidden="false" customHeight="true" outlineLevel="0" collapsed="false">
      <c r="A141" s="104" t="s">
        <v>28</v>
      </c>
      <c r="B141" s="124" t="n">
        <v>2022</v>
      </c>
      <c r="C141" s="84" t="n">
        <v>6128</v>
      </c>
    </row>
    <row r="142" customFormat="false" ht="13.5" hidden="false" customHeight="true" outlineLevel="0" collapsed="false">
      <c r="A142" s="112" t="s">
        <v>28</v>
      </c>
      <c r="B142" s="126" t="n">
        <v>2023</v>
      </c>
      <c r="C142" s="85" t="n">
        <v>18</v>
      </c>
    </row>
    <row r="143" customFormat="false" ht="13.5" hidden="false" customHeight="true" outlineLevel="0" collapsed="false">
      <c r="A143" s="104" t="s">
        <v>28</v>
      </c>
      <c r="B143" s="124" t="n">
        <v>2024</v>
      </c>
      <c r="C143" s="83" t="n">
        <v>966</v>
      </c>
    </row>
    <row r="144" customFormat="false" ht="13.5" hidden="false" customHeight="true" outlineLevel="0" collapsed="false">
      <c r="A144" s="112" t="s">
        <v>28</v>
      </c>
      <c r="B144" s="126" t="n">
        <v>2025</v>
      </c>
      <c r="C144" s="86" t="n">
        <v>1668</v>
      </c>
    </row>
    <row r="145" customFormat="false" ht="13.5" hidden="false" customHeight="true" outlineLevel="0" collapsed="false">
      <c r="A145" s="104" t="s">
        <v>29</v>
      </c>
      <c r="B145" s="124" t="n">
        <v>2016</v>
      </c>
      <c r="C145" s="83" t="n">
        <v>60</v>
      </c>
    </row>
    <row r="146" customFormat="false" ht="13.5" hidden="false" customHeight="true" outlineLevel="0" collapsed="false">
      <c r="A146" s="112" t="s">
        <v>29</v>
      </c>
      <c r="B146" s="126" t="n">
        <v>2017</v>
      </c>
      <c r="C146" s="86" t="n">
        <v>104</v>
      </c>
    </row>
    <row r="147" customFormat="false" ht="13.5" hidden="false" customHeight="true" outlineLevel="0" collapsed="false">
      <c r="A147" s="104" t="s">
        <v>29</v>
      </c>
      <c r="B147" s="124" t="n">
        <v>2018</v>
      </c>
      <c r="C147" s="83" t="n">
        <v>639</v>
      </c>
    </row>
    <row r="148" customFormat="false" ht="13.5" hidden="false" customHeight="true" outlineLevel="0" collapsed="false">
      <c r="A148" s="112" t="s">
        <v>29</v>
      </c>
      <c r="B148" s="126" t="n">
        <v>2019</v>
      </c>
      <c r="C148" s="86" t="n">
        <v>1179</v>
      </c>
    </row>
    <row r="149" customFormat="false" ht="13.5" hidden="false" customHeight="true" outlineLevel="0" collapsed="false">
      <c r="A149" s="104" t="s">
        <v>29</v>
      </c>
      <c r="B149" s="124" t="n">
        <v>2020</v>
      </c>
      <c r="C149" s="83" t="n">
        <v>1636</v>
      </c>
    </row>
    <row r="150" customFormat="false" ht="13.5" hidden="false" customHeight="true" outlineLevel="0" collapsed="false">
      <c r="A150" s="112" t="s">
        <v>29</v>
      </c>
      <c r="B150" s="126" t="n">
        <v>2021</v>
      </c>
      <c r="C150" s="86" t="n">
        <v>2913</v>
      </c>
    </row>
    <row r="151" customFormat="false" ht="13.5" hidden="false" customHeight="true" outlineLevel="0" collapsed="false">
      <c r="A151" s="104" t="s">
        <v>29</v>
      </c>
      <c r="B151" s="124" t="n">
        <v>2022</v>
      </c>
      <c r="C151" s="84" t="n">
        <v>3712</v>
      </c>
    </row>
    <row r="152" customFormat="false" ht="13.5" hidden="false" customHeight="true" outlineLevel="0" collapsed="false">
      <c r="A152" s="112" t="s">
        <v>29</v>
      </c>
      <c r="B152" s="126" t="n">
        <v>2023</v>
      </c>
      <c r="C152" s="85" t="n">
        <v>4</v>
      </c>
    </row>
    <row r="153" customFormat="false" ht="13.5" hidden="false" customHeight="true" outlineLevel="0" collapsed="false">
      <c r="A153" s="104" t="s">
        <v>29</v>
      </c>
      <c r="B153" s="124" t="n">
        <v>2024</v>
      </c>
      <c r="C153" s="83" t="n">
        <v>541</v>
      </c>
    </row>
    <row r="154" customFormat="false" ht="13.5" hidden="false" customHeight="true" outlineLevel="0" collapsed="false">
      <c r="A154" s="112" t="s">
        <v>29</v>
      </c>
      <c r="B154" s="126" t="n">
        <v>2025</v>
      </c>
      <c r="C154" s="86" t="n">
        <v>901</v>
      </c>
    </row>
    <row r="155" customFormat="false" ht="13.5" hidden="false" customHeight="true" outlineLevel="0" collapsed="false">
      <c r="A155" s="104" t="s">
        <v>30</v>
      </c>
      <c r="B155" s="124" t="n">
        <v>2016</v>
      </c>
      <c r="C155" s="83" t="n">
        <v>125</v>
      </c>
    </row>
    <row r="156" customFormat="false" ht="13.5" hidden="false" customHeight="true" outlineLevel="0" collapsed="false">
      <c r="A156" s="112" t="s">
        <v>30</v>
      </c>
      <c r="B156" s="126" t="n">
        <v>2017</v>
      </c>
      <c r="C156" s="86" t="n">
        <v>286</v>
      </c>
    </row>
    <row r="157" customFormat="false" ht="13.5" hidden="false" customHeight="true" outlineLevel="0" collapsed="false">
      <c r="A157" s="104" t="s">
        <v>30</v>
      </c>
      <c r="B157" s="124" t="n">
        <v>2018</v>
      </c>
      <c r="C157" s="83" t="n">
        <v>384</v>
      </c>
    </row>
    <row r="158" customFormat="false" ht="13.5" hidden="false" customHeight="true" outlineLevel="0" collapsed="false">
      <c r="A158" s="112" t="s">
        <v>30</v>
      </c>
      <c r="B158" s="126" t="n">
        <v>2019</v>
      </c>
      <c r="C158" s="86" t="n">
        <v>1968</v>
      </c>
    </row>
    <row r="159" customFormat="false" ht="13.5" hidden="false" customHeight="true" outlineLevel="0" collapsed="false">
      <c r="A159" s="104" t="s">
        <v>30</v>
      </c>
      <c r="B159" s="124" t="n">
        <v>2020</v>
      </c>
      <c r="C159" s="83" t="n">
        <v>3765</v>
      </c>
    </row>
    <row r="160" customFormat="false" ht="13.5" hidden="false" customHeight="true" outlineLevel="0" collapsed="false">
      <c r="A160" s="112" t="s">
        <v>30</v>
      </c>
      <c r="B160" s="126" t="n">
        <v>2021</v>
      </c>
      <c r="C160" s="86" t="n">
        <v>6335</v>
      </c>
    </row>
    <row r="161" customFormat="false" ht="13.5" hidden="false" customHeight="true" outlineLevel="0" collapsed="false">
      <c r="A161" s="104" t="s">
        <v>30</v>
      </c>
      <c r="B161" s="124" t="n">
        <v>2022</v>
      </c>
      <c r="C161" s="84" t="n">
        <v>8307</v>
      </c>
    </row>
    <row r="162" customFormat="false" ht="13.5" hidden="false" customHeight="true" outlineLevel="0" collapsed="false">
      <c r="A162" s="112" t="s">
        <v>30</v>
      </c>
      <c r="B162" s="126" t="n">
        <v>2023</v>
      </c>
      <c r="C162" s="85" t="n">
        <v>10</v>
      </c>
    </row>
    <row r="163" customFormat="false" ht="13.5" hidden="false" customHeight="true" outlineLevel="0" collapsed="false">
      <c r="A163" s="104" t="s">
        <v>30</v>
      </c>
      <c r="B163" s="124" t="n">
        <v>2024</v>
      </c>
      <c r="C163" s="83" t="n">
        <v>955</v>
      </c>
    </row>
    <row r="164" customFormat="false" ht="13.5" hidden="false" customHeight="true" outlineLevel="0" collapsed="false">
      <c r="A164" s="112" t="s">
        <v>30</v>
      </c>
      <c r="B164" s="126" t="n">
        <v>2025</v>
      </c>
      <c r="C164" s="86" t="n">
        <v>1515</v>
      </c>
    </row>
    <row r="165" customFormat="false" ht="13.5" hidden="false" customHeight="true" outlineLevel="0" collapsed="false">
      <c r="A165" s="104" t="s">
        <v>31</v>
      </c>
      <c r="B165" s="124" t="n">
        <v>2016</v>
      </c>
      <c r="C165" s="83" t="n">
        <v>37</v>
      </c>
    </row>
    <row r="166" customFormat="false" ht="13.5" hidden="false" customHeight="true" outlineLevel="0" collapsed="false">
      <c r="A166" s="112" t="s">
        <v>31</v>
      </c>
      <c r="B166" s="126" t="n">
        <v>2017</v>
      </c>
      <c r="C166" s="86" t="n">
        <v>112</v>
      </c>
    </row>
    <row r="167" customFormat="false" ht="13.5" hidden="false" customHeight="true" outlineLevel="0" collapsed="false">
      <c r="A167" s="104" t="s">
        <v>31</v>
      </c>
      <c r="B167" s="124" t="n">
        <v>2018</v>
      </c>
      <c r="C167" s="83" t="n">
        <v>129</v>
      </c>
    </row>
    <row r="168" customFormat="false" ht="13.5" hidden="false" customHeight="true" outlineLevel="0" collapsed="false">
      <c r="A168" s="112" t="s">
        <v>31</v>
      </c>
      <c r="B168" s="126" t="n">
        <v>2019</v>
      </c>
      <c r="C168" s="86" t="n">
        <v>288</v>
      </c>
    </row>
    <row r="169" customFormat="false" ht="13.5" hidden="false" customHeight="true" outlineLevel="0" collapsed="false">
      <c r="A169" s="104" t="s">
        <v>31</v>
      </c>
      <c r="B169" s="124" t="n">
        <v>2020</v>
      </c>
      <c r="C169" s="83" t="n">
        <v>462</v>
      </c>
    </row>
    <row r="170" customFormat="false" ht="13.5" hidden="false" customHeight="true" outlineLevel="0" collapsed="false">
      <c r="A170" s="112" t="s">
        <v>31</v>
      </c>
      <c r="B170" s="126" t="n">
        <v>2021</v>
      </c>
      <c r="C170" s="86" t="n">
        <v>1209</v>
      </c>
    </row>
    <row r="171" customFormat="false" ht="13.5" hidden="false" customHeight="true" outlineLevel="0" collapsed="false">
      <c r="A171" s="104" t="s">
        <v>31</v>
      </c>
      <c r="B171" s="124" t="n">
        <v>2022</v>
      </c>
      <c r="C171" s="84" t="n">
        <v>1426</v>
      </c>
    </row>
    <row r="172" customFormat="false" ht="13.5" hidden="false" customHeight="true" outlineLevel="0" collapsed="false">
      <c r="A172" s="112" t="s">
        <v>31</v>
      </c>
      <c r="B172" s="126" t="n">
        <v>2023</v>
      </c>
      <c r="C172" s="85" t="n">
        <v>0</v>
      </c>
    </row>
    <row r="173" customFormat="false" ht="13.5" hidden="false" customHeight="true" outlineLevel="0" collapsed="false">
      <c r="A173" s="104" t="s">
        <v>31</v>
      </c>
      <c r="B173" s="124" t="n">
        <v>2024</v>
      </c>
      <c r="C173" s="83" t="n">
        <v>272</v>
      </c>
    </row>
    <row r="174" customFormat="false" ht="13.5" hidden="false" customHeight="true" outlineLevel="0" collapsed="false">
      <c r="A174" s="112" t="s">
        <v>31</v>
      </c>
      <c r="B174" s="126" t="n">
        <v>2025</v>
      </c>
      <c r="C174" s="86" t="n">
        <v>284</v>
      </c>
    </row>
    <row r="175" customFormat="false" ht="13.5" hidden="false" customHeight="true" outlineLevel="0" collapsed="false">
      <c r="A175" s="104" t="s">
        <v>32</v>
      </c>
      <c r="B175" s="124" t="n">
        <v>2016</v>
      </c>
      <c r="C175" s="83" t="n">
        <v>386</v>
      </c>
    </row>
    <row r="176" customFormat="false" ht="13.5" hidden="false" customHeight="true" outlineLevel="0" collapsed="false">
      <c r="A176" s="112" t="s">
        <v>32</v>
      </c>
      <c r="B176" s="126" t="n">
        <v>2017</v>
      </c>
      <c r="C176" s="86" t="n">
        <v>518</v>
      </c>
    </row>
    <row r="177" customFormat="false" ht="13.5" hidden="false" customHeight="true" outlineLevel="0" collapsed="false">
      <c r="A177" s="104" t="s">
        <v>32</v>
      </c>
      <c r="B177" s="124" t="n">
        <v>2018</v>
      </c>
      <c r="C177" s="83" t="n">
        <v>1238</v>
      </c>
    </row>
    <row r="178" customFormat="false" ht="13.5" hidden="false" customHeight="true" outlineLevel="0" collapsed="false">
      <c r="A178" s="112" t="s">
        <v>32</v>
      </c>
      <c r="B178" s="126" t="n">
        <v>2019</v>
      </c>
      <c r="C178" s="86" t="n">
        <v>7341</v>
      </c>
    </row>
    <row r="179" customFormat="false" ht="13.5" hidden="false" customHeight="true" outlineLevel="0" collapsed="false">
      <c r="A179" s="104" t="s">
        <v>32</v>
      </c>
      <c r="B179" s="124" t="n">
        <v>2020</v>
      </c>
      <c r="C179" s="83" t="n">
        <v>17292</v>
      </c>
    </row>
    <row r="180" customFormat="false" ht="13.5" hidden="false" customHeight="true" outlineLevel="0" collapsed="false">
      <c r="A180" s="112" t="s">
        <v>32</v>
      </c>
      <c r="B180" s="126" t="n">
        <v>2021</v>
      </c>
      <c r="C180" s="86" t="n">
        <v>15235</v>
      </c>
    </row>
    <row r="181" customFormat="false" ht="13.5" hidden="false" customHeight="true" outlineLevel="0" collapsed="false">
      <c r="A181" s="104" t="s">
        <v>32</v>
      </c>
      <c r="B181" s="124" t="n">
        <v>2022</v>
      </c>
      <c r="C181" s="84" t="n">
        <v>38850</v>
      </c>
    </row>
    <row r="182" customFormat="false" ht="13.5" hidden="false" customHeight="true" outlineLevel="0" collapsed="false">
      <c r="A182" s="112" t="s">
        <v>32</v>
      </c>
      <c r="B182" s="126" t="n">
        <v>2023</v>
      </c>
      <c r="C182" s="85" t="n">
        <v>87</v>
      </c>
    </row>
    <row r="183" customFormat="false" ht="13.5" hidden="false" customHeight="true" outlineLevel="0" collapsed="false">
      <c r="A183" s="104" t="s">
        <v>32</v>
      </c>
      <c r="B183" s="124" t="n">
        <v>2024</v>
      </c>
      <c r="C183" s="83" t="n">
        <v>5326</v>
      </c>
    </row>
    <row r="184" customFormat="false" ht="13.5" hidden="false" customHeight="true" outlineLevel="0" collapsed="false">
      <c r="A184" s="112" t="s">
        <v>32</v>
      </c>
      <c r="B184" s="126" t="n">
        <v>2025</v>
      </c>
      <c r="C184" s="86" t="n">
        <v>7310</v>
      </c>
    </row>
    <row r="185" customFormat="false" ht="13.5" hidden="false" customHeight="true" outlineLevel="0" collapsed="false">
      <c r="A185" s="104" t="s">
        <v>33</v>
      </c>
      <c r="B185" s="124" t="n">
        <v>2016</v>
      </c>
      <c r="C185" s="83" t="n">
        <v>399</v>
      </c>
    </row>
    <row r="186" customFormat="false" ht="13.5" hidden="false" customHeight="true" outlineLevel="0" collapsed="false">
      <c r="A186" s="112" t="s">
        <v>33</v>
      </c>
      <c r="B186" s="126" t="n">
        <v>2017</v>
      </c>
      <c r="C186" s="86" t="n">
        <v>672</v>
      </c>
    </row>
    <row r="187" customFormat="false" ht="13.5" hidden="false" customHeight="true" outlineLevel="0" collapsed="false">
      <c r="A187" s="104" t="s">
        <v>33</v>
      </c>
      <c r="B187" s="124" t="n">
        <v>2018</v>
      </c>
      <c r="C187" s="83" t="n">
        <v>1481</v>
      </c>
    </row>
    <row r="188" customFormat="false" ht="13.5" hidden="false" customHeight="true" outlineLevel="0" collapsed="false">
      <c r="A188" s="112" t="s">
        <v>33</v>
      </c>
      <c r="B188" s="126" t="n">
        <v>2019</v>
      </c>
      <c r="C188" s="86" t="n">
        <v>1502</v>
      </c>
    </row>
    <row r="189" customFormat="false" ht="13.5" hidden="false" customHeight="true" outlineLevel="0" collapsed="false">
      <c r="A189" s="104" t="s">
        <v>33</v>
      </c>
      <c r="B189" s="124" t="n">
        <v>2020</v>
      </c>
      <c r="C189" s="83" t="n">
        <v>3221</v>
      </c>
    </row>
    <row r="190" customFormat="false" ht="13.5" hidden="false" customHeight="true" outlineLevel="0" collapsed="false">
      <c r="A190" s="112" t="s">
        <v>33</v>
      </c>
      <c r="B190" s="126" t="n">
        <v>2021</v>
      </c>
      <c r="C190" s="86" t="n">
        <v>7957</v>
      </c>
    </row>
    <row r="191" customFormat="false" ht="13.5" hidden="false" customHeight="true" outlineLevel="0" collapsed="false">
      <c r="A191" s="104" t="s">
        <v>33</v>
      </c>
      <c r="B191" s="124" t="n">
        <v>2022</v>
      </c>
      <c r="C191" s="84" t="n">
        <v>14706</v>
      </c>
    </row>
    <row r="192" customFormat="false" ht="13.5" hidden="false" customHeight="true" outlineLevel="0" collapsed="false">
      <c r="A192" s="112" t="s">
        <v>33</v>
      </c>
      <c r="B192" s="126" t="n">
        <v>2023</v>
      </c>
      <c r="C192" s="85" t="n">
        <v>49</v>
      </c>
    </row>
    <row r="193" customFormat="false" ht="13.5" hidden="false" customHeight="true" outlineLevel="0" collapsed="false">
      <c r="A193" s="104" t="s">
        <v>33</v>
      </c>
      <c r="B193" s="124" t="n">
        <v>2024</v>
      </c>
      <c r="C193" s="83" t="n">
        <v>2736</v>
      </c>
    </row>
    <row r="194" customFormat="false" ht="13.5" hidden="false" customHeight="true" outlineLevel="0" collapsed="false">
      <c r="A194" s="112" t="s">
        <v>33</v>
      </c>
      <c r="B194" s="126" t="n">
        <v>2025</v>
      </c>
      <c r="C194" s="86" t="n">
        <v>5065</v>
      </c>
    </row>
    <row r="195" customFormat="false" ht="13.5" hidden="false" customHeight="true" outlineLevel="0" collapsed="false">
      <c r="A195" s="104" t="s">
        <v>34</v>
      </c>
      <c r="B195" s="124" t="n">
        <v>2016</v>
      </c>
      <c r="C195" s="83" t="n">
        <v>76</v>
      </c>
    </row>
    <row r="196" customFormat="false" ht="13.5" hidden="false" customHeight="true" outlineLevel="0" collapsed="false">
      <c r="A196" s="112" t="s">
        <v>34</v>
      </c>
      <c r="B196" s="126" t="n">
        <v>2017</v>
      </c>
      <c r="C196" s="86" t="n">
        <v>78</v>
      </c>
    </row>
    <row r="197" customFormat="false" ht="13.5" hidden="false" customHeight="true" outlineLevel="0" collapsed="false">
      <c r="A197" s="104" t="s">
        <v>34</v>
      </c>
      <c r="B197" s="124" t="n">
        <v>2018</v>
      </c>
      <c r="C197" s="83" t="n">
        <v>107</v>
      </c>
    </row>
    <row r="198" customFormat="false" ht="13.5" hidden="false" customHeight="true" outlineLevel="0" collapsed="false">
      <c r="A198" s="112" t="s">
        <v>34</v>
      </c>
      <c r="B198" s="126" t="n">
        <v>2019</v>
      </c>
      <c r="C198" s="86" t="n">
        <v>939</v>
      </c>
    </row>
    <row r="199" customFormat="false" ht="13.5" hidden="false" customHeight="true" outlineLevel="0" collapsed="false">
      <c r="A199" s="104" t="s">
        <v>34</v>
      </c>
      <c r="B199" s="124" t="n">
        <v>2020</v>
      </c>
      <c r="C199" s="83" t="n">
        <v>1181</v>
      </c>
    </row>
    <row r="200" customFormat="false" ht="13.5" hidden="false" customHeight="true" outlineLevel="0" collapsed="false">
      <c r="A200" s="112" t="s">
        <v>34</v>
      </c>
      <c r="B200" s="126" t="n">
        <v>2021</v>
      </c>
      <c r="C200" s="86" t="n">
        <v>1932</v>
      </c>
    </row>
    <row r="201" customFormat="false" ht="13.5" hidden="false" customHeight="true" outlineLevel="0" collapsed="false">
      <c r="A201" s="104" t="s">
        <v>34</v>
      </c>
      <c r="B201" s="124" t="n">
        <v>2022</v>
      </c>
      <c r="C201" s="84" t="n">
        <v>2477</v>
      </c>
    </row>
    <row r="202" customFormat="false" ht="13.5" hidden="false" customHeight="true" outlineLevel="0" collapsed="false">
      <c r="A202" s="112" t="s">
        <v>34</v>
      </c>
      <c r="B202" s="126" t="n">
        <v>2023</v>
      </c>
      <c r="C202" s="85" t="n">
        <v>3</v>
      </c>
    </row>
    <row r="203" customFormat="false" ht="13.5" hidden="false" customHeight="true" outlineLevel="0" collapsed="false">
      <c r="A203" s="104" t="s">
        <v>34</v>
      </c>
      <c r="B203" s="124" t="n">
        <v>2024</v>
      </c>
      <c r="C203" s="83" t="n">
        <v>652</v>
      </c>
    </row>
    <row r="204" customFormat="false" ht="13.5" hidden="false" customHeight="true" outlineLevel="0" collapsed="false">
      <c r="A204" s="112" t="s">
        <v>34</v>
      </c>
      <c r="B204" s="126" t="n">
        <v>2025</v>
      </c>
      <c r="C204" s="86" t="n">
        <v>564</v>
      </c>
    </row>
    <row r="205" customFormat="false" ht="13.5" hidden="false" customHeight="true" outlineLevel="0" collapsed="false">
      <c r="A205" s="104" t="s">
        <v>35</v>
      </c>
      <c r="B205" s="124" t="n">
        <v>2016</v>
      </c>
      <c r="C205" s="83" t="n">
        <v>84</v>
      </c>
    </row>
    <row r="206" customFormat="false" ht="13.5" hidden="false" customHeight="true" outlineLevel="0" collapsed="false">
      <c r="A206" s="112" t="s">
        <v>35</v>
      </c>
      <c r="B206" s="126" t="n">
        <v>2017</v>
      </c>
      <c r="C206" s="86" t="n">
        <v>88</v>
      </c>
    </row>
    <row r="207" customFormat="false" ht="13.5" hidden="false" customHeight="true" outlineLevel="0" collapsed="false">
      <c r="A207" s="104" t="s">
        <v>35</v>
      </c>
      <c r="B207" s="124" t="n">
        <v>2018</v>
      </c>
      <c r="C207" s="83" t="n">
        <v>207</v>
      </c>
    </row>
    <row r="208" customFormat="false" ht="13.5" hidden="false" customHeight="true" outlineLevel="0" collapsed="false">
      <c r="A208" s="112" t="s">
        <v>35</v>
      </c>
      <c r="B208" s="126" t="n">
        <v>2019</v>
      </c>
      <c r="C208" s="86" t="n">
        <v>956</v>
      </c>
    </row>
    <row r="209" customFormat="false" ht="13.5" hidden="false" customHeight="true" outlineLevel="0" collapsed="false">
      <c r="A209" s="104" t="s">
        <v>35</v>
      </c>
      <c r="B209" s="124" t="n">
        <v>2020</v>
      </c>
      <c r="C209" s="83" t="n">
        <v>1899</v>
      </c>
    </row>
    <row r="210" customFormat="false" ht="13.5" hidden="false" customHeight="true" outlineLevel="0" collapsed="false">
      <c r="A210" s="112" t="s">
        <v>35</v>
      </c>
      <c r="B210" s="126" t="n">
        <v>2021</v>
      </c>
      <c r="C210" s="86" t="n">
        <v>3543</v>
      </c>
    </row>
    <row r="211" customFormat="false" ht="13.5" hidden="false" customHeight="true" outlineLevel="0" collapsed="false">
      <c r="A211" s="104" t="s">
        <v>35</v>
      </c>
      <c r="B211" s="124" t="n">
        <v>2022</v>
      </c>
      <c r="C211" s="84" t="n">
        <v>5550</v>
      </c>
    </row>
    <row r="212" customFormat="false" ht="13.5" hidden="false" customHeight="true" outlineLevel="0" collapsed="false">
      <c r="A212" s="112" t="s">
        <v>35</v>
      </c>
      <c r="B212" s="126" t="n">
        <v>2023</v>
      </c>
      <c r="C212" s="85" t="n">
        <v>8</v>
      </c>
    </row>
    <row r="213" customFormat="false" ht="13.5" hidden="false" customHeight="true" outlineLevel="0" collapsed="false">
      <c r="A213" s="104" t="s">
        <v>35</v>
      </c>
      <c r="B213" s="124" t="n">
        <v>2024</v>
      </c>
      <c r="C213" s="83" t="n">
        <v>378</v>
      </c>
    </row>
    <row r="214" customFormat="false" ht="13.5" hidden="false" customHeight="true" outlineLevel="0" collapsed="false">
      <c r="A214" s="112" t="s">
        <v>35</v>
      </c>
      <c r="B214" s="126" t="n">
        <v>2025</v>
      </c>
      <c r="C214" s="86" t="n">
        <v>650</v>
      </c>
    </row>
    <row r="215" customFormat="false" ht="13.5" hidden="false" customHeight="true" outlineLevel="0" collapsed="false">
      <c r="A215" s="104" t="s">
        <v>36</v>
      </c>
      <c r="B215" s="124" t="n">
        <v>2016</v>
      </c>
      <c r="C215" s="83" t="n">
        <v>0</v>
      </c>
    </row>
    <row r="216" customFormat="false" ht="13.5" hidden="false" customHeight="true" outlineLevel="0" collapsed="false">
      <c r="A216" s="112" t="s">
        <v>36</v>
      </c>
      <c r="B216" s="126" t="n">
        <v>2017</v>
      </c>
      <c r="C216" s="86" t="n">
        <v>7</v>
      </c>
    </row>
    <row r="217" customFormat="false" ht="13.5" hidden="false" customHeight="true" outlineLevel="0" collapsed="false">
      <c r="A217" s="104" t="s">
        <v>36</v>
      </c>
      <c r="B217" s="124" t="n">
        <v>2018</v>
      </c>
      <c r="C217" s="83" t="n">
        <v>16</v>
      </c>
    </row>
    <row r="218" customFormat="false" ht="13.5" hidden="false" customHeight="true" outlineLevel="0" collapsed="false">
      <c r="A218" s="112" t="s">
        <v>36</v>
      </c>
      <c r="B218" s="126" t="n">
        <v>2019</v>
      </c>
      <c r="C218" s="86" t="n">
        <v>63</v>
      </c>
    </row>
    <row r="219" customFormat="false" ht="13.5" hidden="false" customHeight="true" outlineLevel="0" collapsed="false">
      <c r="A219" s="104" t="s">
        <v>36</v>
      </c>
      <c r="B219" s="124" t="n">
        <v>2020</v>
      </c>
      <c r="C219" s="83" t="n">
        <v>104</v>
      </c>
    </row>
    <row r="220" customFormat="false" ht="13.5" hidden="false" customHeight="true" outlineLevel="0" collapsed="false">
      <c r="A220" s="112" t="s">
        <v>36</v>
      </c>
      <c r="B220" s="126" t="n">
        <v>2021</v>
      </c>
      <c r="C220" s="86" t="n">
        <v>241</v>
      </c>
    </row>
    <row r="221" customFormat="false" ht="13.5" hidden="false" customHeight="true" outlineLevel="0" collapsed="false">
      <c r="A221" s="104" t="s">
        <v>36</v>
      </c>
      <c r="B221" s="124" t="n">
        <v>2022</v>
      </c>
      <c r="C221" s="84" t="n">
        <v>515</v>
      </c>
    </row>
    <row r="222" customFormat="false" ht="13.5" hidden="false" customHeight="true" outlineLevel="0" collapsed="false">
      <c r="A222" s="112" t="s">
        <v>36</v>
      </c>
      <c r="B222" s="126" t="n">
        <v>2023</v>
      </c>
      <c r="C222" s="85" t="n">
        <v>6</v>
      </c>
    </row>
    <row r="223" customFormat="false" ht="13.5" hidden="false" customHeight="true" outlineLevel="0" collapsed="false">
      <c r="A223" s="104" t="s">
        <v>36</v>
      </c>
      <c r="B223" s="124" t="n">
        <v>2024</v>
      </c>
      <c r="C223" s="83" t="n">
        <v>56</v>
      </c>
    </row>
    <row r="224" customFormat="false" ht="13.5" hidden="false" customHeight="true" outlineLevel="0" collapsed="false">
      <c r="A224" s="112" t="s">
        <v>36</v>
      </c>
      <c r="B224" s="126" t="n">
        <v>2025</v>
      </c>
      <c r="C224" s="86" t="n">
        <v>47</v>
      </c>
    </row>
    <row r="225" customFormat="false" ht="13.5" hidden="false" customHeight="true" outlineLevel="0" collapsed="false">
      <c r="A225" s="104" t="s">
        <v>37</v>
      </c>
      <c r="B225" s="124" t="n">
        <v>2016</v>
      </c>
      <c r="C225" s="83" t="n">
        <v>863</v>
      </c>
    </row>
    <row r="226" customFormat="false" ht="13.5" hidden="false" customHeight="true" outlineLevel="0" collapsed="false">
      <c r="A226" s="112" t="s">
        <v>37</v>
      </c>
      <c r="B226" s="126" t="n">
        <v>2017</v>
      </c>
      <c r="C226" s="86" t="n">
        <v>1460</v>
      </c>
    </row>
    <row r="227" customFormat="false" ht="13.5" hidden="false" customHeight="true" outlineLevel="0" collapsed="false">
      <c r="A227" s="104" t="s">
        <v>37</v>
      </c>
      <c r="B227" s="124" t="n">
        <v>2018</v>
      </c>
      <c r="C227" s="83" t="n">
        <v>2059</v>
      </c>
    </row>
    <row r="228" customFormat="false" ht="13.5" hidden="false" customHeight="true" outlineLevel="0" collapsed="false">
      <c r="A228" s="112" t="s">
        <v>37</v>
      </c>
      <c r="B228" s="126" t="n">
        <v>2019</v>
      </c>
      <c r="C228" s="86" t="n">
        <v>10957</v>
      </c>
    </row>
    <row r="229" customFormat="false" ht="13.5" hidden="false" customHeight="true" outlineLevel="0" collapsed="false">
      <c r="A229" s="104" t="s">
        <v>37</v>
      </c>
      <c r="B229" s="124" t="n">
        <v>2020</v>
      </c>
      <c r="C229" s="83" t="n">
        <v>15875</v>
      </c>
    </row>
    <row r="230" customFormat="false" ht="13.5" hidden="false" customHeight="true" outlineLevel="0" collapsed="false">
      <c r="A230" s="112" t="s">
        <v>37</v>
      </c>
      <c r="B230" s="126" t="n">
        <v>2021</v>
      </c>
      <c r="C230" s="86" t="n">
        <v>24668</v>
      </c>
    </row>
    <row r="231" customFormat="false" ht="13.5" hidden="false" customHeight="true" outlineLevel="0" collapsed="false">
      <c r="A231" s="104" t="s">
        <v>37</v>
      </c>
      <c r="B231" s="124" t="n">
        <v>2022</v>
      </c>
      <c r="C231" s="84" t="n">
        <v>29744</v>
      </c>
    </row>
    <row r="232" customFormat="false" ht="13.5" hidden="false" customHeight="true" outlineLevel="0" collapsed="false">
      <c r="A232" s="112" t="s">
        <v>37</v>
      </c>
      <c r="B232" s="126" t="n">
        <v>2023</v>
      </c>
      <c r="C232" s="85" t="n">
        <v>150</v>
      </c>
    </row>
    <row r="233" customFormat="false" ht="13.5" hidden="false" customHeight="true" outlineLevel="0" collapsed="false">
      <c r="A233" s="104" t="s">
        <v>37</v>
      </c>
      <c r="B233" s="124" t="n">
        <v>2024</v>
      </c>
      <c r="C233" s="83" t="n">
        <v>5362</v>
      </c>
    </row>
    <row r="234" customFormat="false" ht="13.5" hidden="false" customHeight="true" outlineLevel="0" collapsed="false">
      <c r="A234" s="112" t="s">
        <v>37</v>
      </c>
      <c r="B234" s="126" t="n">
        <v>2025</v>
      </c>
      <c r="C234" s="86" t="n">
        <v>4808</v>
      </c>
    </row>
    <row r="235" customFormat="false" ht="13.5" hidden="false" customHeight="true" outlineLevel="0" collapsed="false">
      <c r="A235" s="104" t="s">
        <v>38</v>
      </c>
      <c r="B235" s="124" t="n">
        <v>2016</v>
      </c>
      <c r="C235" s="83" t="n">
        <v>435</v>
      </c>
    </row>
    <row r="236" customFormat="false" ht="13.5" hidden="false" customHeight="true" outlineLevel="0" collapsed="false">
      <c r="A236" s="112" t="s">
        <v>38</v>
      </c>
      <c r="B236" s="126" t="n">
        <v>2017</v>
      </c>
      <c r="C236" s="86" t="n">
        <v>500</v>
      </c>
    </row>
    <row r="237" customFormat="false" ht="13.5" hidden="false" customHeight="true" outlineLevel="0" collapsed="false">
      <c r="A237" s="104" t="s">
        <v>38</v>
      </c>
      <c r="B237" s="124" t="n">
        <v>2018</v>
      </c>
      <c r="C237" s="83" t="n">
        <v>1043</v>
      </c>
    </row>
    <row r="238" customFormat="false" ht="13.5" hidden="false" customHeight="true" outlineLevel="0" collapsed="false">
      <c r="A238" s="112" t="s">
        <v>38</v>
      </c>
      <c r="B238" s="126" t="n">
        <v>2019</v>
      </c>
      <c r="C238" s="86" t="n">
        <v>7220</v>
      </c>
    </row>
    <row r="239" customFormat="false" ht="13.5" hidden="false" customHeight="true" outlineLevel="0" collapsed="false">
      <c r="A239" s="104" t="s">
        <v>38</v>
      </c>
      <c r="B239" s="124" t="n">
        <v>2020</v>
      </c>
      <c r="C239" s="83" t="n">
        <v>13006</v>
      </c>
    </row>
    <row r="240" customFormat="false" ht="13.5" hidden="false" customHeight="true" outlineLevel="0" collapsed="false">
      <c r="A240" s="112" t="s">
        <v>38</v>
      </c>
      <c r="B240" s="126" t="n">
        <v>2021</v>
      </c>
      <c r="C240" s="86" t="n">
        <v>11286</v>
      </c>
    </row>
    <row r="241" customFormat="false" ht="13.5" hidden="false" customHeight="true" outlineLevel="0" collapsed="false">
      <c r="A241" s="104" t="s">
        <v>38</v>
      </c>
      <c r="B241" s="124" t="n">
        <v>2022</v>
      </c>
      <c r="C241" s="84" t="n">
        <v>28247</v>
      </c>
    </row>
    <row r="242" customFormat="false" ht="13.5" hidden="false" customHeight="true" outlineLevel="0" collapsed="false">
      <c r="A242" s="112" t="s">
        <v>38</v>
      </c>
      <c r="B242" s="126" t="n">
        <v>2023</v>
      </c>
      <c r="C242" s="85" t="n">
        <v>74</v>
      </c>
    </row>
    <row r="243" customFormat="false" ht="13.5" hidden="false" customHeight="true" outlineLevel="0" collapsed="false">
      <c r="A243" s="104" t="s">
        <v>38</v>
      </c>
      <c r="B243" s="124" t="n">
        <v>2024</v>
      </c>
      <c r="C243" s="83" t="n">
        <v>5865</v>
      </c>
    </row>
    <row r="244" customFormat="false" ht="13.5" hidden="false" customHeight="true" outlineLevel="0" collapsed="false">
      <c r="A244" s="112" t="s">
        <v>38</v>
      </c>
      <c r="B244" s="126" t="n">
        <v>2025</v>
      </c>
      <c r="C244" s="86" t="n">
        <v>5749</v>
      </c>
    </row>
    <row r="245" customFormat="false" ht="13.5" hidden="false" customHeight="true" outlineLevel="0" collapsed="false">
      <c r="A245" s="104" t="s">
        <v>39</v>
      </c>
      <c r="B245" s="124" t="n">
        <v>2016</v>
      </c>
      <c r="C245" s="83" t="n">
        <v>55</v>
      </c>
    </row>
    <row r="246" customFormat="false" ht="13.5" hidden="false" customHeight="true" outlineLevel="0" collapsed="false">
      <c r="A246" s="112" t="s">
        <v>39</v>
      </c>
      <c r="B246" s="126" t="n">
        <v>2017</v>
      </c>
      <c r="C246" s="86" t="n">
        <v>86</v>
      </c>
    </row>
    <row r="247" customFormat="false" ht="13.5" hidden="false" customHeight="true" outlineLevel="0" collapsed="false">
      <c r="A247" s="104" t="s">
        <v>39</v>
      </c>
      <c r="B247" s="124" t="n">
        <v>2018</v>
      </c>
      <c r="C247" s="83" t="n">
        <v>94</v>
      </c>
    </row>
    <row r="248" customFormat="false" ht="13.5" hidden="false" customHeight="true" outlineLevel="0" collapsed="false">
      <c r="A248" s="112" t="s">
        <v>39</v>
      </c>
      <c r="B248" s="126" t="n">
        <v>2019</v>
      </c>
      <c r="C248" s="86" t="n">
        <v>364</v>
      </c>
    </row>
    <row r="249" customFormat="false" ht="13.5" hidden="false" customHeight="true" outlineLevel="0" collapsed="false">
      <c r="A249" s="104" t="s">
        <v>39</v>
      </c>
      <c r="B249" s="124" t="n">
        <v>2020</v>
      </c>
      <c r="C249" s="83" t="n">
        <v>619</v>
      </c>
    </row>
    <row r="250" customFormat="false" ht="13.5" hidden="false" customHeight="true" outlineLevel="0" collapsed="false">
      <c r="A250" s="112" t="s">
        <v>39</v>
      </c>
      <c r="B250" s="126" t="n">
        <v>2021</v>
      </c>
      <c r="C250" s="86" t="n">
        <v>1003</v>
      </c>
    </row>
    <row r="251" customFormat="false" ht="13.5" hidden="false" customHeight="true" outlineLevel="0" collapsed="false">
      <c r="A251" s="104" t="s">
        <v>39</v>
      </c>
      <c r="B251" s="124" t="n">
        <v>2022</v>
      </c>
      <c r="C251" s="84" t="n">
        <v>1048</v>
      </c>
    </row>
    <row r="252" customFormat="false" ht="13.5" hidden="false" customHeight="true" outlineLevel="0" collapsed="false">
      <c r="A252" s="112" t="s">
        <v>39</v>
      </c>
      <c r="B252" s="126" t="n">
        <v>2023</v>
      </c>
      <c r="C252" s="85" t="n">
        <v>1</v>
      </c>
    </row>
    <row r="253" customFormat="false" ht="13.5" hidden="false" customHeight="true" outlineLevel="0" collapsed="false">
      <c r="A253" s="104" t="s">
        <v>39</v>
      </c>
      <c r="B253" s="124" t="n">
        <v>2024</v>
      </c>
      <c r="C253" s="83" t="n">
        <v>24</v>
      </c>
    </row>
    <row r="254" customFormat="false" ht="13.5" hidden="false" customHeight="true" outlineLevel="0" collapsed="false">
      <c r="A254" s="112" t="s">
        <v>39</v>
      </c>
      <c r="B254" s="126" t="n">
        <v>2025</v>
      </c>
      <c r="C254" s="86" t="n">
        <v>467</v>
      </c>
    </row>
    <row r="255" customFormat="false" ht="13.5" hidden="false" customHeight="true" outlineLevel="0" collapsed="false">
      <c r="A255" s="104" t="s">
        <v>40</v>
      </c>
      <c r="B255" s="124" t="n">
        <v>2016</v>
      </c>
      <c r="C255" s="83" t="n">
        <v>1994</v>
      </c>
    </row>
    <row r="256" customFormat="false" ht="13.5" hidden="false" customHeight="true" outlineLevel="0" collapsed="false">
      <c r="A256" s="112" t="s">
        <v>40</v>
      </c>
      <c r="B256" s="126" t="n">
        <v>2017</v>
      </c>
      <c r="C256" s="86" t="n">
        <v>3248</v>
      </c>
    </row>
    <row r="257" customFormat="false" ht="13.5" hidden="false" customHeight="true" outlineLevel="0" collapsed="false">
      <c r="A257" s="104" t="s">
        <v>40</v>
      </c>
      <c r="B257" s="124" t="n">
        <v>2018</v>
      </c>
      <c r="C257" s="83" t="n">
        <v>4559</v>
      </c>
    </row>
    <row r="258" customFormat="false" ht="13.5" hidden="false" customHeight="true" outlineLevel="0" collapsed="false">
      <c r="A258" s="112" t="s">
        <v>40</v>
      </c>
      <c r="B258" s="126" t="n">
        <v>2019</v>
      </c>
      <c r="C258" s="86" t="n">
        <v>24737</v>
      </c>
    </row>
    <row r="259" customFormat="false" ht="13.5" hidden="false" customHeight="true" outlineLevel="0" collapsed="false">
      <c r="A259" s="104" t="s">
        <v>40</v>
      </c>
      <c r="B259" s="124" t="n">
        <v>2020</v>
      </c>
      <c r="C259" s="83" t="n">
        <v>23416</v>
      </c>
    </row>
    <row r="260" customFormat="false" ht="13.5" hidden="false" customHeight="true" outlineLevel="0" collapsed="false">
      <c r="A260" s="112" t="s">
        <v>40</v>
      </c>
      <c r="B260" s="126" t="n">
        <v>2021</v>
      </c>
      <c r="C260" s="86" t="n">
        <v>60194</v>
      </c>
    </row>
    <row r="261" customFormat="false" ht="13.5" hidden="false" customHeight="true" outlineLevel="0" collapsed="false">
      <c r="A261" s="104" t="s">
        <v>40</v>
      </c>
      <c r="B261" s="124" t="n">
        <v>2022</v>
      </c>
      <c r="C261" s="84" t="n">
        <v>84719</v>
      </c>
    </row>
    <row r="262" customFormat="false" ht="13.5" hidden="false" customHeight="true" outlineLevel="0" collapsed="false">
      <c r="A262" s="112" t="s">
        <v>40</v>
      </c>
      <c r="B262" s="126" t="n">
        <v>2023</v>
      </c>
      <c r="C262" s="85" t="n">
        <v>196</v>
      </c>
    </row>
    <row r="263" customFormat="false" ht="13.5" hidden="false" customHeight="true" outlineLevel="0" collapsed="false">
      <c r="A263" s="104" t="s">
        <v>40</v>
      </c>
      <c r="B263" s="124" t="n">
        <v>2024</v>
      </c>
      <c r="C263" s="83" t="n">
        <v>27463</v>
      </c>
    </row>
    <row r="264" customFormat="false" ht="13.5" hidden="false" customHeight="true" outlineLevel="0" collapsed="false">
      <c r="A264" s="112" t="s">
        <v>40</v>
      </c>
      <c r="B264" s="126" t="n">
        <v>2025</v>
      </c>
      <c r="C264" s="86" t="n">
        <v>22670</v>
      </c>
    </row>
    <row r="265" customFormat="false" ht="13.5" hidden="false" customHeight="true" outlineLevel="0" collapsed="false">
      <c r="A265" s="104" t="s">
        <v>41</v>
      </c>
      <c r="B265" s="124" t="n">
        <v>2016</v>
      </c>
      <c r="C265" s="83" t="n">
        <v>59</v>
      </c>
    </row>
    <row r="266" customFormat="false" ht="13.5" hidden="false" customHeight="true" outlineLevel="0" collapsed="false">
      <c r="A266" s="112" t="s">
        <v>41</v>
      </c>
      <c r="B266" s="126" t="n">
        <v>2017</v>
      </c>
      <c r="C266" s="86" t="n">
        <v>58</v>
      </c>
    </row>
    <row r="267" customFormat="false" ht="13.5" hidden="false" customHeight="true" outlineLevel="0" collapsed="false">
      <c r="A267" s="104" t="s">
        <v>41</v>
      </c>
      <c r="B267" s="124" t="n">
        <v>2018</v>
      </c>
      <c r="C267" s="83" t="n">
        <v>103</v>
      </c>
    </row>
    <row r="268" customFormat="false" ht="13.5" hidden="false" customHeight="true" outlineLevel="0" collapsed="false">
      <c r="A268" s="112" t="s">
        <v>41</v>
      </c>
      <c r="B268" s="126" t="n">
        <v>2019</v>
      </c>
      <c r="C268" s="86" t="n">
        <v>432</v>
      </c>
    </row>
    <row r="269" customFormat="false" ht="13.5" hidden="false" customHeight="true" outlineLevel="0" collapsed="false">
      <c r="A269" s="104" t="s">
        <v>41</v>
      </c>
      <c r="B269" s="124" t="n">
        <v>2020</v>
      </c>
      <c r="C269" s="83" t="n">
        <v>753</v>
      </c>
    </row>
    <row r="270" customFormat="false" ht="13.5" hidden="false" customHeight="true" outlineLevel="0" collapsed="false">
      <c r="A270" s="112" t="s">
        <v>41</v>
      </c>
      <c r="B270" s="126" t="n">
        <v>2021</v>
      </c>
      <c r="C270" s="86" t="n">
        <v>1622</v>
      </c>
    </row>
    <row r="271" customFormat="false" ht="13.5" hidden="false" customHeight="true" outlineLevel="0" collapsed="false">
      <c r="A271" s="104" t="s">
        <v>41</v>
      </c>
      <c r="B271" s="124" t="n">
        <v>2022</v>
      </c>
      <c r="C271" s="84" t="n">
        <v>3056</v>
      </c>
    </row>
    <row r="272" customFormat="false" ht="13.5" hidden="false" customHeight="true" outlineLevel="0" collapsed="false">
      <c r="A272" s="112" t="s">
        <v>41</v>
      </c>
      <c r="B272" s="126" t="n">
        <v>2023</v>
      </c>
      <c r="C272" s="85" t="n">
        <v>5</v>
      </c>
    </row>
    <row r="273" customFormat="false" ht="13.5" hidden="false" customHeight="true" outlineLevel="0" collapsed="false">
      <c r="A273" s="104" t="s">
        <v>41</v>
      </c>
      <c r="B273" s="124" t="n">
        <v>2024</v>
      </c>
      <c r="C273" s="83" t="n">
        <v>652</v>
      </c>
    </row>
    <row r="274" customFormat="false" ht="13.5" hidden="false" customHeight="true" outlineLevel="0" collapsed="false">
      <c r="A274" s="112" t="s">
        <v>41</v>
      </c>
      <c r="B274" s="126" t="n">
        <v>2025</v>
      </c>
      <c r="C274" s="86" t="n">
        <v>819</v>
      </c>
    </row>
    <row r="275" customFormat="false" ht="31.5" hidden="false" customHeight="true" outlineLevel="0" collapsed="false">
      <c r="A275" s="157" t="s">
        <v>169</v>
      </c>
      <c r="B275" s="157"/>
      <c r="C275" s="157"/>
    </row>
  </sheetData>
  <mergeCells count="3">
    <mergeCell ref="A1:C1"/>
    <mergeCell ref="A2:C2"/>
    <mergeCell ref="A275:C2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W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23" min="3" style="0" width="8"/>
  </cols>
  <sheetData>
    <row r="1" customFormat="false" ht="19.5" hidden="false" customHeight="true" outlineLevel="0" collapsed="false">
      <c r="B1" s="153" t="s">
        <v>170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</row>
    <row r="2" customFormat="false" ht="12.75" hidden="false" customHeight="true" outlineLevel="0" collapsed="false">
      <c r="B2" s="154" t="s">
        <v>171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</row>
    <row r="3" customFormat="false" ht="19.5" hidden="false" customHeight="true" outlineLevel="0" collapsed="false">
      <c r="B3" s="155" t="s">
        <v>2</v>
      </c>
      <c r="C3" s="158" t="s">
        <v>106</v>
      </c>
      <c r="D3" s="158" t="s">
        <v>107</v>
      </c>
      <c r="E3" s="158" t="s">
        <v>108</v>
      </c>
      <c r="F3" s="158" t="s">
        <v>109</v>
      </c>
      <c r="G3" s="158" t="s">
        <v>110</v>
      </c>
      <c r="H3" s="158" t="s">
        <v>172</v>
      </c>
      <c r="I3" s="158" t="s">
        <v>173</v>
      </c>
      <c r="J3" s="158" t="s">
        <v>174</v>
      </c>
      <c r="K3" s="158" t="s">
        <v>175</v>
      </c>
      <c r="L3" s="158" t="s">
        <v>176</v>
      </c>
      <c r="M3" s="158" t="s">
        <v>177</v>
      </c>
      <c r="N3" s="159" t="s">
        <v>3</v>
      </c>
      <c r="O3" s="159" t="s">
        <v>4</v>
      </c>
      <c r="P3" s="159" t="s">
        <v>5</v>
      </c>
      <c r="Q3" s="159" t="s">
        <v>6</v>
      </c>
      <c r="R3" s="159" t="s">
        <v>7</v>
      </c>
      <c r="S3" s="159" t="s">
        <v>8</v>
      </c>
      <c r="T3" s="160" t="s">
        <v>9</v>
      </c>
      <c r="U3" s="161" t="s">
        <v>10</v>
      </c>
      <c r="V3" s="159" t="s">
        <v>11</v>
      </c>
      <c r="W3" s="159" t="s">
        <v>12</v>
      </c>
    </row>
    <row r="4" customFormat="false" ht="13.5" hidden="false" customHeight="true" outlineLevel="0" collapsed="false">
      <c r="B4" s="104" t="s">
        <v>15</v>
      </c>
      <c r="C4" s="131" t="n">
        <v>0</v>
      </c>
      <c r="D4" s="131" t="n">
        <v>1</v>
      </c>
      <c r="E4" s="131" t="n">
        <v>0</v>
      </c>
      <c r="F4" s="131" t="n">
        <v>0</v>
      </c>
      <c r="G4" s="131" t="n">
        <v>0</v>
      </c>
      <c r="H4" s="131" t="n">
        <v>0</v>
      </c>
      <c r="I4" s="131" t="n">
        <v>0</v>
      </c>
      <c r="J4" s="131" t="n">
        <v>0</v>
      </c>
      <c r="K4" s="131" t="n">
        <v>2</v>
      </c>
      <c r="L4" s="131" t="n">
        <v>0</v>
      </c>
      <c r="M4" s="131" t="n">
        <v>0</v>
      </c>
      <c r="N4" s="83" t="n">
        <v>10</v>
      </c>
      <c r="O4" s="83" t="n">
        <v>23</v>
      </c>
      <c r="P4" s="83" t="n">
        <v>66</v>
      </c>
      <c r="Q4" s="83" t="n">
        <v>159</v>
      </c>
      <c r="R4" s="83" t="n">
        <v>337</v>
      </c>
      <c r="S4" s="83" t="n">
        <v>544</v>
      </c>
      <c r="T4" s="84" t="n">
        <v>605</v>
      </c>
      <c r="U4" s="85" t="n">
        <v>1</v>
      </c>
      <c r="V4" s="83" t="n">
        <v>39</v>
      </c>
      <c r="W4" s="83" t="n">
        <v>99</v>
      </c>
    </row>
    <row r="5" customFormat="false" ht="13.5" hidden="false" customHeight="true" outlineLevel="0" collapsed="false">
      <c r="B5" s="112" t="s">
        <v>16</v>
      </c>
      <c r="C5" s="162" t="n">
        <v>2</v>
      </c>
      <c r="D5" s="162" t="n">
        <v>0</v>
      </c>
      <c r="E5" s="162" t="n">
        <v>0</v>
      </c>
      <c r="F5" s="162" t="n">
        <v>2</v>
      </c>
      <c r="G5" s="162" t="n">
        <v>3</v>
      </c>
      <c r="H5" s="162" t="n">
        <v>8</v>
      </c>
      <c r="I5" s="162" t="n">
        <v>11</v>
      </c>
      <c r="J5" s="162" t="n">
        <v>15</v>
      </c>
      <c r="K5" s="162" t="n">
        <v>9</v>
      </c>
      <c r="L5" s="162" t="n">
        <v>6</v>
      </c>
      <c r="M5" s="162" t="n">
        <v>1</v>
      </c>
      <c r="N5" s="86" t="n">
        <v>27</v>
      </c>
      <c r="O5" s="86" t="n">
        <v>77</v>
      </c>
      <c r="P5" s="86" t="n">
        <v>121</v>
      </c>
      <c r="Q5" s="86" t="n">
        <v>722</v>
      </c>
      <c r="R5" s="86" t="n">
        <v>1261</v>
      </c>
      <c r="S5" s="86" t="n">
        <v>2587</v>
      </c>
      <c r="T5" s="84" t="n">
        <v>3488</v>
      </c>
      <c r="U5" s="85" t="n">
        <v>4</v>
      </c>
      <c r="V5" s="86" t="n">
        <v>532</v>
      </c>
      <c r="W5" s="86" t="n">
        <v>756</v>
      </c>
    </row>
    <row r="6" customFormat="false" ht="13.5" hidden="false" customHeight="true" outlineLevel="0" collapsed="false">
      <c r="B6" s="104" t="s">
        <v>17</v>
      </c>
      <c r="C6" s="131" t="n">
        <v>11</v>
      </c>
      <c r="D6" s="131" t="n">
        <v>6</v>
      </c>
      <c r="E6" s="131" t="n">
        <v>14</v>
      </c>
      <c r="F6" s="131" t="n">
        <v>9</v>
      </c>
      <c r="G6" s="131" t="n">
        <v>25</v>
      </c>
      <c r="H6" s="131" t="n">
        <v>16</v>
      </c>
      <c r="I6" s="131" t="n">
        <v>19</v>
      </c>
      <c r="J6" s="131" t="n">
        <v>31</v>
      </c>
      <c r="K6" s="131" t="n">
        <v>16</v>
      </c>
      <c r="L6" s="131" t="n">
        <v>5</v>
      </c>
      <c r="M6" s="131" t="n">
        <v>16</v>
      </c>
      <c r="N6" s="83" t="n">
        <v>20</v>
      </c>
      <c r="O6" s="83" t="n">
        <v>88</v>
      </c>
      <c r="P6" s="83" t="n">
        <v>192</v>
      </c>
      <c r="Q6" s="83" t="n">
        <v>397</v>
      </c>
      <c r="R6" s="83" t="n">
        <v>1067</v>
      </c>
      <c r="S6" s="83" t="n">
        <v>2142</v>
      </c>
      <c r="T6" s="84" t="n">
        <v>4005</v>
      </c>
      <c r="U6" s="85" t="n">
        <v>16</v>
      </c>
      <c r="V6" s="83" t="n">
        <v>122</v>
      </c>
      <c r="W6" s="83" t="n">
        <v>232</v>
      </c>
    </row>
    <row r="7" customFormat="false" ht="13.5" hidden="false" customHeight="true" outlineLevel="0" collapsed="false">
      <c r="B7" s="112" t="s">
        <v>18</v>
      </c>
      <c r="C7" s="162" t="n">
        <v>0</v>
      </c>
      <c r="D7" s="162" t="n">
        <v>0</v>
      </c>
      <c r="E7" s="162" t="n">
        <v>0</v>
      </c>
      <c r="F7" s="162" t="n">
        <v>0</v>
      </c>
      <c r="G7" s="162" t="n">
        <v>0</v>
      </c>
      <c r="H7" s="162" t="n">
        <v>0</v>
      </c>
      <c r="I7" s="162" t="n">
        <v>1</v>
      </c>
      <c r="J7" s="162" t="n">
        <v>1</v>
      </c>
      <c r="K7" s="162" t="n">
        <v>1</v>
      </c>
      <c r="L7" s="162" t="n">
        <v>0</v>
      </c>
      <c r="M7" s="162" t="n">
        <v>1</v>
      </c>
      <c r="N7" s="86" t="n">
        <v>0</v>
      </c>
      <c r="O7" s="86" t="n">
        <v>22</v>
      </c>
      <c r="P7" s="86" t="n">
        <v>21</v>
      </c>
      <c r="Q7" s="86" t="n">
        <v>111</v>
      </c>
      <c r="R7" s="86" t="n">
        <v>226</v>
      </c>
      <c r="S7" s="86" t="n">
        <v>355</v>
      </c>
      <c r="T7" s="84" t="n">
        <v>551</v>
      </c>
      <c r="U7" s="85" t="n">
        <v>41</v>
      </c>
      <c r="V7" s="86" t="n">
        <v>66</v>
      </c>
      <c r="W7" s="86" t="n">
        <v>170</v>
      </c>
    </row>
    <row r="8" customFormat="false" ht="13.5" hidden="false" customHeight="true" outlineLevel="0" collapsed="false">
      <c r="B8" s="104" t="s">
        <v>19</v>
      </c>
      <c r="C8" s="131" t="n">
        <v>6</v>
      </c>
      <c r="D8" s="131" t="n">
        <v>11</v>
      </c>
      <c r="E8" s="131" t="n">
        <v>16</v>
      </c>
      <c r="F8" s="131" t="n">
        <v>32</v>
      </c>
      <c r="G8" s="131" t="n">
        <v>58</v>
      </c>
      <c r="H8" s="131" t="n">
        <v>62</v>
      </c>
      <c r="I8" s="131" t="n">
        <v>153</v>
      </c>
      <c r="J8" s="131" t="n">
        <v>156</v>
      </c>
      <c r="K8" s="131" t="n">
        <v>88</v>
      </c>
      <c r="L8" s="131" t="n">
        <v>26</v>
      </c>
      <c r="M8" s="131" t="n">
        <v>148</v>
      </c>
      <c r="N8" s="83" t="n">
        <v>245</v>
      </c>
      <c r="O8" s="83" t="n">
        <v>455</v>
      </c>
      <c r="P8" s="83" t="n">
        <v>790</v>
      </c>
      <c r="Q8" s="83" t="n">
        <v>2920</v>
      </c>
      <c r="R8" s="83" t="n">
        <v>6161</v>
      </c>
      <c r="S8" s="83" t="n">
        <v>8501</v>
      </c>
      <c r="T8" s="84" t="n">
        <v>11821</v>
      </c>
      <c r="U8" s="85" t="n">
        <v>72</v>
      </c>
      <c r="V8" s="83" t="n">
        <v>1541</v>
      </c>
      <c r="W8" s="83" t="n">
        <v>4306</v>
      </c>
    </row>
    <row r="9" customFormat="false" ht="13.5" hidden="false" customHeight="true" outlineLevel="0" collapsed="false">
      <c r="B9" s="112" t="s">
        <v>20</v>
      </c>
      <c r="C9" s="162" t="n">
        <v>17</v>
      </c>
      <c r="D9" s="162" t="n">
        <v>22</v>
      </c>
      <c r="E9" s="162" t="n">
        <v>37</v>
      </c>
      <c r="F9" s="162" t="n">
        <v>43</v>
      </c>
      <c r="G9" s="162" t="n">
        <v>128</v>
      </c>
      <c r="H9" s="162" t="n">
        <v>134</v>
      </c>
      <c r="I9" s="162" t="n">
        <v>221</v>
      </c>
      <c r="J9" s="162" t="n">
        <v>286</v>
      </c>
      <c r="K9" s="162" t="n">
        <v>376</v>
      </c>
      <c r="L9" s="162" t="n">
        <v>162</v>
      </c>
      <c r="M9" s="162" t="n">
        <v>250</v>
      </c>
      <c r="N9" s="86" t="n">
        <v>388</v>
      </c>
      <c r="O9" s="86" t="n">
        <v>692</v>
      </c>
      <c r="P9" s="86" t="n">
        <v>993</v>
      </c>
      <c r="Q9" s="86" t="n">
        <v>2102</v>
      </c>
      <c r="R9" s="86" t="n">
        <v>3117</v>
      </c>
      <c r="S9" s="86" t="n">
        <v>6179</v>
      </c>
      <c r="T9" s="84" t="n">
        <v>6438</v>
      </c>
      <c r="U9" s="85" t="n">
        <v>18</v>
      </c>
      <c r="V9" s="86" t="n">
        <v>1324</v>
      </c>
      <c r="W9" s="86" t="n">
        <v>1409</v>
      </c>
    </row>
    <row r="10" customFormat="false" ht="13.5" hidden="false" customHeight="true" outlineLevel="0" collapsed="false">
      <c r="B10" s="104" t="s">
        <v>21</v>
      </c>
      <c r="C10" s="131" t="n">
        <v>75</v>
      </c>
      <c r="D10" s="131" t="n">
        <v>63</v>
      </c>
      <c r="E10" s="131" t="n">
        <v>53</v>
      </c>
      <c r="F10" s="131" t="n">
        <v>65</v>
      </c>
      <c r="G10" s="131" t="n">
        <v>65</v>
      </c>
      <c r="H10" s="131" t="n">
        <v>60</v>
      </c>
      <c r="I10" s="131" t="n">
        <v>157</v>
      </c>
      <c r="J10" s="131" t="n">
        <v>110</v>
      </c>
      <c r="K10" s="131" t="n">
        <v>69</v>
      </c>
      <c r="L10" s="131" t="n">
        <v>47</v>
      </c>
      <c r="M10" s="131" t="n">
        <v>48</v>
      </c>
      <c r="N10" s="83" t="n">
        <v>189</v>
      </c>
      <c r="O10" s="83" t="n">
        <v>319</v>
      </c>
      <c r="P10" s="83" t="n">
        <v>500</v>
      </c>
      <c r="Q10" s="83" t="n">
        <v>2483</v>
      </c>
      <c r="R10" s="83" t="n">
        <v>5045</v>
      </c>
      <c r="S10" s="83" t="n">
        <v>8289</v>
      </c>
      <c r="T10" s="84" t="n">
        <v>10861</v>
      </c>
      <c r="U10" s="85" t="n">
        <v>18</v>
      </c>
      <c r="V10" s="83" t="n">
        <v>1148</v>
      </c>
      <c r="W10" s="83" t="n">
        <v>1512</v>
      </c>
    </row>
    <row r="11" customFormat="false" ht="13.5" hidden="false" customHeight="true" outlineLevel="0" collapsed="false">
      <c r="B11" s="112" t="s">
        <v>22</v>
      </c>
      <c r="C11" s="162" t="n">
        <v>39</v>
      </c>
      <c r="D11" s="162" t="n">
        <v>29</v>
      </c>
      <c r="E11" s="162" t="n">
        <v>13</v>
      </c>
      <c r="F11" s="162" t="n">
        <v>19</v>
      </c>
      <c r="G11" s="162" t="n">
        <v>16</v>
      </c>
      <c r="H11" s="162" t="n">
        <v>19</v>
      </c>
      <c r="I11" s="162" t="n">
        <v>46</v>
      </c>
      <c r="J11" s="162" t="n">
        <v>37</v>
      </c>
      <c r="K11" s="162" t="n">
        <v>24</v>
      </c>
      <c r="L11" s="162" t="n">
        <v>8</v>
      </c>
      <c r="M11" s="162" t="n">
        <v>24</v>
      </c>
      <c r="N11" s="86" t="n">
        <v>40</v>
      </c>
      <c r="O11" s="86" t="n">
        <v>135</v>
      </c>
      <c r="P11" s="86" t="n">
        <v>321</v>
      </c>
      <c r="Q11" s="86" t="n">
        <v>658</v>
      </c>
      <c r="R11" s="86" t="n">
        <v>750</v>
      </c>
      <c r="S11" s="86" t="n">
        <v>2320</v>
      </c>
      <c r="T11" s="84" t="n">
        <v>3015</v>
      </c>
      <c r="U11" s="85" t="n">
        <v>39</v>
      </c>
      <c r="V11" s="86" t="n">
        <v>515</v>
      </c>
      <c r="W11" s="86" t="n">
        <v>1496</v>
      </c>
    </row>
    <row r="12" customFormat="false" ht="13.5" hidden="false" customHeight="true" outlineLevel="0" collapsed="false">
      <c r="B12" s="104" t="s">
        <v>23</v>
      </c>
      <c r="C12" s="131" t="n">
        <v>45</v>
      </c>
      <c r="D12" s="131" t="n">
        <v>31</v>
      </c>
      <c r="E12" s="131" t="n">
        <v>35</v>
      </c>
      <c r="F12" s="131" t="n">
        <v>54</v>
      </c>
      <c r="G12" s="131" t="n">
        <v>50</v>
      </c>
      <c r="H12" s="131" t="n">
        <v>62</v>
      </c>
      <c r="I12" s="131" t="n">
        <v>97</v>
      </c>
      <c r="J12" s="131" t="n">
        <v>96</v>
      </c>
      <c r="K12" s="131" t="n">
        <v>71</v>
      </c>
      <c r="L12" s="131" t="n">
        <v>54</v>
      </c>
      <c r="M12" s="131" t="n">
        <v>17</v>
      </c>
      <c r="N12" s="83" t="n">
        <v>115</v>
      </c>
      <c r="O12" s="83" t="n">
        <v>301</v>
      </c>
      <c r="P12" s="83" t="n">
        <v>594</v>
      </c>
      <c r="Q12" s="83" t="n">
        <v>3046</v>
      </c>
      <c r="R12" s="83" t="n">
        <v>8498</v>
      </c>
      <c r="S12" s="83" t="n">
        <v>22040</v>
      </c>
      <c r="T12" s="84" t="n">
        <v>29119</v>
      </c>
      <c r="U12" s="85" t="n">
        <v>52</v>
      </c>
      <c r="V12" s="83" t="n">
        <v>5050</v>
      </c>
      <c r="W12" s="83" t="n">
        <v>5594</v>
      </c>
    </row>
    <row r="13" customFormat="false" ht="13.5" hidden="false" customHeight="true" outlineLevel="0" collapsed="false">
      <c r="B13" s="112" t="s">
        <v>24</v>
      </c>
      <c r="C13" s="162" t="n">
        <v>6</v>
      </c>
      <c r="D13" s="162" t="n">
        <v>6</v>
      </c>
      <c r="E13" s="162" t="n">
        <v>4</v>
      </c>
      <c r="F13" s="162" t="n">
        <v>8</v>
      </c>
      <c r="G13" s="162" t="n">
        <v>7</v>
      </c>
      <c r="H13" s="162" t="n">
        <v>12</v>
      </c>
      <c r="I13" s="162" t="n">
        <v>23</v>
      </c>
      <c r="J13" s="162" t="n">
        <v>34</v>
      </c>
      <c r="K13" s="162" t="n">
        <v>50</v>
      </c>
      <c r="L13" s="162" t="n">
        <v>39</v>
      </c>
      <c r="M13" s="162" t="n">
        <v>9</v>
      </c>
      <c r="N13" s="86" t="n">
        <v>32</v>
      </c>
      <c r="O13" s="86" t="n">
        <v>90</v>
      </c>
      <c r="P13" s="86" t="n">
        <v>118</v>
      </c>
      <c r="Q13" s="86" t="n">
        <v>636</v>
      </c>
      <c r="R13" s="86" t="n">
        <v>1500</v>
      </c>
      <c r="S13" s="86" t="n">
        <v>2852</v>
      </c>
      <c r="T13" s="84" t="n">
        <v>4983</v>
      </c>
      <c r="U13" s="85" t="n">
        <v>2</v>
      </c>
      <c r="V13" s="86" t="n">
        <v>513</v>
      </c>
      <c r="W13" s="86" t="n">
        <v>2285</v>
      </c>
    </row>
    <row r="14" customFormat="false" ht="13.5" hidden="false" customHeight="true" outlineLevel="0" collapsed="false">
      <c r="B14" s="104" t="s">
        <v>25</v>
      </c>
      <c r="C14" s="131" t="n">
        <v>114</v>
      </c>
      <c r="D14" s="131" t="n">
        <v>136</v>
      </c>
      <c r="E14" s="131" t="n">
        <v>89</v>
      </c>
      <c r="F14" s="131" t="n">
        <v>91</v>
      </c>
      <c r="G14" s="131" t="n">
        <v>128</v>
      </c>
      <c r="H14" s="131" t="n">
        <v>68</v>
      </c>
      <c r="I14" s="131" t="n">
        <v>163</v>
      </c>
      <c r="J14" s="131" t="n">
        <v>178</v>
      </c>
      <c r="K14" s="131" t="n">
        <v>126</v>
      </c>
      <c r="L14" s="131" t="n">
        <v>111</v>
      </c>
      <c r="M14" s="131" t="n">
        <v>65</v>
      </c>
      <c r="N14" s="83" t="n">
        <v>272</v>
      </c>
      <c r="O14" s="83" t="n">
        <v>489</v>
      </c>
      <c r="P14" s="83" t="n">
        <v>1089</v>
      </c>
      <c r="Q14" s="83" t="n">
        <v>6591</v>
      </c>
      <c r="R14" s="83" t="n">
        <v>10111</v>
      </c>
      <c r="S14" s="83" t="n">
        <v>23876</v>
      </c>
      <c r="T14" s="84" t="n">
        <v>36600</v>
      </c>
      <c r="U14" s="85" t="n">
        <v>101</v>
      </c>
      <c r="V14" s="83" t="n">
        <v>7766</v>
      </c>
      <c r="W14" s="83" t="n">
        <v>8984</v>
      </c>
    </row>
    <row r="15" customFormat="false" ht="13.5" hidden="false" customHeight="true" outlineLevel="0" collapsed="false">
      <c r="B15" s="112" t="s">
        <v>26</v>
      </c>
      <c r="C15" s="162" t="n">
        <v>8</v>
      </c>
      <c r="D15" s="162" t="n">
        <v>15</v>
      </c>
      <c r="E15" s="162" t="n">
        <v>8</v>
      </c>
      <c r="F15" s="162" t="n">
        <v>10</v>
      </c>
      <c r="G15" s="162" t="n">
        <v>27</v>
      </c>
      <c r="H15" s="162" t="n">
        <v>19</v>
      </c>
      <c r="I15" s="162" t="n">
        <v>54</v>
      </c>
      <c r="J15" s="162" t="n">
        <v>37</v>
      </c>
      <c r="K15" s="162" t="n">
        <v>13</v>
      </c>
      <c r="L15" s="162" t="n">
        <v>24</v>
      </c>
      <c r="M15" s="162" t="n">
        <v>15</v>
      </c>
      <c r="N15" s="86" t="n">
        <v>117</v>
      </c>
      <c r="O15" s="86" t="n">
        <v>190</v>
      </c>
      <c r="P15" s="86" t="n">
        <v>187</v>
      </c>
      <c r="Q15" s="86" t="n">
        <v>1053</v>
      </c>
      <c r="R15" s="86" t="n">
        <v>2364</v>
      </c>
      <c r="S15" s="86" t="n">
        <v>4750</v>
      </c>
      <c r="T15" s="84" t="n">
        <v>8979</v>
      </c>
      <c r="U15" s="85" t="n">
        <v>18</v>
      </c>
      <c r="V15" s="86" t="n">
        <v>1180</v>
      </c>
      <c r="W15" s="86" t="n">
        <v>1513</v>
      </c>
    </row>
    <row r="16" customFormat="false" ht="13.5" hidden="false" customHeight="true" outlineLevel="0" collapsed="false">
      <c r="B16" s="104" t="s">
        <v>27</v>
      </c>
      <c r="C16" s="131" t="n">
        <v>5</v>
      </c>
      <c r="D16" s="131" t="n">
        <v>0</v>
      </c>
      <c r="E16" s="131" t="n">
        <v>6</v>
      </c>
      <c r="F16" s="131" t="n">
        <v>15</v>
      </c>
      <c r="G16" s="131" t="n">
        <v>32</v>
      </c>
      <c r="H16" s="131" t="n">
        <v>49</v>
      </c>
      <c r="I16" s="131" t="n">
        <v>58</v>
      </c>
      <c r="J16" s="131" t="n">
        <v>103</v>
      </c>
      <c r="K16" s="131" t="n">
        <v>29</v>
      </c>
      <c r="L16" s="131" t="n">
        <v>65</v>
      </c>
      <c r="M16" s="131" t="n">
        <v>24</v>
      </c>
      <c r="N16" s="83" t="n">
        <v>143</v>
      </c>
      <c r="O16" s="83" t="n">
        <v>226</v>
      </c>
      <c r="P16" s="83" t="n">
        <v>325</v>
      </c>
      <c r="Q16" s="83" t="n">
        <v>1654</v>
      </c>
      <c r="R16" s="83" t="n">
        <v>2269</v>
      </c>
      <c r="S16" s="83" t="n">
        <v>6044</v>
      </c>
      <c r="T16" s="84" t="n">
        <v>13272</v>
      </c>
      <c r="U16" s="85" t="n">
        <v>37</v>
      </c>
      <c r="V16" s="83" t="n">
        <v>2254</v>
      </c>
      <c r="W16" s="83" t="n">
        <v>3388</v>
      </c>
    </row>
    <row r="17" customFormat="false" ht="13.5" hidden="false" customHeight="true" outlineLevel="0" collapsed="false">
      <c r="B17" s="112" t="s">
        <v>28</v>
      </c>
      <c r="C17" s="162" t="n">
        <v>6</v>
      </c>
      <c r="D17" s="162" t="n">
        <v>3</v>
      </c>
      <c r="E17" s="162" t="n">
        <v>8</v>
      </c>
      <c r="F17" s="162" t="n">
        <v>21</v>
      </c>
      <c r="G17" s="162" t="n">
        <v>26</v>
      </c>
      <c r="H17" s="162" t="n">
        <v>12</v>
      </c>
      <c r="I17" s="162" t="n">
        <v>20</v>
      </c>
      <c r="J17" s="162" t="n">
        <v>25</v>
      </c>
      <c r="K17" s="162" t="n">
        <v>22</v>
      </c>
      <c r="L17" s="162" t="n">
        <v>20</v>
      </c>
      <c r="M17" s="162" t="n">
        <v>17</v>
      </c>
      <c r="N17" s="86" t="n">
        <v>51</v>
      </c>
      <c r="O17" s="86" t="n">
        <v>68</v>
      </c>
      <c r="P17" s="86" t="n">
        <v>84</v>
      </c>
      <c r="Q17" s="86" t="n">
        <v>490</v>
      </c>
      <c r="R17" s="86" t="n">
        <v>1937</v>
      </c>
      <c r="S17" s="86" t="n">
        <v>4052</v>
      </c>
      <c r="T17" s="84" t="n">
        <v>6128</v>
      </c>
      <c r="U17" s="85" t="n">
        <v>18</v>
      </c>
      <c r="V17" s="86" t="n">
        <v>966</v>
      </c>
      <c r="W17" s="86" t="n">
        <v>1668</v>
      </c>
    </row>
    <row r="18" customFormat="false" ht="13.5" hidden="false" customHeight="true" outlineLevel="0" collapsed="false">
      <c r="B18" s="104" t="s">
        <v>29</v>
      </c>
      <c r="C18" s="131" t="n">
        <v>8</v>
      </c>
      <c r="D18" s="131" t="n">
        <v>2</v>
      </c>
      <c r="E18" s="131" t="n">
        <v>1</v>
      </c>
      <c r="F18" s="131" t="n">
        <v>12</v>
      </c>
      <c r="G18" s="131" t="n">
        <v>17</v>
      </c>
      <c r="H18" s="131" t="n">
        <v>29</v>
      </c>
      <c r="I18" s="131" t="n">
        <v>16</v>
      </c>
      <c r="J18" s="131" t="n">
        <v>17</v>
      </c>
      <c r="K18" s="131" t="n">
        <v>12</v>
      </c>
      <c r="L18" s="131" t="n">
        <v>6</v>
      </c>
      <c r="M18" s="131" t="n">
        <v>3</v>
      </c>
      <c r="N18" s="83" t="n">
        <v>60</v>
      </c>
      <c r="O18" s="83" t="n">
        <v>104</v>
      </c>
      <c r="P18" s="83" t="n">
        <v>639</v>
      </c>
      <c r="Q18" s="83" t="n">
        <v>1179</v>
      </c>
      <c r="R18" s="83" t="n">
        <v>1636</v>
      </c>
      <c r="S18" s="83" t="n">
        <v>2913</v>
      </c>
      <c r="T18" s="84" t="n">
        <v>3712</v>
      </c>
      <c r="U18" s="85" t="n">
        <v>4</v>
      </c>
      <c r="V18" s="83" t="n">
        <v>541</v>
      </c>
      <c r="W18" s="83" t="n">
        <v>901</v>
      </c>
    </row>
    <row r="19" customFormat="false" ht="13.5" hidden="false" customHeight="true" outlineLevel="0" collapsed="false">
      <c r="B19" s="112" t="s">
        <v>30</v>
      </c>
      <c r="C19" s="162" t="n">
        <v>34</v>
      </c>
      <c r="D19" s="162" t="n">
        <v>6</v>
      </c>
      <c r="E19" s="162" t="n">
        <v>5</v>
      </c>
      <c r="F19" s="162" t="n">
        <v>10</v>
      </c>
      <c r="G19" s="162" t="n">
        <v>22</v>
      </c>
      <c r="H19" s="162" t="n">
        <v>40</v>
      </c>
      <c r="I19" s="162" t="n">
        <v>103</v>
      </c>
      <c r="J19" s="162" t="n">
        <v>88</v>
      </c>
      <c r="K19" s="162" t="n">
        <v>46</v>
      </c>
      <c r="L19" s="162" t="n">
        <v>40</v>
      </c>
      <c r="M19" s="162" t="n">
        <v>10</v>
      </c>
      <c r="N19" s="86" t="n">
        <v>125</v>
      </c>
      <c r="O19" s="86" t="n">
        <v>286</v>
      </c>
      <c r="P19" s="86" t="n">
        <v>384</v>
      </c>
      <c r="Q19" s="86" t="n">
        <v>1968</v>
      </c>
      <c r="R19" s="86" t="n">
        <v>3765</v>
      </c>
      <c r="S19" s="86" t="n">
        <v>6335</v>
      </c>
      <c r="T19" s="84" t="n">
        <v>8307</v>
      </c>
      <c r="U19" s="85" t="n">
        <v>10</v>
      </c>
      <c r="V19" s="86" t="n">
        <v>955</v>
      </c>
      <c r="W19" s="86" t="n">
        <v>1515</v>
      </c>
    </row>
    <row r="20" customFormat="false" ht="13.5" hidden="false" customHeight="true" outlineLevel="0" collapsed="false">
      <c r="B20" s="104" t="s">
        <v>31</v>
      </c>
      <c r="C20" s="131" t="n">
        <v>0</v>
      </c>
      <c r="D20" s="131" t="n">
        <v>2</v>
      </c>
      <c r="E20" s="131" t="n">
        <v>3</v>
      </c>
      <c r="F20" s="131" t="n">
        <v>0</v>
      </c>
      <c r="G20" s="131" t="n">
        <v>2</v>
      </c>
      <c r="H20" s="131" t="n">
        <v>4</v>
      </c>
      <c r="I20" s="131" t="n">
        <v>7</v>
      </c>
      <c r="J20" s="131" t="n">
        <v>6</v>
      </c>
      <c r="K20" s="131" t="n">
        <v>7</v>
      </c>
      <c r="L20" s="131" t="n">
        <v>7</v>
      </c>
      <c r="M20" s="131" t="n">
        <v>8</v>
      </c>
      <c r="N20" s="83" t="n">
        <v>37</v>
      </c>
      <c r="O20" s="83" t="n">
        <v>112</v>
      </c>
      <c r="P20" s="83" t="n">
        <v>129</v>
      </c>
      <c r="Q20" s="83" t="n">
        <v>288</v>
      </c>
      <c r="R20" s="83" t="n">
        <v>462</v>
      </c>
      <c r="S20" s="83" t="n">
        <v>1209</v>
      </c>
      <c r="T20" s="84" t="n">
        <v>1426</v>
      </c>
      <c r="U20" s="85" t="n">
        <v>0</v>
      </c>
      <c r="V20" s="83" t="n">
        <v>272</v>
      </c>
      <c r="W20" s="83" t="n">
        <v>284</v>
      </c>
    </row>
    <row r="21" customFormat="false" ht="13.5" hidden="false" customHeight="true" outlineLevel="0" collapsed="false">
      <c r="B21" s="112" t="s">
        <v>32</v>
      </c>
      <c r="C21" s="162" t="n">
        <v>81</v>
      </c>
      <c r="D21" s="162" t="n">
        <v>74</v>
      </c>
      <c r="E21" s="162" t="n">
        <v>62</v>
      </c>
      <c r="F21" s="162" t="n">
        <v>175</v>
      </c>
      <c r="G21" s="162" t="n">
        <v>192</v>
      </c>
      <c r="H21" s="162" t="n">
        <v>212</v>
      </c>
      <c r="I21" s="162" t="n">
        <v>234</v>
      </c>
      <c r="J21" s="162" t="n">
        <v>157</v>
      </c>
      <c r="K21" s="162" t="n">
        <v>80</v>
      </c>
      <c r="L21" s="162" t="n">
        <v>61</v>
      </c>
      <c r="M21" s="162" t="n">
        <v>124</v>
      </c>
      <c r="N21" s="86" t="n">
        <v>386</v>
      </c>
      <c r="O21" s="86" t="n">
        <v>518</v>
      </c>
      <c r="P21" s="86" t="n">
        <v>1238</v>
      </c>
      <c r="Q21" s="86" t="n">
        <v>7341</v>
      </c>
      <c r="R21" s="86" t="n">
        <v>17292</v>
      </c>
      <c r="S21" s="86" t="n">
        <v>15235</v>
      </c>
      <c r="T21" s="84" t="n">
        <v>38850</v>
      </c>
      <c r="U21" s="85" t="n">
        <v>87</v>
      </c>
      <c r="V21" s="86" t="n">
        <v>5326</v>
      </c>
      <c r="W21" s="86" t="n">
        <v>7310</v>
      </c>
    </row>
    <row r="22" customFormat="false" ht="13.5" hidden="false" customHeight="true" outlineLevel="0" collapsed="false">
      <c r="B22" s="104" t="s">
        <v>33</v>
      </c>
      <c r="C22" s="131" t="n">
        <v>135</v>
      </c>
      <c r="D22" s="131" t="n">
        <v>173</v>
      </c>
      <c r="E22" s="131" t="n">
        <v>202</v>
      </c>
      <c r="F22" s="131" t="n">
        <v>242</v>
      </c>
      <c r="G22" s="131" t="n">
        <v>174</v>
      </c>
      <c r="H22" s="131" t="n">
        <v>345</v>
      </c>
      <c r="I22" s="131" t="n">
        <v>483</v>
      </c>
      <c r="J22" s="131" t="n">
        <v>283</v>
      </c>
      <c r="K22" s="131" t="n">
        <v>139</v>
      </c>
      <c r="L22" s="131" t="n">
        <v>61</v>
      </c>
      <c r="M22" s="131" t="n">
        <v>175</v>
      </c>
      <c r="N22" s="83" t="n">
        <v>399</v>
      </c>
      <c r="O22" s="83" t="n">
        <v>672</v>
      </c>
      <c r="P22" s="83" t="n">
        <v>1481</v>
      </c>
      <c r="Q22" s="83" t="n">
        <v>1502</v>
      </c>
      <c r="R22" s="83" t="n">
        <v>3221</v>
      </c>
      <c r="S22" s="83" t="n">
        <v>7957</v>
      </c>
      <c r="T22" s="84" t="n">
        <v>14706</v>
      </c>
      <c r="U22" s="85" t="n">
        <v>49</v>
      </c>
      <c r="V22" s="83" t="n">
        <v>2736</v>
      </c>
      <c r="W22" s="83" t="n">
        <v>5065</v>
      </c>
    </row>
    <row r="23" customFormat="false" ht="13.5" hidden="false" customHeight="true" outlineLevel="0" collapsed="false">
      <c r="B23" s="112" t="s">
        <v>34</v>
      </c>
      <c r="C23" s="162" t="n">
        <v>15</v>
      </c>
      <c r="D23" s="162" t="n">
        <v>8</v>
      </c>
      <c r="E23" s="162" t="n">
        <v>9</v>
      </c>
      <c r="F23" s="162" t="n">
        <v>7</v>
      </c>
      <c r="G23" s="162" t="n">
        <v>10</v>
      </c>
      <c r="H23" s="162" t="n">
        <v>20</v>
      </c>
      <c r="I23" s="162" t="n">
        <v>23</v>
      </c>
      <c r="J23" s="162" t="n">
        <v>47</v>
      </c>
      <c r="K23" s="162" t="n">
        <v>38</v>
      </c>
      <c r="L23" s="162" t="n">
        <v>33</v>
      </c>
      <c r="M23" s="162" t="n">
        <v>11</v>
      </c>
      <c r="N23" s="86" t="n">
        <v>76</v>
      </c>
      <c r="O23" s="86" t="n">
        <v>78</v>
      </c>
      <c r="P23" s="86" t="n">
        <v>107</v>
      </c>
      <c r="Q23" s="86" t="n">
        <v>939</v>
      </c>
      <c r="R23" s="86" t="n">
        <v>1181</v>
      </c>
      <c r="S23" s="86" t="n">
        <v>1932</v>
      </c>
      <c r="T23" s="84" t="n">
        <v>2477</v>
      </c>
      <c r="U23" s="85" t="n">
        <v>3</v>
      </c>
      <c r="V23" s="86" t="n">
        <v>652</v>
      </c>
      <c r="W23" s="86" t="n">
        <v>564</v>
      </c>
    </row>
    <row r="24" customFormat="false" ht="13.5" hidden="false" customHeight="true" outlineLevel="0" collapsed="false">
      <c r="B24" s="104" t="s">
        <v>35</v>
      </c>
      <c r="C24" s="131" t="n">
        <v>0</v>
      </c>
      <c r="D24" s="131" t="n">
        <v>2</v>
      </c>
      <c r="E24" s="131" t="n">
        <v>0</v>
      </c>
      <c r="F24" s="131" t="n">
        <v>0</v>
      </c>
      <c r="G24" s="131" t="n">
        <v>0</v>
      </c>
      <c r="H24" s="131" t="n">
        <v>8</v>
      </c>
      <c r="I24" s="131" t="n">
        <v>1</v>
      </c>
      <c r="J24" s="131" t="n">
        <v>2</v>
      </c>
      <c r="K24" s="131" t="n">
        <v>0</v>
      </c>
      <c r="L24" s="131" t="n">
        <v>3</v>
      </c>
      <c r="M24" s="131" t="n">
        <v>4</v>
      </c>
      <c r="N24" s="83" t="n">
        <v>84</v>
      </c>
      <c r="O24" s="83" t="n">
        <v>88</v>
      </c>
      <c r="P24" s="83" t="n">
        <v>207</v>
      </c>
      <c r="Q24" s="83" t="n">
        <v>956</v>
      </c>
      <c r="R24" s="83" t="n">
        <v>1899</v>
      </c>
      <c r="S24" s="83" t="n">
        <v>3543</v>
      </c>
      <c r="T24" s="84" t="n">
        <v>5550</v>
      </c>
      <c r="U24" s="85" t="n">
        <v>8</v>
      </c>
      <c r="V24" s="83" t="n">
        <v>378</v>
      </c>
      <c r="W24" s="83" t="n">
        <v>650</v>
      </c>
    </row>
    <row r="25" customFormat="false" ht="13.5" hidden="false" customHeight="true" outlineLevel="0" collapsed="false">
      <c r="B25" s="112" t="s">
        <v>36</v>
      </c>
      <c r="C25" s="162" t="n">
        <v>2</v>
      </c>
      <c r="D25" s="162" t="n">
        <v>0</v>
      </c>
      <c r="E25" s="162" t="n">
        <v>0</v>
      </c>
      <c r="F25" s="162" t="n">
        <v>0</v>
      </c>
      <c r="G25" s="162" t="n">
        <v>0</v>
      </c>
      <c r="H25" s="162" t="n">
        <v>2</v>
      </c>
      <c r="I25" s="162" t="n">
        <v>3</v>
      </c>
      <c r="J25" s="162" t="n">
        <v>8</v>
      </c>
      <c r="K25" s="162" t="n">
        <v>0</v>
      </c>
      <c r="L25" s="162" t="n">
        <v>1</v>
      </c>
      <c r="M25" s="162" t="n">
        <v>1</v>
      </c>
      <c r="N25" s="86" t="n">
        <v>0</v>
      </c>
      <c r="O25" s="86" t="n">
        <v>7</v>
      </c>
      <c r="P25" s="86" t="n">
        <v>16</v>
      </c>
      <c r="Q25" s="86" t="n">
        <v>63</v>
      </c>
      <c r="R25" s="86" t="n">
        <v>104</v>
      </c>
      <c r="S25" s="86" t="n">
        <v>241</v>
      </c>
      <c r="T25" s="84" t="n">
        <v>515</v>
      </c>
      <c r="U25" s="85" t="n">
        <v>6</v>
      </c>
      <c r="V25" s="86" t="n">
        <v>56</v>
      </c>
      <c r="W25" s="86" t="n">
        <v>47</v>
      </c>
    </row>
    <row r="26" customFormat="false" ht="13.5" hidden="false" customHeight="true" outlineLevel="0" collapsed="false">
      <c r="B26" s="104" t="s">
        <v>37</v>
      </c>
      <c r="C26" s="131" t="n">
        <v>150</v>
      </c>
      <c r="D26" s="131" t="n">
        <v>1184</v>
      </c>
      <c r="E26" s="131" t="n">
        <v>383</v>
      </c>
      <c r="F26" s="131" t="n">
        <v>318</v>
      </c>
      <c r="G26" s="131" t="n">
        <v>477</v>
      </c>
      <c r="H26" s="131" t="n">
        <v>364</v>
      </c>
      <c r="I26" s="131" t="n">
        <v>915</v>
      </c>
      <c r="J26" s="131" t="n">
        <v>488</v>
      </c>
      <c r="K26" s="131" t="n">
        <v>209</v>
      </c>
      <c r="L26" s="131" t="n">
        <v>208</v>
      </c>
      <c r="M26" s="131" t="n">
        <v>476</v>
      </c>
      <c r="N26" s="83" t="n">
        <v>863</v>
      </c>
      <c r="O26" s="83" t="n">
        <v>1460</v>
      </c>
      <c r="P26" s="83" t="n">
        <v>2059</v>
      </c>
      <c r="Q26" s="83" t="n">
        <v>10957</v>
      </c>
      <c r="R26" s="83" t="n">
        <v>15875</v>
      </c>
      <c r="S26" s="83" t="n">
        <v>24668</v>
      </c>
      <c r="T26" s="84" t="n">
        <v>29744</v>
      </c>
      <c r="U26" s="85" t="n">
        <v>150</v>
      </c>
      <c r="V26" s="83" t="n">
        <v>5362</v>
      </c>
      <c r="W26" s="83" t="n">
        <v>4808</v>
      </c>
    </row>
    <row r="27" customFormat="false" ht="13.5" hidden="false" customHeight="true" outlineLevel="0" collapsed="false">
      <c r="B27" s="112" t="s">
        <v>38</v>
      </c>
      <c r="C27" s="162" t="n">
        <v>79</v>
      </c>
      <c r="D27" s="162" t="n">
        <v>53</v>
      </c>
      <c r="E27" s="162" t="n">
        <v>40</v>
      </c>
      <c r="F27" s="162" t="n">
        <v>69</v>
      </c>
      <c r="G27" s="162" t="n">
        <v>151</v>
      </c>
      <c r="H27" s="162" t="n">
        <v>122</v>
      </c>
      <c r="I27" s="162" t="n">
        <v>195</v>
      </c>
      <c r="J27" s="162" t="n">
        <v>156</v>
      </c>
      <c r="K27" s="162" t="n">
        <v>78</v>
      </c>
      <c r="L27" s="162" t="n">
        <v>137</v>
      </c>
      <c r="M27" s="162" t="n">
        <v>152</v>
      </c>
      <c r="N27" s="86" t="n">
        <v>435</v>
      </c>
      <c r="O27" s="86" t="n">
        <v>500</v>
      </c>
      <c r="P27" s="86" t="n">
        <v>1043</v>
      </c>
      <c r="Q27" s="86" t="n">
        <v>7220</v>
      </c>
      <c r="R27" s="86" t="n">
        <v>13006</v>
      </c>
      <c r="S27" s="86" t="n">
        <v>11286</v>
      </c>
      <c r="T27" s="84" t="n">
        <v>28247</v>
      </c>
      <c r="U27" s="85" t="n">
        <v>74</v>
      </c>
      <c r="V27" s="86" t="n">
        <v>5865</v>
      </c>
      <c r="W27" s="86" t="n">
        <v>5749</v>
      </c>
    </row>
    <row r="28" customFormat="false" ht="13.5" hidden="false" customHeight="true" outlineLevel="0" collapsed="false">
      <c r="B28" s="104" t="s">
        <v>39</v>
      </c>
      <c r="C28" s="131" t="n">
        <v>0</v>
      </c>
      <c r="D28" s="131" t="n">
        <v>0</v>
      </c>
      <c r="E28" s="131" t="n">
        <v>0</v>
      </c>
      <c r="F28" s="131" t="n">
        <v>0</v>
      </c>
      <c r="G28" s="131" t="n">
        <v>0</v>
      </c>
      <c r="H28" s="131" t="n">
        <v>0</v>
      </c>
      <c r="I28" s="131" t="n">
        <v>0</v>
      </c>
      <c r="J28" s="131" t="n">
        <v>1</v>
      </c>
      <c r="K28" s="131" t="n">
        <v>3</v>
      </c>
      <c r="L28" s="131" t="n">
        <v>0</v>
      </c>
      <c r="M28" s="131" t="n">
        <v>8</v>
      </c>
      <c r="N28" s="83" t="n">
        <v>55</v>
      </c>
      <c r="O28" s="83" t="n">
        <v>86</v>
      </c>
      <c r="P28" s="83" t="n">
        <v>94</v>
      </c>
      <c r="Q28" s="83" t="n">
        <v>364</v>
      </c>
      <c r="R28" s="83" t="n">
        <v>619</v>
      </c>
      <c r="S28" s="83" t="n">
        <v>1003</v>
      </c>
      <c r="T28" s="84" t="n">
        <v>1048</v>
      </c>
      <c r="U28" s="85" t="n">
        <v>1</v>
      </c>
      <c r="V28" s="83" t="n">
        <v>24</v>
      </c>
      <c r="W28" s="83" t="n">
        <v>467</v>
      </c>
    </row>
    <row r="29" customFormat="false" ht="13.5" hidden="false" customHeight="true" outlineLevel="0" collapsed="false">
      <c r="B29" s="112" t="s">
        <v>40</v>
      </c>
      <c r="C29" s="162" t="n">
        <v>598</v>
      </c>
      <c r="D29" s="162" t="n">
        <v>650</v>
      </c>
      <c r="E29" s="162" t="n">
        <v>916</v>
      </c>
      <c r="F29" s="162" t="n">
        <v>1291</v>
      </c>
      <c r="G29" s="162" t="n">
        <v>2646</v>
      </c>
      <c r="H29" s="162" t="n">
        <v>2620</v>
      </c>
      <c r="I29" s="162" t="n">
        <v>2457</v>
      </c>
      <c r="J29" s="162" t="n">
        <v>2036</v>
      </c>
      <c r="K29" s="162" t="n">
        <v>1344</v>
      </c>
      <c r="L29" s="162" t="n">
        <v>670</v>
      </c>
      <c r="M29" s="162" t="n">
        <v>951</v>
      </c>
      <c r="N29" s="86" t="n">
        <v>1994</v>
      </c>
      <c r="O29" s="86" t="n">
        <v>3248</v>
      </c>
      <c r="P29" s="86" t="n">
        <v>4559</v>
      </c>
      <c r="Q29" s="86" t="n">
        <v>24737</v>
      </c>
      <c r="R29" s="86" t="n">
        <v>23416</v>
      </c>
      <c r="S29" s="86" t="n">
        <v>60194</v>
      </c>
      <c r="T29" s="84" t="n">
        <v>84719</v>
      </c>
      <c r="U29" s="85" t="n">
        <v>196</v>
      </c>
      <c r="V29" s="86" t="n">
        <v>27463</v>
      </c>
      <c r="W29" s="86" t="n">
        <v>22670</v>
      </c>
    </row>
    <row r="30" customFormat="false" ht="13.5" hidden="false" customHeight="true" outlineLevel="0" collapsed="false">
      <c r="B30" s="104" t="s">
        <v>41</v>
      </c>
      <c r="C30" s="131" t="n">
        <v>18</v>
      </c>
      <c r="D30" s="131" t="n">
        <v>22</v>
      </c>
      <c r="E30" s="131" t="n">
        <v>13</v>
      </c>
      <c r="F30" s="131" t="n">
        <v>9</v>
      </c>
      <c r="G30" s="131" t="n">
        <v>12</v>
      </c>
      <c r="H30" s="131" t="n">
        <v>24</v>
      </c>
      <c r="I30" s="131" t="n">
        <v>37</v>
      </c>
      <c r="J30" s="131" t="n">
        <v>44</v>
      </c>
      <c r="K30" s="131" t="n">
        <v>23</v>
      </c>
      <c r="L30" s="131" t="n">
        <v>17</v>
      </c>
      <c r="M30" s="131" t="n">
        <v>8</v>
      </c>
      <c r="N30" s="83" t="n">
        <v>59</v>
      </c>
      <c r="O30" s="83" t="n">
        <v>58</v>
      </c>
      <c r="P30" s="83" t="n">
        <v>103</v>
      </c>
      <c r="Q30" s="83" t="n">
        <v>432</v>
      </c>
      <c r="R30" s="83" t="n">
        <v>753</v>
      </c>
      <c r="S30" s="83" t="n">
        <v>1622</v>
      </c>
      <c r="T30" s="84" t="n">
        <v>3056</v>
      </c>
      <c r="U30" s="85" t="n">
        <v>5</v>
      </c>
      <c r="V30" s="83" t="n">
        <v>652</v>
      </c>
      <c r="W30" s="83" t="n">
        <v>819</v>
      </c>
    </row>
  </sheetData>
  <mergeCells count="2">
    <mergeCell ref="B1:W1"/>
    <mergeCell ref="B2:W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22" min="3" style="0" width="8"/>
  </cols>
  <sheetData>
    <row r="1" customFormat="false" ht="19.5" hidden="false" customHeight="true" outlineLevel="0" collapsed="false">
      <c r="B1" s="163" t="s">
        <v>178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</row>
    <row r="2" customFormat="false" ht="12.75" hidden="false" customHeight="true" outlineLevel="0" collapsed="false">
      <c r="B2" s="154" t="s">
        <v>179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</row>
    <row r="3" customFormat="false" ht="19.5" hidden="false" customHeight="true" outlineLevel="0" collapsed="false">
      <c r="B3" s="164" t="s">
        <v>2</v>
      </c>
      <c r="C3" s="158" t="s">
        <v>106</v>
      </c>
      <c r="D3" s="158" t="s">
        <v>107</v>
      </c>
      <c r="E3" s="158" t="s">
        <v>108</v>
      </c>
      <c r="F3" s="158" t="s">
        <v>109</v>
      </c>
      <c r="G3" s="158" t="s">
        <v>110</v>
      </c>
      <c r="H3" s="158" t="s">
        <v>172</v>
      </c>
      <c r="I3" s="158" t="s">
        <v>173</v>
      </c>
      <c r="J3" s="158" t="s">
        <v>174</v>
      </c>
      <c r="K3" s="158" t="s">
        <v>175</v>
      </c>
      <c r="L3" s="158" t="s">
        <v>176</v>
      </c>
      <c r="M3" s="158" t="s">
        <v>177</v>
      </c>
      <c r="N3" s="159" t="s">
        <v>3</v>
      </c>
      <c r="O3" s="159" t="s">
        <v>4</v>
      </c>
      <c r="P3" s="159" t="s">
        <v>5</v>
      </c>
      <c r="Q3" s="159" t="s">
        <v>6</v>
      </c>
      <c r="R3" s="159" t="s">
        <v>7</v>
      </c>
      <c r="S3" s="159" t="s">
        <v>8</v>
      </c>
      <c r="T3" s="160" t="s">
        <v>9</v>
      </c>
      <c r="U3" s="165" t="s">
        <v>10</v>
      </c>
      <c r="V3" s="159" t="s">
        <v>11</v>
      </c>
    </row>
    <row r="4" customFormat="false" ht="13.5" hidden="false" customHeight="true" outlineLevel="0" collapsed="false">
      <c r="B4" s="104" t="s">
        <v>15</v>
      </c>
      <c r="C4" s="131" t="n">
        <v>36</v>
      </c>
      <c r="D4" s="131" t="n">
        <v>46</v>
      </c>
      <c r="E4" s="131" t="n">
        <v>49</v>
      </c>
      <c r="F4" s="131" t="n">
        <v>39</v>
      </c>
      <c r="G4" s="131" t="n">
        <v>60</v>
      </c>
      <c r="H4" s="131" t="n">
        <v>62</v>
      </c>
      <c r="I4" s="131" t="n">
        <v>50</v>
      </c>
      <c r="J4" s="131" t="n">
        <v>85</v>
      </c>
      <c r="K4" s="131" t="n">
        <v>97</v>
      </c>
      <c r="L4" s="131" t="n">
        <v>116</v>
      </c>
      <c r="M4" s="131" t="n">
        <v>116</v>
      </c>
      <c r="N4" s="83" t="n">
        <v>225</v>
      </c>
      <c r="O4" s="83" t="n">
        <v>381</v>
      </c>
      <c r="P4" s="83" t="n">
        <v>309</v>
      </c>
      <c r="Q4" s="83" t="n">
        <v>220</v>
      </c>
      <c r="R4" s="83" t="n">
        <v>225</v>
      </c>
      <c r="S4" s="83" t="n">
        <v>118</v>
      </c>
      <c r="T4" s="83" t="n">
        <v>143</v>
      </c>
      <c r="U4" s="83" t="n">
        <v>130</v>
      </c>
      <c r="V4" s="83" t="n">
        <v>98</v>
      </c>
    </row>
    <row r="5" customFormat="false" ht="13.5" hidden="false" customHeight="true" outlineLevel="0" collapsed="false">
      <c r="B5" s="112" t="s">
        <v>16</v>
      </c>
      <c r="C5" s="162" t="n">
        <v>914</v>
      </c>
      <c r="D5" s="162" t="n">
        <v>1304</v>
      </c>
      <c r="E5" s="162" t="n">
        <v>1555</v>
      </c>
      <c r="F5" s="162" t="n">
        <v>1600</v>
      </c>
      <c r="G5" s="162" t="n">
        <v>1569</v>
      </c>
      <c r="H5" s="162" t="n">
        <v>1721</v>
      </c>
      <c r="I5" s="162" t="n">
        <v>1937</v>
      </c>
      <c r="J5" s="162" t="n">
        <v>1737</v>
      </c>
      <c r="K5" s="162" t="n">
        <v>1872</v>
      </c>
      <c r="L5" s="162" t="n">
        <v>1821</v>
      </c>
      <c r="M5" s="162" t="n">
        <v>1482</v>
      </c>
      <c r="N5" s="86" t="n">
        <v>1546</v>
      </c>
      <c r="O5" s="86" t="n">
        <v>1538</v>
      </c>
      <c r="P5" s="86" t="n">
        <v>1199</v>
      </c>
      <c r="Q5" s="86" t="n">
        <v>857</v>
      </c>
      <c r="R5" s="86" t="n">
        <v>864</v>
      </c>
      <c r="S5" s="86" t="n">
        <v>733</v>
      </c>
      <c r="T5" s="86" t="n">
        <v>828</v>
      </c>
      <c r="U5" s="86" t="n">
        <v>890</v>
      </c>
      <c r="V5" s="86" t="n">
        <v>889</v>
      </c>
    </row>
    <row r="6" customFormat="false" ht="13.5" hidden="false" customHeight="true" outlineLevel="0" collapsed="false">
      <c r="B6" s="104" t="s">
        <v>17</v>
      </c>
      <c r="C6" s="131" t="n">
        <v>264</v>
      </c>
      <c r="D6" s="131" t="n">
        <v>377</v>
      </c>
      <c r="E6" s="131" t="n">
        <v>413</v>
      </c>
      <c r="F6" s="131" t="n">
        <v>446</v>
      </c>
      <c r="G6" s="131" t="n">
        <v>571</v>
      </c>
      <c r="H6" s="131" t="n">
        <v>633</v>
      </c>
      <c r="I6" s="131" t="n">
        <v>879</v>
      </c>
      <c r="J6" s="131" t="n">
        <v>853</v>
      </c>
      <c r="K6" s="131" t="n">
        <v>692</v>
      </c>
      <c r="L6" s="131" t="n">
        <v>759</v>
      </c>
      <c r="M6" s="131" t="n">
        <v>927</v>
      </c>
      <c r="N6" s="83" t="n">
        <v>792</v>
      </c>
      <c r="O6" s="83" t="n">
        <v>969</v>
      </c>
      <c r="P6" s="83" t="n">
        <v>956</v>
      </c>
      <c r="Q6" s="83" t="n">
        <v>980</v>
      </c>
      <c r="R6" s="83" t="n">
        <v>782</v>
      </c>
      <c r="S6" s="83" t="n">
        <v>1278</v>
      </c>
      <c r="T6" s="83" t="n">
        <v>1195</v>
      </c>
      <c r="U6" s="83" t="n">
        <v>1052</v>
      </c>
      <c r="V6" s="83" t="n">
        <v>758</v>
      </c>
    </row>
    <row r="7" customFormat="false" ht="13.5" hidden="false" customHeight="true" outlineLevel="0" collapsed="false">
      <c r="B7" s="112" t="s">
        <v>18</v>
      </c>
      <c r="C7" s="162" t="n">
        <v>54</v>
      </c>
      <c r="D7" s="162" t="n">
        <v>74</v>
      </c>
      <c r="E7" s="162" t="n">
        <v>59</v>
      </c>
      <c r="F7" s="162" t="n">
        <v>66</v>
      </c>
      <c r="G7" s="162" t="n">
        <v>69</v>
      </c>
      <c r="H7" s="162" t="n">
        <v>103</v>
      </c>
      <c r="I7" s="162" t="n">
        <v>78</v>
      </c>
      <c r="J7" s="162" t="n">
        <v>116</v>
      </c>
      <c r="K7" s="162" t="n">
        <v>99</v>
      </c>
      <c r="L7" s="162" t="n">
        <v>148</v>
      </c>
      <c r="M7" s="162" t="n">
        <v>152</v>
      </c>
      <c r="N7" s="86" t="n">
        <v>216</v>
      </c>
      <c r="O7" s="86" t="n">
        <v>178</v>
      </c>
      <c r="P7" s="86" t="n">
        <v>239</v>
      </c>
      <c r="Q7" s="86" t="n">
        <v>232</v>
      </c>
      <c r="R7" s="86" t="n">
        <v>222</v>
      </c>
      <c r="S7" s="86" t="n">
        <v>311</v>
      </c>
      <c r="T7" s="86" t="n">
        <v>235</v>
      </c>
      <c r="U7" s="86" t="n">
        <v>303</v>
      </c>
      <c r="V7" s="86" t="n">
        <v>196</v>
      </c>
    </row>
    <row r="8" customFormat="false" ht="13.5" hidden="false" customHeight="true" outlineLevel="0" collapsed="false">
      <c r="B8" s="104" t="s">
        <v>19</v>
      </c>
      <c r="C8" s="131" t="n">
        <v>2028</v>
      </c>
      <c r="D8" s="131" t="n">
        <v>2396</v>
      </c>
      <c r="E8" s="131" t="n">
        <v>2692</v>
      </c>
      <c r="F8" s="131" t="n">
        <v>3822</v>
      </c>
      <c r="G8" s="131" t="n">
        <v>4367</v>
      </c>
      <c r="H8" s="131" t="n">
        <v>4449</v>
      </c>
      <c r="I8" s="131" t="n">
        <v>4165</v>
      </c>
      <c r="J8" s="131" t="n">
        <v>4600</v>
      </c>
      <c r="K8" s="131" t="n">
        <v>4289</v>
      </c>
      <c r="L8" s="131" t="n">
        <v>4652</v>
      </c>
      <c r="M8" s="131" t="n">
        <v>4553</v>
      </c>
      <c r="N8" s="83" t="n">
        <v>5442</v>
      </c>
      <c r="O8" s="83" t="n">
        <v>5416</v>
      </c>
      <c r="P8" s="83" t="n">
        <v>4958</v>
      </c>
      <c r="Q8" s="83" t="n">
        <v>4586</v>
      </c>
      <c r="R8" s="83" t="n">
        <v>5082</v>
      </c>
      <c r="S8" s="83" t="n">
        <v>5290</v>
      </c>
      <c r="T8" s="83" t="n">
        <v>4825</v>
      </c>
      <c r="U8" s="83" t="n">
        <v>4749</v>
      </c>
      <c r="V8" s="83" t="n">
        <v>3777</v>
      </c>
    </row>
    <row r="9" customFormat="false" ht="13.5" hidden="false" customHeight="true" outlineLevel="0" collapsed="false">
      <c r="B9" s="112" t="s">
        <v>20</v>
      </c>
      <c r="C9" s="162" t="n">
        <v>1011</v>
      </c>
      <c r="D9" s="162" t="n">
        <v>1060</v>
      </c>
      <c r="E9" s="162" t="n">
        <v>1231</v>
      </c>
      <c r="F9" s="162" t="n">
        <v>1343</v>
      </c>
      <c r="G9" s="162" t="n">
        <v>1515</v>
      </c>
      <c r="H9" s="162" t="n">
        <v>2056</v>
      </c>
      <c r="I9" s="162" t="n">
        <v>2063</v>
      </c>
      <c r="J9" s="162" t="n">
        <v>3132</v>
      </c>
      <c r="K9" s="162" t="n">
        <v>3652</v>
      </c>
      <c r="L9" s="162" t="n">
        <v>3800</v>
      </c>
      <c r="M9" s="162" t="n">
        <v>3397</v>
      </c>
      <c r="N9" s="86" t="n">
        <v>2892</v>
      </c>
      <c r="O9" s="86" t="n">
        <v>4695</v>
      </c>
      <c r="P9" s="86" t="n">
        <v>4220</v>
      </c>
      <c r="Q9" s="86" t="n">
        <v>1885</v>
      </c>
      <c r="R9" s="86" t="n">
        <v>3434</v>
      </c>
      <c r="S9" s="86" t="n">
        <v>2966</v>
      </c>
      <c r="T9" s="86" t="n">
        <v>2474</v>
      </c>
      <c r="U9" s="86" t="n">
        <v>2513</v>
      </c>
      <c r="V9" s="86" t="n">
        <v>2705</v>
      </c>
    </row>
    <row r="10" customFormat="false" ht="13.5" hidden="false" customHeight="true" outlineLevel="0" collapsed="false">
      <c r="B10" s="104" t="s">
        <v>21</v>
      </c>
      <c r="C10" s="131" t="n">
        <v>512</v>
      </c>
      <c r="D10" s="131" t="n">
        <v>502</v>
      </c>
      <c r="E10" s="131" t="n">
        <v>591</v>
      </c>
      <c r="F10" s="131" t="n">
        <v>617</v>
      </c>
      <c r="G10" s="131" t="n">
        <v>745</v>
      </c>
      <c r="H10" s="131" t="n">
        <v>630</v>
      </c>
      <c r="I10" s="131" t="n">
        <v>710</v>
      </c>
      <c r="J10" s="131" t="n">
        <v>786</v>
      </c>
      <c r="K10" s="131" t="n">
        <v>656</v>
      </c>
      <c r="L10" s="131" t="n">
        <v>706</v>
      </c>
      <c r="M10" s="131" t="n">
        <v>535</v>
      </c>
      <c r="N10" s="83" t="n">
        <v>541</v>
      </c>
      <c r="O10" s="83" t="n">
        <v>405</v>
      </c>
      <c r="P10" s="83" t="n">
        <v>340</v>
      </c>
      <c r="Q10" s="83" t="n">
        <v>267</v>
      </c>
      <c r="R10" s="83" t="n">
        <v>253</v>
      </c>
      <c r="S10" s="83" t="n">
        <v>193</v>
      </c>
      <c r="T10" s="83" t="n">
        <v>179</v>
      </c>
      <c r="U10" s="83" t="n">
        <v>132</v>
      </c>
      <c r="V10" s="83" t="n">
        <v>110</v>
      </c>
    </row>
    <row r="11" customFormat="false" ht="13.5" hidden="false" customHeight="true" outlineLevel="0" collapsed="false">
      <c r="B11" s="112" t="s">
        <v>22</v>
      </c>
      <c r="C11" s="162" t="n">
        <v>1188</v>
      </c>
      <c r="D11" s="162" t="n">
        <v>1299</v>
      </c>
      <c r="E11" s="162" t="n">
        <v>1372</v>
      </c>
      <c r="F11" s="162" t="n">
        <v>1494</v>
      </c>
      <c r="G11" s="162" t="n">
        <v>1557</v>
      </c>
      <c r="H11" s="162" t="n">
        <v>1359</v>
      </c>
      <c r="I11" s="162" t="n">
        <v>1358</v>
      </c>
      <c r="J11" s="162" t="n">
        <v>1350</v>
      </c>
      <c r="K11" s="162" t="n">
        <v>1289</v>
      </c>
      <c r="L11" s="162" t="n">
        <v>1291</v>
      </c>
      <c r="M11" s="162" t="n">
        <v>1100</v>
      </c>
      <c r="N11" s="86" t="n">
        <v>965</v>
      </c>
      <c r="O11" s="86" t="n">
        <v>1234</v>
      </c>
      <c r="P11" s="86" t="n">
        <v>885</v>
      </c>
      <c r="Q11" s="86" t="n">
        <v>777</v>
      </c>
      <c r="R11" s="86" t="n">
        <v>934</v>
      </c>
      <c r="S11" s="86" t="n">
        <v>908</v>
      </c>
      <c r="T11" s="86" t="n">
        <v>860</v>
      </c>
      <c r="U11" s="86" t="n">
        <v>842</v>
      </c>
      <c r="V11" s="86" t="n">
        <v>744</v>
      </c>
    </row>
    <row r="12" customFormat="false" ht="13.5" hidden="false" customHeight="true" outlineLevel="0" collapsed="false">
      <c r="B12" s="104" t="s">
        <v>23</v>
      </c>
      <c r="C12" s="131" t="n">
        <v>891</v>
      </c>
      <c r="D12" s="131" t="n">
        <v>923</v>
      </c>
      <c r="E12" s="131" t="n">
        <v>945</v>
      </c>
      <c r="F12" s="131" t="n">
        <v>1178</v>
      </c>
      <c r="G12" s="131" t="n">
        <v>1192</v>
      </c>
      <c r="H12" s="131" t="n">
        <v>1270</v>
      </c>
      <c r="I12" s="131" t="n">
        <v>1536</v>
      </c>
      <c r="J12" s="131" t="n">
        <v>1902</v>
      </c>
      <c r="K12" s="131" t="n">
        <v>2096</v>
      </c>
      <c r="L12" s="131" t="n">
        <v>1993</v>
      </c>
      <c r="M12" s="131" t="n">
        <v>2120</v>
      </c>
      <c r="N12" s="83" t="n">
        <v>2133</v>
      </c>
      <c r="O12" s="83" t="n">
        <v>2060</v>
      </c>
      <c r="P12" s="83" t="n">
        <v>1885</v>
      </c>
      <c r="Q12" s="83" t="n">
        <v>1476</v>
      </c>
      <c r="R12" s="83" t="n">
        <v>1413</v>
      </c>
      <c r="S12" s="83" t="n">
        <v>1017</v>
      </c>
      <c r="T12" s="83" t="n">
        <v>946</v>
      </c>
      <c r="U12" s="83" t="n">
        <v>840</v>
      </c>
      <c r="V12" s="83" t="n">
        <v>634</v>
      </c>
    </row>
    <row r="13" customFormat="false" ht="13.5" hidden="false" customHeight="true" outlineLevel="0" collapsed="false">
      <c r="B13" s="112" t="s">
        <v>24</v>
      </c>
      <c r="C13" s="162" t="n">
        <v>472</v>
      </c>
      <c r="D13" s="162" t="n">
        <v>461</v>
      </c>
      <c r="E13" s="162" t="n">
        <v>585</v>
      </c>
      <c r="F13" s="162" t="n">
        <v>689</v>
      </c>
      <c r="G13" s="162" t="n">
        <v>784</v>
      </c>
      <c r="H13" s="162" t="n">
        <v>812</v>
      </c>
      <c r="I13" s="162" t="n">
        <v>939</v>
      </c>
      <c r="J13" s="162" t="n">
        <v>1142</v>
      </c>
      <c r="K13" s="162" t="n">
        <v>1382</v>
      </c>
      <c r="L13" s="162" t="n">
        <v>1675</v>
      </c>
      <c r="M13" s="162" t="n">
        <v>1722</v>
      </c>
      <c r="N13" s="86" t="n">
        <v>1625</v>
      </c>
      <c r="O13" s="86" t="n">
        <v>1474</v>
      </c>
      <c r="P13" s="86" t="n">
        <v>1257</v>
      </c>
      <c r="Q13" s="86" t="n">
        <v>1061</v>
      </c>
      <c r="R13" s="86" t="n">
        <v>1426</v>
      </c>
      <c r="S13" s="86" t="n">
        <v>1439</v>
      </c>
      <c r="T13" s="86" t="n">
        <v>1322</v>
      </c>
      <c r="U13" s="86" t="n">
        <v>1437</v>
      </c>
      <c r="V13" s="86" t="n">
        <v>1572</v>
      </c>
    </row>
    <row r="14" customFormat="false" ht="13.5" hidden="false" customHeight="true" outlineLevel="0" collapsed="false">
      <c r="B14" s="104" t="s">
        <v>25</v>
      </c>
      <c r="C14" s="131" t="n">
        <v>3088</v>
      </c>
      <c r="D14" s="131" t="n">
        <v>3069</v>
      </c>
      <c r="E14" s="131" t="n">
        <v>2971</v>
      </c>
      <c r="F14" s="131" t="n">
        <v>2742</v>
      </c>
      <c r="G14" s="131" t="n">
        <v>2588</v>
      </c>
      <c r="H14" s="131" t="n">
        <v>2455</v>
      </c>
      <c r="I14" s="131" t="n">
        <v>2985</v>
      </c>
      <c r="J14" s="131" t="n">
        <v>3210</v>
      </c>
      <c r="K14" s="131" t="n">
        <v>3455</v>
      </c>
      <c r="L14" s="131" t="n">
        <v>3363</v>
      </c>
      <c r="M14" s="131" t="n">
        <v>3208</v>
      </c>
      <c r="N14" s="83" t="n">
        <v>3310</v>
      </c>
      <c r="O14" s="83" t="n">
        <v>3060</v>
      </c>
      <c r="P14" s="83" t="n">
        <v>2234</v>
      </c>
      <c r="Q14" s="83" t="n">
        <v>1869</v>
      </c>
      <c r="R14" s="83" t="n">
        <v>1692</v>
      </c>
      <c r="S14" s="83" t="n">
        <v>1588</v>
      </c>
      <c r="T14" s="83" t="n">
        <v>1737</v>
      </c>
      <c r="U14" s="83" t="n">
        <v>1749</v>
      </c>
      <c r="V14" s="83" t="n">
        <v>1682</v>
      </c>
    </row>
    <row r="15" customFormat="false" ht="13.5" hidden="false" customHeight="true" outlineLevel="0" collapsed="false">
      <c r="B15" s="112" t="s">
        <v>26</v>
      </c>
      <c r="C15" s="162" t="n">
        <v>346</v>
      </c>
      <c r="D15" s="162" t="n">
        <v>372</v>
      </c>
      <c r="E15" s="162" t="n">
        <v>401</v>
      </c>
      <c r="F15" s="162" t="n">
        <v>389</v>
      </c>
      <c r="G15" s="162" t="n">
        <v>433</v>
      </c>
      <c r="H15" s="162" t="n">
        <v>339</v>
      </c>
      <c r="I15" s="162" t="n">
        <v>364</v>
      </c>
      <c r="J15" s="162" t="n">
        <v>335</v>
      </c>
      <c r="K15" s="162" t="n">
        <v>314</v>
      </c>
      <c r="L15" s="162" t="n">
        <v>355</v>
      </c>
      <c r="M15" s="162" t="n">
        <v>317</v>
      </c>
      <c r="N15" s="86" t="n">
        <v>328</v>
      </c>
      <c r="O15" s="86" t="n">
        <v>318</v>
      </c>
      <c r="P15" s="86" t="n">
        <v>246</v>
      </c>
      <c r="Q15" s="86" t="n">
        <v>231</v>
      </c>
      <c r="R15" s="86" t="n">
        <v>215</v>
      </c>
      <c r="S15" s="86" t="n">
        <v>269</v>
      </c>
      <c r="T15" s="86" t="n">
        <v>249</v>
      </c>
      <c r="U15" s="86" t="n">
        <v>227</v>
      </c>
      <c r="V15" s="86" t="n">
        <v>217</v>
      </c>
    </row>
    <row r="16" customFormat="false" ht="13.5" hidden="false" customHeight="true" outlineLevel="0" collapsed="false">
      <c r="B16" s="104" t="s">
        <v>27</v>
      </c>
      <c r="C16" s="131" t="n">
        <v>484</v>
      </c>
      <c r="D16" s="131" t="n">
        <v>499</v>
      </c>
      <c r="E16" s="131" t="n">
        <v>542</v>
      </c>
      <c r="F16" s="131" t="n">
        <v>579</v>
      </c>
      <c r="G16" s="131" t="n">
        <v>575</v>
      </c>
      <c r="H16" s="131" t="n">
        <v>568</v>
      </c>
      <c r="I16" s="131" t="n">
        <v>605</v>
      </c>
      <c r="J16" s="131" t="n">
        <v>649</v>
      </c>
      <c r="K16" s="131" t="n">
        <v>750</v>
      </c>
      <c r="L16" s="131" t="n">
        <v>856</v>
      </c>
      <c r="M16" s="131" t="n">
        <v>780</v>
      </c>
      <c r="N16" s="83" t="n">
        <v>757</v>
      </c>
      <c r="O16" s="83" t="n">
        <v>675</v>
      </c>
      <c r="P16" s="83" t="n">
        <v>562</v>
      </c>
      <c r="Q16" s="83" t="n">
        <v>506</v>
      </c>
      <c r="R16" s="83" t="n">
        <v>594</v>
      </c>
      <c r="S16" s="83" t="n">
        <v>556</v>
      </c>
      <c r="T16" s="83" t="n">
        <v>676</v>
      </c>
      <c r="U16" s="83" t="n">
        <v>765</v>
      </c>
      <c r="V16" s="83" t="n">
        <v>693</v>
      </c>
    </row>
    <row r="17" customFormat="false" ht="13.5" hidden="false" customHeight="true" outlineLevel="0" collapsed="false">
      <c r="B17" s="112" t="s">
        <v>28</v>
      </c>
      <c r="C17" s="162" t="n">
        <v>1199</v>
      </c>
      <c r="D17" s="162" t="n">
        <v>1296</v>
      </c>
      <c r="E17" s="162" t="n">
        <v>1390</v>
      </c>
      <c r="F17" s="162" t="n">
        <v>1935</v>
      </c>
      <c r="G17" s="162" t="n">
        <v>2042</v>
      </c>
      <c r="H17" s="162" t="n">
        <v>2520</v>
      </c>
      <c r="I17" s="162" t="n">
        <v>2082</v>
      </c>
      <c r="J17" s="162" t="n">
        <v>2150</v>
      </c>
      <c r="K17" s="162" t="n">
        <v>2254</v>
      </c>
      <c r="L17" s="162" t="n">
        <v>2327</v>
      </c>
      <c r="M17" s="162" t="n">
        <v>2546</v>
      </c>
      <c r="N17" s="86" t="n">
        <v>3061</v>
      </c>
      <c r="O17" s="86" t="n">
        <v>3378</v>
      </c>
      <c r="P17" s="86" t="n">
        <v>3461</v>
      </c>
      <c r="Q17" s="86" t="n">
        <v>2356</v>
      </c>
      <c r="R17" s="86" t="n">
        <v>1899</v>
      </c>
      <c r="S17" s="86" t="n">
        <v>1959</v>
      </c>
      <c r="T17" s="86" t="n">
        <v>2039</v>
      </c>
      <c r="U17" s="86" t="n">
        <v>1765</v>
      </c>
      <c r="V17" s="86" t="n">
        <v>1560</v>
      </c>
    </row>
    <row r="18" customFormat="false" ht="13.5" hidden="false" customHeight="true" outlineLevel="0" collapsed="false">
      <c r="B18" s="104" t="s">
        <v>29</v>
      </c>
      <c r="C18" s="131" t="n">
        <v>541</v>
      </c>
      <c r="D18" s="131" t="n">
        <v>627</v>
      </c>
      <c r="E18" s="131" t="n">
        <v>659</v>
      </c>
      <c r="F18" s="131" t="n">
        <v>745</v>
      </c>
      <c r="G18" s="131" t="n">
        <v>1022</v>
      </c>
      <c r="H18" s="131" t="n">
        <v>1215</v>
      </c>
      <c r="I18" s="131" t="n">
        <v>1382</v>
      </c>
      <c r="J18" s="131" t="n">
        <v>1230</v>
      </c>
      <c r="K18" s="131" t="n">
        <v>1251</v>
      </c>
      <c r="L18" s="131" t="n">
        <v>1250</v>
      </c>
      <c r="M18" s="131" t="n">
        <v>1265</v>
      </c>
      <c r="N18" s="83" t="n">
        <v>1064</v>
      </c>
      <c r="O18" s="83" t="n">
        <v>1038</v>
      </c>
      <c r="P18" s="83" t="n">
        <v>995</v>
      </c>
      <c r="Q18" s="83" t="n">
        <v>718</v>
      </c>
      <c r="R18" s="83" t="n">
        <v>923</v>
      </c>
      <c r="S18" s="83" t="n">
        <v>940</v>
      </c>
      <c r="T18" s="83" t="n">
        <v>902</v>
      </c>
      <c r="U18" s="83" t="n">
        <v>896</v>
      </c>
      <c r="V18" s="83" t="n">
        <v>892</v>
      </c>
    </row>
    <row r="19" customFormat="false" ht="13.5" hidden="false" customHeight="true" outlineLevel="0" collapsed="false">
      <c r="B19" s="112" t="s">
        <v>30</v>
      </c>
      <c r="C19" s="162" t="n">
        <v>3492</v>
      </c>
      <c r="D19" s="162" t="n">
        <v>3594</v>
      </c>
      <c r="E19" s="162" t="n">
        <v>3707</v>
      </c>
      <c r="F19" s="162" t="n">
        <v>3437</v>
      </c>
      <c r="G19" s="162" t="n">
        <v>3106</v>
      </c>
      <c r="H19" s="162" t="n">
        <v>2630</v>
      </c>
      <c r="I19" s="162" t="n">
        <v>2533</v>
      </c>
      <c r="J19" s="162" t="n">
        <v>2467</v>
      </c>
      <c r="K19" s="162" t="n">
        <v>2301</v>
      </c>
      <c r="L19" s="162" t="n">
        <v>2543</v>
      </c>
      <c r="M19" s="162" t="n">
        <v>3073</v>
      </c>
      <c r="N19" s="86" t="n">
        <v>3490</v>
      </c>
      <c r="O19" s="86" t="n">
        <v>4495</v>
      </c>
      <c r="P19" s="86" t="n">
        <v>3378</v>
      </c>
      <c r="Q19" s="86" t="n">
        <v>2699</v>
      </c>
      <c r="R19" s="86" t="n">
        <v>3063</v>
      </c>
      <c r="S19" s="86" t="n">
        <v>2793</v>
      </c>
      <c r="T19" s="86" t="n">
        <v>2766</v>
      </c>
      <c r="U19" s="86" t="n">
        <v>2997</v>
      </c>
      <c r="V19" s="86" t="n">
        <v>2775</v>
      </c>
    </row>
    <row r="20" customFormat="false" ht="13.5" hidden="false" customHeight="true" outlineLevel="0" collapsed="false">
      <c r="B20" s="104" t="s">
        <v>31</v>
      </c>
      <c r="C20" s="131" t="n">
        <v>156</v>
      </c>
      <c r="D20" s="131" t="n">
        <v>201</v>
      </c>
      <c r="E20" s="131" t="n">
        <v>196</v>
      </c>
      <c r="F20" s="131" t="n">
        <v>169</v>
      </c>
      <c r="G20" s="131" t="n">
        <v>192</v>
      </c>
      <c r="H20" s="131" t="n">
        <v>220</v>
      </c>
      <c r="I20" s="131" t="n">
        <v>264</v>
      </c>
      <c r="J20" s="131" t="n">
        <v>321</v>
      </c>
      <c r="K20" s="131" t="n">
        <v>373</v>
      </c>
      <c r="L20" s="131" t="n">
        <v>456</v>
      </c>
      <c r="M20" s="131" t="n">
        <v>406</v>
      </c>
      <c r="N20" s="83" t="n">
        <v>448</v>
      </c>
      <c r="O20" s="83" t="n">
        <v>385</v>
      </c>
      <c r="P20" s="83" t="n">
        <v>385</v>
      </c>
      <c r="Q20" s="83" t="n">
        <v>352</v>
      </c>
      <c r="R20" s="83" t="n">
        <v>456</v>
      </c>
      <c r="S20" s="83" t="n">
        <v>566</v>
      </c>
      <c r="T20" s="83" t="n">
        <v>607</v>
      </c>
      <c r="U20" s="83" t="n">
        <v>523</v>
      </c>
      <c r="V20" s="83" t="n">
        <v>483</v>
      </c>
    </row>
    <row r="21" customFormat="false" ht="13.5" hidden="false" customHeight="true" outlineLevel="0" collapsed="false">
      <c r="B21" s="112" t="s">
        <v>32</v>
      </c>
      <c r="C21" s="162" t="n">
        <v>2041</v>
      </c>
      <c r="D21" s="162" t="n">
        <v>2234</v>
      </c>
      <c r="E21" s="162" t="n">
        <v>2297</v>
      </c>
      <c r="F21" s="162" t="n">
        <v>2561</v>
      </c>
      <c r="G21" s="162" t="n">
        <v>2686</v>
      </c>
      <c r="H21" s="162" t="n">
        <v>2648</v>
      </c>
      <c r="I21" s="162" t="n">
        <v>2380</v>
      </c>
      <c r="J21" s="162" t="n">
        <v>2441</v>
      </c>
      <c r="K21" s="162" t="n">
        <v>2042</v>
      </c>
      <c r="L21" s="162" t="n">
        <v>2083</v>
      </c>
      <c r="M21" s="162" t="n">
        <v>1981</v>
      </c>
      <c r="N21" s="86" t="n">
        <v>2131</v>
      </c>
      <c r="O21" s="86" t="n">
        <v>1837</v>
      </c>
      <c r="P21" s="86" t="n">
        <v>1526</v>
      </c>
      <c r="Q21" s="86" t="n">
        <v>1182</v>
      </c>
      <c r="R21" s="86" t="n">
        <v>1407</v>
      </c>
      <c r="S21" s="86" t="n">
        <v>1377</v>
      </c>
      <c r="T21" s="86" t="n">
        <v>1501</v>
      </c>
      <c r="U21" s="86" t="n">
        <v>1252</v>
      </c>
      <c r="V21" s="86" t="n">
        <v>1095</v>
      </c>
    </row>
    <row r="22" customFormat="false" ht="13.5" hidden="false" customHeight="true" outlineLevel="0" collapsed="false">
      <c r="B22" s="104" t="s">
        <v>33</v>
      </c>
      <c r="C22" s="131" t="n">
        <v>5987</v>
      </c>
      <c r="D22" s="131" t="n">
        <v>5807</v>
      </c>
      <c r="E22" s="131" t="n">
        <v>5107</v>
      </c>
      <c r="F22" s="131" t="n">
        <v>4346</v>
      </c>
      <c r="G22" s="131" t="n">
        <v>4013</v>
      </c>
      <c r="H22" s="131" t="n">
        <v>4118</v>
      </c>
      <c r="I22" s="131" t="n">
        <v>3414</v>
      </c>
      <c r="J22" s="131" t="n">
        <v>3473</v>
      </c>
      <c r="K22" s="131" t="n">
        <v>3562</v>
      </c>
      <c r="L22" s="131" t="n">
        <v>3656</v>
      </c>
      <c r="M22" s="131" t="n">
        <v>3178</v>
      </c>
      <c r="N22" s="83" t="n">
        <v>4036</v>
      </c>
      <c r="O22" s="83" t="n">
        <v>4419</v>
      </c>
      <c r="P22" s="83" t="n">
        <v>4267</v>
      </c>
      <c r="Q22" s="83" t="n">
        <v>2311</v>
      </c>
      <c r="R22" s="83" t="n">
        <v>2744</v>
      </c>
      <c r="S22" s="83" t="n">
        <v>3000</v>
      </c>
      <c r="T22" s="83" t="n">
        <v>2438</v>
      </c>
      <c r="U22" s="83" t="n">
        <v>2584</v>
      </c>
      <c r="V22" s="83" t="n">
        <v>2033</v>
      </c>
    </row>
    <row r="23" customFormat="false" ht="13.5" hidden="false" customHeight="true" outlineLevel="0" collapsed="false">
      <c r="B23" s="112" t="s">
        <v>34</v>
      </c>
      <c r="C23" s="162" t="n">
        <v>270</v>
      </c>
      <c r="D23" s="162" t="n">
        <v>303</v>
      </c>
      <c r="E23" s="162" t="n">
        <v>441</v>
      </c>
      <c r="F23" s="162" t="n">
        <v>541</v>
      </c>
      <c r="G23" s="162" t="n">
        <v>614</v>
      </c>
      <c r="H23" s="162" t="n">
        <v>615</v>
      </c>
      <c r="I23" s="162" t="n">
        <v>779</v>
      </c>
      <c r="J23" s="162" t="n">
        <v>850</v>
      </c>
      <c r="K23" s="162" t="n">
        <v>1153</v>
      </c>
      <c r="L23" s="162" t="n">
        <v>1316</v>
      </c>
      <c r="M23" s="162" t="n">
        <v>1238</v>
      </c>
      <c r="N23" s="86" t="n">
        <v>1568</v>
      </c>
      <c r="O23" s="86" t="n">
        <v>1924</v>
      </c>
      <c r="P23" s="86" t="n">
        <v>1641</v>
      </c>
      <c r="Q23" s="86" t="n">
        <v>1177</v>
      </c>
      <c r="R23" s="86" t="n">
        <v>1230</v>
      </c>
      <c r="S23" s="86" t="n">
        <v>1014</v>
      </c>
      <c r="T23" s="86" t="n">
        <v>965</v>
      </c>
      <c r="U23" s="86" t="n">
        <v>706</v>
      </c>
      <c r="V23" s="86" t="n">
        <v>606</v>
      </c>
    </row>
    <row r="24" customFormat="false" ht="13.5" hidden="false" customHeight="true" outlineLevel="0" collapsed="false">
      <c r="B24" s="104" t="s">
        <v>35</v>
      </c>
      <c r="C24" s="131" t="n">
        <v>369</v>
      </c>
      <c r="D24" s="131" t="n">
        <v>388</v>
      </c>
      <c r="E24" s="131" t="n">
        <v>323</v>
      </c>
      <c r="F24" s="131" t="n">
        <v>283</v>
      </c>
      <c r="G24" s="131" t="n">
        <v>349</v>
      </c>
      <c r="H24" s="131" t="n">
        <v>348</v>
      </c>
      <c r="I24" s="131" t="n">
        <v>285</v>
      </c>
      <c r="J24" s="131" t="n">
        <v>338</v>
      </c>
      <c r="K24" s="131" t="n">
        <v>300</v>
      </c>
      <c r="L24" s="131" t="n">
        <v>398</v>
      </c>
      <c r="M24" s="131" t="n">
        <v>382</v>
      </c>
      <c r="N24" s="83" t="n">
        <v>465</v>
      </c>
      <c r="O24" s="83" t="n">
        <v>376</v>
      </c>
      <c r="P24" s="83" t="n">
        <v>302</v>
      </c>
      <c r="Q24" s="83" t="n">
        <v>258</v>
      </c>
      <c r="R24" s="83" t="n">
        <v>256</v>
      </c>
      <c r="S24" s="83" t="n">
        <v>324</v>
      </c>
      <c r="T24" s="83" t="n">
        <v>378</v>
      </c>
      <c r="U24" s="83" t="n">
        <v>327</v>
      </c>
      <c r="V24" s="83" t="n">
        <v>331</v>
      </c>
    </row>
    <row r="25" customFormat="false" ht="13.5" hidden="false" customHeight="true" outlineLevel="0" collapsed="false">
      <c r="B25" s="112" t="s">
        <v>36</v>
      </c>
      <c r="C25" s="162" t="n">
        <v>28</v>
      </c>
      <c r="D25" s="162" t="n">
        <v>38</v>
      </c>
      <c r="E25" s="162" t="n">
        <v>28</v>
      </c>
      <c r="F25" s="162" t="n">
        <v>29</v>
      </c>
      <c r="G25" s="162" t="n">
        <v>27</v>
      </c>
      <c r="H25" s="162" t="n">
        <v>29</v>
      </c>
      <c r="I25" s="162" t="n">
        <v>25</v>
      </c>
      <c r="J25" s="162" t="n">
        <v>32</v>
      </c>
      <c r="K25" s="162" t="n">
        <v>69</v>
      </c>
      <c r="L25" s="162" t="n">
        <v>47</v>
      </c>
      <c r="M25" s="162" t="n">
        <v>59</v>
      </c>
      <c r="N25" s="86" t="n">
        <v>70</v>
      </c>
      <c r="O25" s="86" t="n">
        <v>96</v>
      </c>
      <c r="P25" s="86" t="n">
        <v>182</v>
      </c>
      <c r="Q25" s="86" t="n">
        <v>83</v>
      </c>
      <c r="R25" s="86" t="n">
        <v>101</v>
      </c>
      <c r="S25" s="86" t="n">
        <v>105</v>
      </c>
      <c r="T25" s="86" t="n">
        <v>103</v>
      </c>
      <c r="U25" s="86" t="n">
        <v>105</v>
      </c>
      <c r="V25" s="86" t="n">
        <v>69</v>
      </c>
    </row>
    <row r="26" customFormat="false" ht="13.5" hidden="false" customHeight="true" outlineLevel="0" collapsed="false">
      <c r="B26" s="104" t="s">
        <v>37</v>
      </c>
      <c r="C26" s="131" t="n">
        <v>1471</v>
      </c>
      <c r="D26" s="131" t="n">
        <v>1419</v>
      </c>
      <c r="E26" s="131" t="n">
        <v>1655</v>
      </c>
      <c r="F26" s="131" t="n">
        <v>1795</v>
      </c>
      <c r="G26" s="131" t="n">
        <v>1641</v>
      </c>
      <c r="H26" s="131" t="n">
        <v>1495</v>
      </c>
      <c r="I26" s="131" t="n">
        <v>1529</v>
      </c>
      <c r="J26" s="131" t="n">
        <v>1737</v>
      </c>
      <c r="K26" s="131" t="n">
        <v>1711</v>
      </c>
      <c r="L26" s="131" t="n">
        <v>2052</v>
      </c>
      <c r="M26" s="131" t="n">
        <v>2281</v>
      </c>
      <c r="N26" s="83" t="n">
        <v>2506</v>
      </c>
      <c r="O26" s="83" t="n">
        <v>2582</v>
      </c>
      <c r="P26" s="83" t="n">
        <v>2069</v>
      </c>
      <c r="Q26" s="83" t="n">
        <v>1599</v>
      </c>
      <c r="R26" s="83" t="n">
        <v>1537</v>
      </c>
      <c r="S26" s="83" t="n">
        <v>1378</v>
      </c>
      <c r="T26" s="83" t="n">
        <v>1478</v>
      </c>
      <c r="U26" s="83" t="n">
        <v>1407</v>
      </c>
      <c r="V26" s="83" t="n">
        <v>1227</v>
      </c>
    </row>
    <row r="27" customFormat="false" ht="13.5" hidden="false" customHeight="true" outlineLevel="0" collapsed="false">
      <c r="B27" s="112" t="s">
        <v>38</v>
      </c>
      <c r="C27" s="162" t="n">
        <v>386</v>
      </c>
      <c r="D27" s="162" t="n">
        <v>381</v>
      </c>
      <c r="E27" s="162" t="n">
        <v>378</v>
      </c>
      <c r="F27" s="162" t="n">
        <v>499</v>
      </c>
      <c r="G27" s="162" t="n">
        <v>505</v>
      </c>
      <c r="H27" s="162" t="n">
        <v>477</v>
      </c>
      <c r="I27" s="162" t="n">
        <v>481</v>
      </c>
      <c r="J27" s="162" t="n">
        <v>495</v>
      </c>
      <c r="K27" s="162" t="n">
        <v>439</v>
      </c>
      <c r="L27" s="162" t="n">
        <v>496</v>
      </c>
      <c r="M27" s="162" t="n">
        <v>563</v>
      </c>
      <c r="N27" s="86" t="n">
        <v>608</v>
      </c>
      <c r="O27" s="86" t="n">
        <v>669</v>
      </c>
      <c r="P27" s="86" t="n">
        <v>449</v>
      </c>
      <c r="Q27" s="86" t="n">
        <v>395</v>
      </c>
      <c r="R27" s="86" t="n">
        <v>382</v>
      </c>
      <c r="S27" s="86" t="n">
        <v>380</v>
      </c>
      <c r="T27" s="86" t="n">
        <v>313</v>
      </c>
      <c r="U27" s="86" t="n">
        <v>297</v>
      </c>
      <c r="V27" s="86" t="n">
        <v>305</v>
      </c>
    </row>
    <row r="28" customFormat="false" ht="13.5" hidden="false" customHeight="true" outlineLevel="0" collapsed="false">
      <c r="B28" s="104" t="s">
        <v>39</v>
      </c>
      <c r="C28" s="131" t="n">
        <v>325</v>
      </c>
      <c r="D28" s="131" t="n">
        <v>414</v>
      </c>
      <c r="E28" s="131" t="n">
        <v>346</v>
      </c>
      <c r="F28" s="131" t="n">
        <v>373</v>
      </c>
      <c r="G28" s="131" t="n">
        <v>448</v>
      </c>
      <c r="H28" s="131" t="n">
        <v>461</v>
      </c>
      <c r="I28" s="131" t="n">
        <v>526</v>
      </c>
      <c r="J28" s="131" t="n">
        <v>653</v>
      </c>
      <c r="K28" s="131" t="n">
        <v>723</v>
      </c>
      <c r="L28" s="131" t="n">
        <v>896</v>
      </c>
      <c r="M28" s="131" t="n">
        <v>1101</v>
      </c>
      <c r="N28" s="83" t="n">
        <v>1263</v>
      </c>
      <c r="O28" s="83" t="n">
        <v>1097</v>
      </c>
      <c r="P28" s="83" t="n">
        <v>961</v>
      </c>
      <c r="Q28" s="83" t="n">
        <v>780</v>
      </c>
      <c r="R28" s="83" t="n">
        <v>823</v>
      </c>
      <c r="S28" s="83" t="n">
        <v>664</v>
      </c>
      <c r="T28" s="83" t="n">
        <v>654</v>
      </c>
      <c r="U28" s="83" t="n">
        <v>572</v>
      </c>
      <c r="V28" s="83" t="n">
        <v>396</v>
      </c>
    </row>
    <row r="29" customFormat="false" ht="13.5" hidden="false" customHeight="true" outlineLevel="0" collapsed="false">
      <c r="B29" s="112" t="s">
        <v>40</v>
      </c>
      <c r="C29" s="162" t="n">
        <v>5784</v>
      </c>
      <c r="D29" s="162" t="n">
        <v>5748</v>
      </c>
      <c r="E29" s="162" t="n">
        <v>4129</v>
      </c>
      <c r="F29" s="162" t="n">
        <v>3865</v>
      </c>
      <c r="G29" s="162" t="n">
        <v>3831</v>
      </c>
      <c r="H29" s="162" t="n">
        <v>3434</v>
      </c>
      <c r="I29" s="162" t="n">
        <v>3231</v>
      </c>
      <c r="J29" s="162" t="n">
        <v>3821</v>
      </c>
      <c r="K29" s="162" t="n">
        <v>3408</v>
      </c>
      <c r="L29" s="162" t="n">
        <v>3536</v>
      </c>
      <c r="M29" s="162" t="n">
        <v>3066</v>
      </c>
      <c r="N29" s="86" t="n">
        <v>2690</v>
      </c>
      <c r="O29" s="86" t="n">
        <v>2490</v>
      </c>
      <c r="P29" s="86" t="n">
        <v>1966</v>
      </c>
      <c r="Q29" s="86" t="n">
        <v>1721</v>
      </c>
      <c r="R29" s="86" t="n">
        <v>1762</v>
      </c>
      <c r="S29" s="86" t="n">
        <v>1622</v>
      </c>
      <c r="T29" s="86" t="n">
        <v>1649</v>
      </c>
      <c r="U29" s="86" t="n">
        <v>1462</v>
      </c>
      <c r="V29" s="86" t="n">
        <v>1440</v>
      </c>
    </row>
    <row r="30" customFormat="false" ht="13.5" hidden="false" customHeight="true" outlineLevel="0" collapsed="false">
      <c r="B30" s="104" t="s">
        <v>41</v>
      </c>
      <c r="C30" s="131" t="n">
        <v>82</v>
      </c>
      <c r="D30" s="131" t="n">
        <v>89</v>
      </c>
      <c r="E30" s="131" t="n">
        <v>85</v>
      </c>
      <c r="F30" s="131" t="n">
        <v>94</v>
      </c>
      <c r="G30" s="131" t="n">
        <v>123</v>
      </c>
      <c r="H30" s="131" t="n">
        <v>125</v>
      </c>
      <c r="I30" s="131" t="n">
        <v>157</v>
      </c>
      <c r="J30" s="131" t="n">
        <v>172</v>
      </c>
      <c r="K30" s="131" t="n">
        <v>140</v>
      </c>
      <c r="L30" s="131" t="n">
        <v>164</v>
      </c>
      <c r="M30" s="131" t="n">
        <v>269</v>
      </c>
      <c r="N30" s="83" t="n">
        <v>303</v>
      </c>
      <c r="O30" s="83" t="n">
        <v>321</v>
      </c>
      <c r="P30" s="83" t="n">
        <v>307</v>
      </c>
      <c r="Q30" s="83" t="n">
        <v>247</v>
      </c>
      <c r="R30" s="83" t="n">
        <v>275</v>
      </c>
      <c r="S30" s="83" t="n">
        <v>251</v>
      </c>
      <c r="T30" s="83" t="n">
        <v>248</v>
      </c>
      <c r="U30" s="83" t="n">
        <v>267</v>
      </c>
      <c r="V30" s="83" t="n">
        <v>136</v>
      </c>
    </row>
  </sheetData>
  <mergeCells count="2">
    <mergeCell ref="B1:V1"/>
    <mergeCell ref="B2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22" min="3" style="0" width="11"/>
  </cols>
  <sheetData>
    <row r="1" customFormat="false" ht="19.5" hidden="false" customHeight="true" outlineLevel="0" collapsed="false">
      <c r="B1" s="153" t="s">
        <v>180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customFormat="false" ht="12.75" hidden="false" customHeight="true" outlineLevel="0" collapsed="false">
      <c r="B2" s="154" t="s">
        <v>181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</row>
    <row r="3" customFormat="false" ht="19.5" hidden="false" customHeight="true" outlineLevel="0" collapsed="false">
      <c r="B3" s="155" t="s">
        <v>2</v>
      </c>
      <c r="C3" s="158" t="s">
        <v>106</v>
      </c>
      <c r="D3" s="158" t="s">
        <v>107</v>
      </c>
      <c r="E3" s="158" t="s">
        <v>108</v>
      </c>
      <c r="F3" s="158" t="s">
        <v>109</v>
      </c>
      <c r="G3" s="158" t="s">
        <v>110</v>
      </c>
      <c r="H3" s="158" t="s">
        <v>172</v>
      </c>
      <c r="I3" s="158" t="s">
        <v>173</v>
      </c>
      <c r="J3" s="159" t="s">
        <v>174</v>
      </c>
      <c r="K3" s="159" t="s">
        <v>175</v>
      </c>
      <c r="L3" s="159" t="s">
        <v>176</v>
      </c>
      <c r="M3" s="159" t="s">
        <v>177</v>
      </c>
      <c r="N3" s="159" t="s">
        <v>3</v>
      </c>
      <c r="O3" s="159" t="s">
        <v>4</v>
      </c>
      <c r="P3" s="159" t="s">
        <v>5</v>
      </c>
      <c r="Q3" s="159" t="s">
        <v>6</v>
      </c>
      <c r="R3" s="159" t="s">
        <v>7</v>
      </c>
      <c r="S3" s="159" t="s">
        <v>8</v>
      </c>
      <c r="T3" s="160" t="s">
        <v>9</v>
      </c>
      <c r="U3" s="161" t="s">
        <v>10</v>
      </c>
      <c r="V3" s="159" t="s">
        <v>11</v>
      </c>
    </row>
    <row r="4" customFormat="false" ht="13.5" hidden="false" customHeight="true" outlineLevel="0" collapsed="false">
      <c r="B4" s="104" t="s">
        <v>15</v>
      </c>
      <c r="C4" s="131" t="n">
        <v>669736</v>
      </c>
      <c r="D4" s="131" t="n">
        <v>686652</v>
      </c>
      <c r="E4" s="131" t="n">
        <v>655385</v>
      </c>
      <c r="F4" s="131" t="n">
        <v>680075</v>
      </c>
      <c r="G4" s="131" t="n">
        <v>691132</v>
      </c>
      <c r="H4" s="131" t="n">
        <v>733559</v>
      </c>
      <c r="I4" s="131" t="n">
        <v>746386</v>
      </c>
      <c r="J4" s="83" t="n">
        <v>758786</v>
      </c>
      <c r="K4" s="83" t="n">
        <v>776463</v>
      </c>
      <c r="L4" s="83" t="n">
        <v>790101</v>
      </c>
      <c r="M4" s="83" t="n">
        <v>803513</v>
      </c>
      <c r="N4" s="83" t="n">
        <v>816687</v>
      </c>
      <c r="O4" s="83" t="n">
        <v>829619</v>
      </c>
      <c r="P4" s="83" t="n">
        <v>869265</v>
      </c>
      <c r="Q4" s="83" t="n">
        <v>881935</v>
      </c>
      <c r="R4" s="83" t="n">
        <v>894470</v>
      </c>
      <c r="S4" s="83" t="n">
        <v>906876</v>
      </c>
      <c r="T4" s="83" t="n">
        <v>830018</v>
      </c>
      <c r="U4" s="83" t="n">
        <v>830018</v>
      </c>
      <c r="V4" s="83" t="n">
        <v>880631</v>
      </c>
    </row>
    <row r="5" customFormat="false" ht="13.5" hidden="false" customHeight="true" outlineLevel="0" collapsed="false">
      <c r="B5" s="112" t="s">
        <v>16</v>
      </c>
      <c r="C5" s="162" t="n">
        <v>3015912</v>
      </c>
      <c r="D5" s="162" t="n">
        <v>3050652</v>
      </c>
      <c r="E5" s="162" t="n">
        <v>3037231</v>
      </c>
      <c r="F5" s="162" t="n">
        <v>3127560</v>
      </c>
      <c r="G5" s="162" t="n">
        <v>3156108</v>
      </c>
      <c r="H5" s="162" t="n">
        <v>3120494</v>
      </c>
      <c r="I5" s="162" t="n">
        <v>3143384</v>
      </c>
      <c r="J5" s="86" t="n">
        <v>3165472</v>
      </c>
      <c r="K5" s="86" t="n">
        <v>3300935</v>
      </c>
      <c r="L5" s="86" t="n">
        <v>3321730</v>
      </c>
      <c r="M5" s="86" t="n">
        <v>3340932</v>
      </c>
      <c r="N5" s="86" t="n">
        <v>3358963</v>
      </c>
      <c r="O5" s="86" t="n">
        <v>3375823</v>
      </c>
      <c r="P5" s="86" t="n">
        <v>3322820</v>
      </c>
      <c r="Q5" s="86" t="n">
        <v>3337357</v>
      </c>
      <c r="R5" s="86" t="n">
        <v>3351543</v>
      </c>
      <c r="S5" s="86" t="n">
        <v>3365351</v>
      </c>
      <c r="T5" s="86" t="n">
        <v>3127683</v>
      </c>
      <c r="U5" s="86" t="n">
        <v>3127683</v>
      </c>
      <c r="V5" s="86" t="n">
        <v>3220104</v>
      </c>
    </row>
    <row r="6" customFormat="false" ht="13.5" hidden="false" customHeight="true" outlineLevel="0" collapsed="false">
      <c r="B6" s="104" t="s">
        <v>17</v>
      </c>
      <c r="C6" s="131" t="n">
        <v>3232330</v>
      </c>
      <c r="D6" s="131" t="n">
        <v>3311026</v>
      </c>
      <c r="E6" s="131" t="n">
        <v>3221940</v>
      </c>
      <c r="F6" s="131" t="n">
        <v>3341094</v>
      </c>
      <c r="G6" s="131" t="n">
        <v>3393369</v>
      </c>
      <c r="H6" s="131" t="n">
        <v>3483985</v>
      </c>
      <c r="I6" s="131" t="n">
        <v>3538387</v>
      </c>
      <c r="J6" s="83" t="n">
        <v>3590985</v>
      </c>
      <c r="K6" s="83" t="n">
        <v>3807921</v>
      </c>
      <c r="L6" s="83" t="n">
        <v>3873743</v>
      </c>
      <c r="M6" s="83" t="n">
        <v>3938336</v>
      </c>
      <c r="N6" s="83" t="n">
        <v>4001667</v>
      </c>
      <c r="O6" s="83" t="n">
        <v>4063614</v>
      </c>
      <c r="P6" s="83" t="n">
        <v>4080611</v>
      </c>
      <c r="Q6" s="83" t="n">
        <v>4144597</v>
      </c>
      <c r="R6" s="83" t="n">
        <v>4207714</v>
      </c>
      <c r="S6" s="83" t="n">
        <v>4269995</v>
      </c>
      <c r="T6" s="83" t="n">
        <v>3941613</v>
      </c>
      <c r="U6" s="83" t="n">
        <v>3941613</v>
      </c>
      <c r="V6" s="83" t="n">
        <v>4281209</v>
      </c>
    </row>
    <row r="7" customFormat="false" ht="13.5" hidden="false" customHeight="true" outlineLevel="0" collapsed="false">
      <c r="B7" s="112" t="s">
        <v>18</v>
      </c>
      <c r="C7" s="162" t="n">
        <v>594587</v>
      </c>
      <c r="D7" s="162" t="n">
        <v>615715</v>
      </c>
      <c r="E7" s="162" t="n">
        <v>587311</v>
      </c>
      <c r="F7" s="162" t="n">
        <v>613166</v>
      </c>
      <c r="G7" s="162" t="n">
        <v>626609</v>
      </c>
      <c r="H7" s="162" t="n">
        <v>669526</v>
      </c>
      <c r="I7" s="162" t="n">
        <v>684309</v>
      </c>
      <c r="J7" s="86" t="n">
        <v>698602</v>
      </c>
      <c r="K7" s="86" t="n">
        <v>734996</v>
      </c>
      <c r="L7" s="86" t="n">
        <v>750912</v>
      </c>
      <c r="M7" s="86" t="n">
        <v>766679</v>
      </c>
      <c r="N7" s="86" t="n">
        <v>782295</v>
      </c>
      <c r="O7" s="86" t="n">
        <v>797722</v>
      </c>
      <c r="P7" s="86" t="n">
        <v>829494</v>
      </c>
      <c r="Q7" s="86" t="n">
        <v>845731</v>
      </c>
      <c r="R7" s="86" t="n">
        <v>861773</v>
      </c>
      <c r="S7" s="86" t="n">
        <v>877613</v>
      </c>
      <c r="T7" s="86" t="n">
        <v>733759</v>
      </c>
      <c r="U7" s="86" t="n">
        <v>733759</v>
      </c>
      <c r="V7" s="86" t="n">
        <v>802837</v>
      </c>
    </row>
    <row r="8" customFormat="false" ht="13.5" hidden="false" customHeight="true" outlineLevel="0" collapsed="false">
      <c r="B8" s="104" t="s">
        <v>19</v>
      </c>
      <c r="C8" s="131" t="n">
        <v>13815334</v>
      </c>
      <c r="D8" s="131" t="n">
        <v>13950146</v>
      </c>
      <c r="E8" s="131" t="n">
        <v>14080670</v>
      </c>
      <c r="F8" s="131" t="n">
        <v>14502563</v>
      </c>
      <c r="G8" s="131" t="n">
        <v>14637364</v>
      </c>
      <c r="H8" s="131" t="n">
        <v>14016906</v>
      </c>
      <c r="I8" s="131" t="n">
        <v>14097534</v>
      </c>
      <c r="J8" s="83" t="n">
        <v>14175341</v>
      </c>
      <c r="K8" s="83" t="n">
        <v>15044137</v>
      </c>
      <c r="L8" s="83" t="n">
        <v>15126371</v>
      </c>
      <c r="M8" s="83" t="n">
        <v>15203334</v>
      </c>
      <c r="N8" s="83" t="n">
        <v>15276566</v>
      </c>
      <c r="O8" s="83" t="n">
        <v>15344447</v>
      </c>
      <c r="P8" s="83" t="n">
        <v>14812617</v>
      </c>
      <c r="Q8" s="83" t="n">
        <v>14873064</v>
      </c>
      <c r="R8" s="83" t="n">
        <v>14930634</v>
      </c>
      <c r="S8" s="83" t="n">
        <v>14985284</v>
      </c>
      <c r="T8" s="83" t="n">
        <v>14141626</v>
      </c>
      <c r="U8" s="83" t="n">
        <v>14141626</v>
      </c>
      <c r="V8" s="83" t="n">
        <v>14850513</v>
      </c>
    </row>
    <row r="9" customFormat="false" ht="13.5" hidden="false" customHeight="true" outlineLevel="0" collapsed="false">
      <c r="B9" s="112" t="s">
        <v>20</v>
      </c>
      <c r="C9" s="162" t="n">
        <v>8097276</v>
      </c>
      <c r="D9" s="162" t="n">
        <v>8217085</v>
      </c>
      <c r="E9" s="162" t="n">
        <v>8185250</v>
      </c>
      <c r="F9" s="162" t="n">
        <v>8450528</v>
      </c>
      <c r="G9" s="162" t="n">
        <v>8547809</v>
      </c>
      <c r="H9" s="162" t="n">
        <v>8452381</v>
      </c>
      <c r="I9" s="162" t="n">
        <v>8530155</v>
      </c>
      <c r="J9" s="86" t="n">
        <v>8606005</v>
      </c>
      <c r="K9" s="86" t="n">
        <v>8778576</v>
      </c>
      <c r="L9" s="86" t="n">
        <v>8842791</v>
      </c>
      <c r="M9" s="86" t="n">
        <v>8904459</v>
      </c>
      <c r="N9" s="86" t="n">
        <v>8963663</v>
      </c>
      <c r="O9" s="86" t="n">
        <v>9020460</v>
      </c>
      <c r="P9" s="86" t="n">
        <v>9075649</v>
      </c>
      <c r="Q9" s="86" t="n">
        <v>9132078</v>
      </c>
      <c r="R9" s="86" t="n">
        <v>9187103</v>
      </c>
      <c r="S9" s="86" t="n">
        <v>9240580</v>
      </c>
      <c r="T9" s="86" t="n">
        <v>8794957</v>
      </c>
      <c r="U9" s="86" t="n">
        <v>8794957</v>
      </c>
      <c r="V9" s="86" t="n">
        <v>9233656</v>
      </c>
    </row>
    <row r="10" customFormat="false" ht="13.5" hidden="false" customHeight="true" outlineLevel="0" collapsed="false">
      <c r="B10" s="104" t="s">
        <v>21</v>
      </c>
      <c r="C10" s="131" t="n">
        <v>2333108</v>
      </c>
      <c r="D10" s="131" t="n">
        <v>2383784</v>
      </c>
      <c r="E10" s="131" t="n">
        <v>2455903</v>
      </c>
      <c r="F10" s="131" t="n">
        <v>2557159</v>
      </c>
      <c r="G10" s="131" t="n">
        <v>2606885</v>
      </c>
      <c r="H10" s="131" t="n">
        <v>2570160</v>
      </c>
      <c r="I10" s="131" t="n">
        <v>2609998</v>
      </c>
      <c r="J10" s="83" t="n">
        <v>2648532</v>
      </c>
      <c r="K10" s="83" t="n">
        <v>2789761</v>
      </c>
      <c r="L10" s="83" t="n">
        <v>2852372</v>
      </c>
      <c r="M10" s="83" t="n">
        <v>2914830</v>
      </c>
      <c r="N10" s="83" t="n">
        <v>2977216</v>
      </c>
      <c r="O10" s="83" t="n">
        <v>3039444</v>
      </c>
      <c r="P10" s="83" t="n">
        <v>2974703</v>
      </c>
      <c r="Q10" s="83" t="n">
        <v>3015268</v>
      </c>
      <c r="R10" s="83" t="n">
        <v>3055149</v>
      </c>
      <c r="S10" s="83" t="n">
        <v>3094325</v>
      </c>
      <c r="T10" s="83" t="n">
        <v>2817381</v>
      </c>
      <c r="U10" s="83" t="n">
        <v>2817381</v>
      </c>
      <c r="V10" s="83" t="n">
        <v>2982818</v>
      </c>
    </row>
    <row r="11" customFormat="false" ht="13.5" hidden="false" customHeight="true" outlineLevel="0" collapsed="false">
      <c r="B11" s="112" t="s">
        <v>22</v>
      </c>
      <c r="C11" s="162" t="n">
        <v>3408365</v>
      </c>
      <c r="D11" s="162" t="n">
        <v>3464285</v>
      </c>
      <c r="E11" s="162" t="n">
        <v>3351669</v>
      </c>
      <c r="F11" s="162" t="n">
        <v>3453646</v>
      </c>
      <c r="G11" s="162" t="n">
        <v>3487199</v>
      </c>
      <c r="H11" s="162" t="n">
        <v>3514952</v>
      </c>
      <c r="I11" s="162" t="n">
        <v>3547055</v>
      </c>
      <c r="J11" s="86" t="n">
        <v>3578067</v>
      </c>
      <c r="K11" s="86" t="n">
        <v>3839366</v>
      </c>
      <c r="L11" s="86" t="n">
        <v>3885049</v>
      </c>
      <c r="M11" s="86" t="n">
        <v>3929911</v>
      </c>
      <c r="N11" s="86" t="n">
        <v>3973697</v>
      </c>
      <c r="O11" s="86" t="n">
        <v>4016356</v>
      </c>
      <c r="P11" s="86" t="n">
        <v>3972388</v>
      </c>
      <c r="Q11" s="86" t="n">
        <v>4018650</v>
      </c>
      <c r="R11" s="86" t="n">
        <v>4064052</v>
      </c>
      <c r="S11" s="86" t="n">
        <v>4108508</v>
      </c>
      <c r="T11" s="86" t="n">
        <v>3833712</v>
      </c>
      <c r="U11" s="86" t="n">
        <v>3833712</v>
      </c>
      <c r="V11" s="86" t="n">
        <v>4102129</v>
      </c>
    </row>
    <row r="12" customFormat="false" ht="13.5" hidden="false" customHeight="true" outlineLevel="0" collapsed="false">
      <c r="B12" s="104" t="s">
        <v>23</v>
      </c>
      <c r="C12" s="131" t="n">
        <v>5619917</v>
      </c>
      <c r="D12" s="131" t="n">
        <v>5730753</v>
      </c>
      <c r="E12" s="131" t="n">
        <v>5647035</v>
      </c>
      <c r="F12" s="131" t="n">
        <v>5844995</v>
      </c>
      <c r="G12" s="131" t="n">
        <v>5926300</v>
      </c>
      <c r="H12" s="131" t="n">
        <v>6003788</v>
      </c>
      <c r="I12" s="131" t="n">
        <v>6080716</v>
      </c>
      <c r="J12" s="83" t="n">
        <v>6154996</v>
      </c>
      <c r="K12" s="83" t="n">
        <v>6434048</v>
      </c>
      <c r="L12" s="83" t="n">
        <v>6523222</v>
      </c>
      <c r="M12" s="83" t="n">
        <v>6610681</v>
      </c>
      <c r="N12" s="83" t="n">
        <v>6695855</v>
      </c>
      <c r="O12" s="83" t="n">
        <v>6778772</v>
      </c>
      <c r="P12" s="83" t="n">
        <v>6921161</v>
      </c>
      <c r="Q12" s="83" t="n">
        <v>7018354</v>
      </c>
      <c r="R12" s="83" t="n">
        <v>7113540</v>
      </c>
      <c r="S12" s="83" t="n">
        <v>7206589</v>
      </c>
      <c r="T12" s="83" t="n">
        <v>7056495</v>
      </c>
      <c r="U12" s="83" t="n">
        <v>7056495</v>
      </c>
      <c r="V12" s="83" t="n">
        <v>7350483</v>
      </c>
    </row>
    <row r="13" customFormat="false" ht="13.5" hidden="false" customHeight="true" outlineLevel="0" collapsed="false">
      <c r="B13" s="112" t="s">
        <v>24</v>
      </c>
      <c r="C13" s="162" t="n">
        <v>6103327</v>
      </c>
      <c r="D13" s="162" t="n">
        <v>6184538</v>
      </c>
      <c r="E13" s="162" t="n">
        <v>6118995</v>
      </c>
      <c r="F13" s="162" t="n">
        <v>6305537</v>
      </c>
      <c r="G13" s="162" t="n">
        <v>6367138</v>
      </c>
      <c r="H13" s="162" t="n">
        <v>6574789</v>
      </c>
      <c r="I13" s="162" t="n">
        <v>6645761</v>
      </c>
      <c r="J13" s="86" t="n">
        <v>6714314</v>
      </c>
      <c r="K13" s="86" t="n">
        <v>6794301</v>
      </c>
      <c r="L13" s="86" t="n">
        <v>6850884</v>
      </c>
      <c r="M13" s="86" t="n">
        <v>6904241</v>
      </c>
      <c r="N13" s="86" t="n">
        <v>6954036</v>
      </c>
      <c r="O13" s="86" t="n">
        <v>7000229</v>
      </c>
      <c r="P13" s="86" t="n">
        <v>7035055</v>
      </c>
      <c r="Q13" s="86" t="n">
        <v>7075181</v>
      </c>
      <c r="R13" s="86" t="n">
        <v>7114598</v>
      </c>
      <c r="S13" s="86" t="n">
        <v>7153262</v>
      </c>
      <c r="T13" s="86" t="n">
        <v>6776699</v>
      </c>
      <c r="U13" s="86" t="n">
        <v>6776699</v>
      </c>
      <c r="V13" s="86" t="n">
        <v>7010960</v>
      </c>
    </row>
    <row r="14" customFormat="false" ht="13.5" hidden="false" customHeight="true" outlineLevel="0" collapsed="false">
      <c r="B14" s="104" t="s">
        <v>25</v>
      </c>
      <c r="C14" s="131" t="n">
        <v>19237450</v>
      </c>
      <c r="D14" s="131" t="n">
        <v>19479356</v>
      </c>
      <c r="E14" s="131" t="n">
        <v>19273533</v>
      </c>
      <c r="F14" s="131" t="n">
        <v>19850060</v>
      </c>
      <c r="G14" s="131" t="n">
        <v>20033665</v>
      </c>
      <c r="H14" s="131" t="n">
        <v>19597330</v>
      </c>
      <c r="I14" s="131" t="n">
        <v>19728701</v>
      </c>
      <c r="J14" s="83" t="n">
        <v>19855332</v>
      </c>
      <c r="K14" s="83" t="n">
        <v>20593356</v>
      </c>
      <c r="L14" s="83" t="n">
        <v>20734097</v>
      </c>
      <c r="M14" s="83" t="n">
        <v>20869101</v>
      </c>
      <c r="N14" s="83" t="n">
        <v>20997560</v>
      </c>
      <c r="O14" s="83" t="n">
        <v>21119536</v>
      </c>
      <c r="P14" s="83" t="n">
        <v>21040662</v>
      </c>
      <c r="Q14" s="83" t="n">
        <v>21168791</v>
      </c>
      <c r="R14" s="83" t="n">
        <v>21292666</v>
      </c>
      <c r="S14" s="83" t="n">
        <v>21411923</v>
      </c>
      <c r="T14" s="83" t="n">
        <v>20539989</v>
      </c>
      <c r="U14" s="83" t="n">
        <v>20539989</v>
      </c>
      <c r="V14" s="83" t="n">
        <v>21322691</v>
      </c>
    </row>
    <row r="15" customFormat="false" ht="13.5" hidden="false" customHeight="true" outlineLevel="0" collapsed="false">
      <c r="B15" s="112" t="s">
        <v>26</v>
      </c>
      <c r="C15" s="162" t="n">
        <v>2264468</v>
      </c>
      <c r="D15" s="162" t="n">
        <v>2297981</v>
      </c>
      <c r="E15" s="162" t="n">
        <v>2265813</v>
      </c>
      <c r="F15" s="162" t="n">
        <v>2336060</v>
      </c>
      <c r="G15" s="162" t="n">
        <v>2360498</v>
      </c>
      <c r="H15" s="162" t="n">
        <v>2449024</v>
      </c>
      <c r="I15" s="162" t="n">
        <v>2477542</v>
      </c>
      <c r="J15" s="86" t="n">
        <v>2500365</v>
      </c>
      <c r="K15" s="86" t="n">
        <v>2587269</v>
      </c>
      <c r="L15" s="86" t="n">
        <v>2619657</v>
      </c>
      <c r="M15" s="86" t="n">
        <v>2651235</v>
      </c>
      <c r="N15" s="86" t="n">
        <v>2682386</v>
      </c>
      <c r="O15" s="86" t="n">
        <v>2713147</v>
      </c>
      <c r="P15" s="86" t="n">
        <v>2748023</v>
      </c>
      <c r="Q15" s="86" t="n">
        <v>2778986</v>
      </c>
      <c r="R15" s="86" t="n">
        <v>2809394</v>
      </c>
      <c r="S15" s="86" t="n">
        <v>2839188</v>
      </c>
      <c r="T15" s="86" t="n">
        <v>2757013</v>
      </c>
      <c r="U15" s="86" t="n">
        <v>2757013</v>
      </c>
      <c r="V15" s="86" t="n">
        <v>2901895</v>
      </c>
    </row>
    <row r="16" customFormat="false" ht="13.5" hidden="false" customHeight="true" outlineLevel="0" collapsed="false">
      <c r="B16" s="104" t="s">
        <v>27</v>
      </c>
      <c r="C16" s="131" t="n">
        <v>2803274</v>
      </c>
      <c r="D16" s="131" t="n">
        <v>2856999</v>
      </c>
      <c r="E16" s="131" t="n">
        <v>2854642</v>
      </c>
      <c r="F16" s="131" t="n">
        <v>2957735</v>
      </c>
      <c r="G16" s="131" t="n">
        <v>3001692</v>
      </c>
      <c r="H16" s="131" t="n">
        <v>3035122</v>
      </c>
      <c r="I16" s="131" t="n">
        <v>3075936</v>
      </c>
      <c r="J16" s="83" t="n">
        <v>3115336</v>
      </c>
      <c r="K16" s="83" t="n">
        <v>3182113</v>
      </c>
      <c r="L16" s="83" t="n">
        <v>3224357</v>
      </c>
      <c r="M16" s="83" t="n">
        <v>3265486</v>
      </c>
      <c r="N16" s="83" t="n">
        <v>3305531</v>
      </c>
      <c r="O16" s="83" t="n">
        <v>3344544</v>
      </c>
      <c r="P16" s="83" t="n">
        <v>3441998</v>
      </c>
      <c r="Q16" s="83" t="n">
        <v>3484466</v>
      </c>
      <c r="R16" s="83" t="n">
        <v>3526220</v>
      </c>
      <c r="S16" s="83" t="n">
        <v>3567234</v>
      </c>
      <c r="T16" s="83" t="n">
        <v>3658649</v>
      </c>
      <c r="U16" s="83" t="n">
        <v>3658649</v>
      </c>
      <c r="V16" s="83" t="n">
        <v>3836399</v>
      </c>
    </row>
    <row r="17" customFormat="false" ht="13.5" hidden="false" customHeight="true" outlineLevel="0" collapsed="false">
      <c r="B17" s="112" t="s">
        <v>28</v>
      </c>
      <c r="C17" s="162" t="n">
        <v>6970586</v>
      </c>
      <c r="D17" s="162" t="n">
        <v>7110465</v>
      </c>
      <c r="E17" s="162" t="n">
        <v>7065573</v>
      </c>
      <c r="F17" s="162" t="n">
        <v>7321490</v>
      </c>
      <c r="G17" s="162" t="n">
        <v>7431020</v>
      </c>
      <c r="H17" s="162" t="n">
        <v>7581051</v>
      </c>
      <c r="I17" s="162" t="n">
        <v>7688593</v>
      </c>
      <c r="J17" s="86" t="n">
        <v>7777543</v>
      </c>
      <c r="K17" s="86" t="n">
        <v>7969654</v>
      </c>
      <c r="L17" s="86" t="n">
        <v>8073924</v>
      </c>
      <c r="M17" s="86" t="n">
        <v>8175113</v>
      </c>
      <c r="N17" s="86" t="n">
        <v>8272724</v>
      </c>
      <c r="O17" s="86" t="n">
        <v>8366628</v>
      </c>
      <c r="P17" s="86" t="n">
        <v>8513497</v>
      </c>
      <c r="Q17" s="86" t="n">
        <v>8602865</v>
      </c>
      <c r="R17" s="86" t="n">
        <v>8690745</v>
      </c>
      <c r="S17" s="86" t="n">
        <v>8777124</v>
      </c>
      <c r="T17" s="86" t="n">
        <v>8120131</v>
      </c>
      <c r="U17" s="86" t="n">
        <v>8120131</v>
      </c>
      <c r="V17" s="86" t="n">
        <v>8664306</v>
      </c>
    </row>
    <row r="18" customFormat="false" ht="13.5" hidden="false" customHeight="true" outlineLevel="0" collapsed="false">
      <c r="B18" s="104" t="s">
        <v>29</v>
      </c>
      <c r="C18" s="131" t="n">
        <v>3595886</v>
      </c>
      <c r="D18" s="131" t="n">
        <v>3623215</v>
      </c>
      <c r="E18" s="131" t="n">
        <v>3641397</v>
      </c>
      <c r="F18" s="131" t="n">
        <v>3742604</v>
      </c>
      <c r="G18" s="131" t="n">
        <v>3769977</v>
      </c>
      <c r="H18" s="131" t="n">
        <v>3766528</v>
      </c>
      <c r="I18" s="131" t="n">
        <v>3791315</v>
      </c>
      <c r="J18" s="83" t="n">
        <v>3815171</v>
      </c>
      <c r="K18" s="83" t="n">
        <v>3914421</v>
      </c>
      <c r="L18" s="83" t="n">
        <v>3943885</v>
      </c>
      <c r="M18" s="83" t="n">
        <v>3972202</v>
      </c>
      <c r="N18" s="83" t="n">
        <v>3999415</v>
      </c>
      <c r="O18" s="83" t="n">
        <v>4025558</v>
      </c>
      <c r="P18" s="83" t="n">
        <v>3996496</v>
      </c>
      <c r="Q18" s="83" t="n">
        <v>4018127</v>
      </c>
      <c r="R18" s="83" t="n">
        <v>4039277</v>
      </c>
      <c r="S18" s="83" t="n">
        <v>4059905</v>
      </c>
      <c r="T18" s="83" t="n">
        <v>3974687</v>
      </c>
      <c r="U18" s="83" t="n">
        <v>3974687</v>
      </c>
      <c r="V18" s="83" t="n">
        <v>4145040</v>
      </c>
    </row>
    <row r="19" customFormat="false" ht="13.5" hidden="false" customHeight="true" outlineLevel="0" collapsed="false">
      <c r="B19" s="112" t="s">
        <v>30</v>
      </c>
      <c r="C19" s="162" t="n">
        <v>8413593</v>
      </c>
      <c r="D19" s="162" t="n">
        <v>8502603</v>
      </c>
      <c r="E19" s="162" t="n">
        <v>8486638</v>
      </c>
      <c r="F19" s="162" t="n">
        <v>8734196</v>
      </c>
      <c r="G19" s="162" t="n">
        <v>8810256</v>
      </c>
      <c r="H19" s="162" t="n">
        <v>8796448</v>
      </c>
      <c r="I19" s="162" t="n">
        <v>8864906</v>
      </c>
      <c r="J19" s="86" t="n">
        <v>8931028</v>
      </c>
      <c r="K19" s="86" t="n">
        <v>9208550</v>
      </c>
      <c r="L19" s="86" t="n">
        <v>9277727</v>
      </c>
      <c r="M19" s="86" t="n">
        <v>9345173</v>
      </c>
      <c r="N19" s="86" t="n">
        <v>9410336</v>
      </c>
      <c r="O19" s="86" t="n">
        <v>9473266</v>
      </c>
      <c r="P19" s="86" t="n">
        <v>9496294</v>
      </c>
      <c r="Q19" s="86" t="n">
        <v>9557071</v>
      </c>
      <c r="R19" s="86" t="n">
        <v>9616621</v>
      </c>
      <c r="S19" s="86" t="n">
        <v>9674793</v>
      </c>
      <c r="T19" s="86" t="n">
        <v>9058931</v>
      </c>
      <c r="U19" s="86" t="n">
        <v>9058931</v>
      </c>
      <c r="V19" s="86" t="n">
        <v>9539029</v>
      </c>
    </row>
    <row r="20" customFormat="false" ht="13.5" hidden="false" customHeight="true" outlineLevel="0" collapsed="false">
      <c r="B20" s="104" t="s">
        <v>31</v>
      </c>
      <c r="C20" s="131" t="n">
        <v>3006885</v>
      </c>
      <c r="D20" s="131" t="n">
        <v>3036290</v>
      </c>
      <c r="E20" s="131" t="n">
        <v>3032435</v>
      </c>
      <c r="F20" s="131" t="n">
        <v>3111881</v>
      </c>
      <c r="G20" s="131" t="n">
        <v>3145325</v>
      </c>
      <c r="H20" s="131" t="n">
        <v>3118360</v>
      </c>
      <c r="I20" s="131" t="n">
        <v>3140328</v>
      </c>
      <c r="J20" s="83" t="n">
        <v>3160748</v>
      </c>
      <c r="K20" s="83" t="n">
        <v>3184166</v>
      </c>
      <c r="L20" s="83" t="n">
        <v>3194718</v>
      </c>
      <c r="M20" s="83" t="n">
        <v>3204028</v>
      </c>
      <c r="N20" s="83" t="n">
        <v>3212180</v>
      </c>
      <c r="O20" s="83" t="n">
        <v>3219257</v>
      </c>
      <c r="P20" s="83" t="n">
        <v>3264531</v>
      </c>
      <c r="Q20" s="83" t="n">
        <v>3273227</v>
      </c>
      <c r="R20" s="83" t="n">
        <v>3281480</v>
      </c>
      <c r="S20" s="83" t="n">
        <v>3289290</v>
      </c>
      <c r="T20" s="83" t="n">
        <v>3271199</v>
      </c>
      <c r="U20" s="83" t="n">
        <v>3271199</v>
      </c>
      <c r="V20" s="83" t="n">
        <v>3375646</v>
      </c>
    </row>
    <row r="21" customFormat="false" ht="13.5" hidden="false" customHeight="true" outlineLevel="0" collapsed="false">
      <c r="B21" s="112" t="s">
        <v>32</v>
      </c>
      <c r="C21" s="162" t="n">
        <v>10261856</v>
      </c>
      <c r="D21" s="162" t="n">
        <v>10387378</v>
      </c>
      <c r="E21" s="162" t="n">
        <v>10284503</v>
      </c>
      <c r="F21" s="162" t="n">
        <v>10590171</v>
      </c>
      <c r="G21" s="162" t="n">
        <v>10686247</v>
      </c>
      <c r="H21" s="162" t="n">
        <v>10444526</v>
      </c>
      <c r="I21" s="162" t="n">
        <v>10512349</v>
      </c>
      <c r="J21" s="86" t="n">
        <v>10577755</v>
      </c>
      <c r="K21" s="86" t="n">
        <v>10997465</v>
      </c>
      <c r="L21" s="86" t="n">
        <v>11081692</v>
      </c>
      <c r="M21" s="86" t="n">
        <v>11163018</v>
      </c>
      <c r="N21" s="86" t="n">
        <v>11242720</v>
      </c>
      <c r="O21" s="86" t="n">
        <v>11320892</v>
      </c>
      <c r="P21" s="86" t="n">
        <v>11348937</v>
      </c>
      <c r="Q21" s="86" t="n">
        <v>11433957</v>
      </c>
      <c r="R21" s="86" t="n">
        <v>11516840</v>
      </c>
      <c r="S21" s="86" t="n">
        <v>11597484</v>
      </c>
      <c r="T21" s="86" t="n">
        <v>11444380</v>
      </c>
      <c r="U21" s="86" t="n">
        <v>11444380</v>
      </c>
      <c r="V21" s="86" t="n">
        <v>11824665</v>
      </c>
    </row>
    <row r="22" customFormat="false" ht="13.5" hidden="false" customHeight="true" outlineLevel="0" collapsed="false">
      <c r="B22" s="104" t="s">
        <v>33</v>
      </c>
      <c r="C22" s="131" t="n">
        <v>15383407</v>
      </c>
      <c r="D22" s="131" t="n">
        <v>15561720</v>
      </c>
      <c r="E22" s="131" t="n">
        <v>15420450</v>
      </c>
      <c r="F22" s="131" t="n">
        <v>15872362</v>
      </c>
      <c r="G22" s="131" t="n">
        <v>16010429</v>
      </c>
      <c r="H22" s="131" t="n">
        <v>15989929</v>
      </c>
      <c r="I22" s="131" t="n">
        <v>16112678</v>
      </c>
      <c r="J22" s="83" t="n">
        <v>16231365</v>
      </c>
      <c r="K22" s="83" t="n">
        <v>16369179</v>
      </c>
      <c r="L22" s="83" t="n">
        <v>16461173</v>
      </c>
      <c r="M22" s="83" t="n">
        <v>16550024</v>
      </c>
      <c r="N22" s="83" t="n">
        <v>16635996</v>
      </c>
      <c r="O22" s="83" t="n">
        <v>16718956</v>
      </c>
      <c r="P22" s="83" t="n">
        <v>17159960</v>
      </c>
      <c r="Q22" s="83" t="n">
        <v>17264943</v>
      </c>
      <c r="R22" s="83" t="n">
        <v>17366189</v>
      </c>
      <c r="S22" s="83" t="n">
        <v>17463349</v>
      </c>
      <c r="T22" s="83" t="n">
        <v>16055174</v>
      </c>
      <c r="U22" s="83" t="n">
        <v>16055174</v>
      </c>
      <c r="V22" s="83" t="n">
        <v>17219679</v>
      </c>
    </row>
    <row r="23" customFormat="false" ht="13.5" hidden="false" customHeight="true" outlineLevel="0" collapsed="false">
      <c r="B23" s="112" t="s">
        <v>34</v>
      </c>
      <c r="C23" s="162" t="n">
        <v>3003087</v>
      </c>
      <c r="D23" s="162" t="n">
        <v>3043760</v>
      </c>
      <c r="E23" s="162" t="n">
        <v>3013740</v>
      </c>
      <c r="F23" s="162" t="n">
        <v>3106436</v>
      </c>
      <c r="G23" s="162" t="n">
        <v>3137541</v>
      </c>
      <c r="H23" s="162" t="n">
        <v>3168027</v>
      </c>
      <c r="I23" s="162" t="n">
        <v>3198657</v>
      </c>
      <c r="J23" s="86" t="n">
        <v>3228198</v>
      </c>
      <c r="K23" s="86" t="n">
        <v>3373959</v>
      </c>
      <c r="L23" s="86" t="n">
        <v>3408510</v>
      </c>
      <c r="M23" s="86" t="n">
        <v>3442175</v>
      </c>
      <c r="N23" s="86" t="n">
        <v>3474998</v>
      </c>
      <c r="O23" s="86" t="n">
        <v>3507003</v>
      </c>
      <c r="P23" s="86" t="n">
        <v>3479010</v>
      </c>
      <c r="Q23" s="86" t="n">
        <v>3506853</v>
      </c>
      <c r="R23" s="86" t="n">
        <v>3534165</v>
      </c>
      <c r="S23" s="86" t="n">
        <v>3560903</v>
      </c>
      <c r="T23" s="86" t="n">
        <v>3302729</v>
      </c>
      <c r="U23" s="86" t="n">
        <v>3302729</v>
      </c>
      <c r="V23" s="86" t="n">
        <v>3446071</v>
      </c>
    </row>
    <row r="24" customFormat="false" ht="13.5" hidden="false" customHeight="true" outlineLevel="0" collapsed="false">
      <c r="B24" s="104" t="s">
        <v>35</v>
      </c>
      <c r="C24" s="131" t="n">
        <v>1534594</v>
      </c>
      <c r="D24" s="131" t="n">
        <v>1562417</v>
      </c>
      <c r="E24" s="131" t="n">
        <v>1453756</v>
      </c>
      <c r="F24" s="131" t="n">
        <v>1493565</v>
      </c>
      <c r="G24" s="131" t="n">
        <v>1503928</v>
      </c>
      <c r="H24" s="131" t="n">
        <v>1562409</v>
      </c>
      <c r="I24" s="131" t="n">
        <v>1576455</v>
      </c>
      <c r="J24" s="83" t="n">
        <v>1590011</v>
      </c>
      <c r="K24" s="83" t="n">
        <v>1728214</v>
      </c>
      <c r="L24" s="83" t="n">
        <v>1748531</v>
      </c>
      <c r="M24" s="83" t="n">
        <v>1768204</v>
      </c>
      <c r="N24" s="83" t="n">
        <v>1787279</v>
      </c>
      <c r="O24" s="83" t="n">
        <v>1805788</v>
      </c>
      <c r="P24" s="83" t="n">
        <v>1757589</v>
      </c>
      <c r="Q24" s="83" t="n">
        <v>1777225</v>
      </c>
      <c r="R24" s="83" t="n">
        <v>1796460</v>
      </c>
      <c r="S24" s="83" t="n">
        <v>1815278</v>
      </c>
      <c r="T24" s="83" t="n">
        <v>1581196</v>
      </c>
      <c r="U24" s="83" t="n">
        <v>1581196</v>
      </c>
      <c r="V24" s="83" t="n">
        <v>1746227</v>
      </c>
    </row>
    <row r="25" customFormat="false" ht="13.5" hidden="false" customHeight="true" outlineLevel="0" collapsed="false">
      <c r="B25" s="112" t="s">
        <v>36</v>
      </c>
      <c r="C25" s="162" t="n">
        <v>391317</v>
      </c>
      <c r="D25" s="162" t="n">
        <v>403344</v>
      </c>
      <c r="E25" s="162" t="n">
        <v>395725</v>
      </c>
      <c r="F25" s="162" t="n">
        <v>412783</v>
      </c>
      <c r="G25" s="162" t="n">
        <v>421499</v>
      </c>
      <c r="H25" s="162" t="n">
        <v>450479</v>
      </c>
      <c r="I25" s="162" t="n">
        <v>460165</v>
      </c>
      <c r="J25" s="86" t="n">
        <v>469524</v>
      </c>
      <c r="K25" s="86" t="n">
        <v>488072</v>
      </c>
      <c r="L25" s="86" t="n">
        <v>496936</v>
      </c>
      <c r="M25" s="86" t="n">
        <v>505665</v>
      </c>
      <c r="N25" s="86" t="n">
        <v>514229</v>
      </c>
      <c r="O25" s="86" t="n">
        <v>522636</v>
      </c>
      <c r="P25" s="86" t="n">
        <v>576568</v>
      </c>
      <c r="Q25" s="86" t="n">
        <v>605761</v>
      </c>
      <c r="R25" s="86" t="n">
        <v>631181</v>
      </c>
      <c r="S25" s="86" t="n">
        <v>652713</v>
      </c>
      <c r="T25" s="86" t="n">
        <v>636707</v>
      </c>
      <c r="U25" s="86" t="n">
        <v>636707</v>
      </c>
      <c r="V25" s="86" t="n">
        <v>716793</v>
      </c>
    </row>
    <row r="26" customFormat="false" ht="13.5" hidden="false" customHeight="true" outlineLevel="0" collapsed="false">
      <c r="B26" s="104" t="s">
        <v>37</v>
      </c>
      <c r="C26" s="131" t="n">
        <v>10845087</v>
      </c>
      <c r="D26" s="131" t="n">
        <v>10963219</v>
      </c>
      <c r="E26" s="131" t="n">
        <v>10582887</v>
      </c>
      <c r="F26" s="131" t="n">
        <v>10855228</v>
      </c>
      <c r="G26" s="131" t="n">
        <v>10914128</v>
      </c>
      <c r="H26" s="131" t="n">
        <v>10693929</v>
      </c>
      <c r="I26" s="131" t="n">
        <v>10733030</v>
      </c>
      <c r="J26" s="83" t="n">
        <v>10768025</v>
      </c>
      <c r="K26" s="83" t="n">
        <v>11164043</v>
      </c>
      <c r="L26" s="83" t="n">
        <v>11207274</v>
      </c>
      <c r="M26" s="83" t="n">
        <v>11247972</v>
      </c>
      <c r="N26" s="83" t="n">
        <v>11286500</v>
      </c>
      <c r="O26" s="83" t="n">
        <v>11322895</v>
      </c>
      <c r="P26" s="83" t="n">
        <v>11329605</v>
      </c>
      <c r="Q26" s="83" t="n">
        <v>11377239</v>
      </c>
      <c r="R26" s="83" t="n">
        <v>11422973</v>
      </c>
      <c r="S26" s="83" t="n">
        <v>11466630</v>
      </c>
      <c r="T26" s="83" t="n">
        <v>10882965</v>
      </c>
      <c r="U26" s="83" t="n">
        <v>10882965</v>
      </c>
      <c r="V26" s="83" t="n">
        <v>11229915</v>
      </c>
    </row>
    <row r="27" customFormat="false" ht="13.5" hidden="false" customHeight="true" outlineLevel="0" collapsed="false">
      <c r="B27" s="112" t="s">
        <v>38</v>
      </c>
      <c r="C27" s="162" t="n">
        <v>5866568</v>
      </c>
      <c r="D27" s="162" t="n">
        <v>5958266</v>
      </c>
      <c r="E27" s="162" t="n">
        <v>5866487</v>
      </c>
      <c r="F27" s="162" t="n">
        <v>6052587</v>
      </c>
      <c r="G27" s="162" t="n">
        <v>6118743</v>
      </c>
      <c r="H27" s="162" t="n">
        <v>6248436</v>
      </c>
      <c r="I27" s="162" t="n">
        <v>6317054</v>
      </c>
      <c r="J27" s="86" t="n">
        <v>6362734</v>
      </c>
      <c r="K27" s="86" t="n">
        <v>6634254</v>
      </c>
      <c r="L27" s="86" t="n">
        <v>6727148</v>
      </c>
      <c r="M27" s="86" t="n">
        <v>6819190</v>
      </c>
      <c r="N27" s="86" t="n">
        <v>6910553</v>
      </c>
      <c r="O27" s="86" t="n">
        <v>7001161</v>
      </c>
      <c r="P27" s="86" t="n">
        <v>7075494</v>
      </c>
      <c r="Q27" s="86" t="n">
        <v>7164788</v>
      </c>
      <c r="R27" s="86" t="n">
        <v>7252502</v>
      </c>
      <c r="S27" s="86" t="n">
        <v>7338473</v>
      </c>
      <c r="T27" s="86" t="n">
        <v>7610361</v>
      </c>
      <c r="U27" s="86" t="n">
        <v>7610361</v>
      </c>
      <c r="V27" s="86" t="n">
        <v>8058441</v>
      </c>
    </row>
    <row r="28" customFormat="false" ht="13.5" hidden="false" customHeight="true" outlineLevel="0" collapsed="false">
      <c r="B28" s="104" t="s">
        <v>39</v>
      </c>
      <c r="C28" s="131" t="n">
        <v>1967791</v>
      </c>
      <c r="D28" s="131" t="n">
        <v>2000738</v>
      </c>
      <c r="E28" s="131" t="n">
        <v>1939426</v>
      </c>
      <c r="F28" s="131" t="n">
        <v>1999374</v>
      </c>
      <c r="G28" s="131" t="n">
        <v>2019679</v>
      </c>
      <c r="H28" s="131" t="n">
        <v>2068017</v>
      </c>
      <c r="I28" s="131" t="n">
        <v>2089819</v>
      </c>
      <c r="J28" s="83" t="n">
        <v>2110867</v>
      </c>
      <c r="K28" s="83" t="n">
        <v>2195662</v>
      </c>
      <c r="L28" s="83" t="n">
        <v>2219574</v>
      </c>
      <c r="M28" s="83" t="n">
        <v>2242937</v>
      </c>
      <c r="N28" s="83" t="n">
        <v>2265779</v>
      </c>
      <c r="O28" s="83" t="n">
        <v>2288116</v>
      </c>
      <c r="P28" s="83" t="n">
        <v>2278308</v>
      </c>
      <c r="Q28" s="83" t="n">
        <v>2298696</v>
      </c>
      <c r="R28" s="83" t="n">
        <v>2318822</v>
      </c>
      <c r="S28" s="83" t="n">
        <v>2338474</v>
      </c>
      <c r="T28" s="83" t="n">
        <v>2210004</v>
      </c>
      <c r="U28" s="83" t="n">
        <v>2210004</v>
      </c>
      <c r="V28" s="83" t="n">
        <v>2291077</v>
      </c>
    </row>
    <row r="29" customFormat="false" ht="13.5" hidden="false" customHeight="true" outlineLevel="0" collapsed="false">
      <c r="B29" s="112" t="s">
        <v>40</v>
      </c>
      <c r="C29" s="162" t="n">
        <v>40442795</v>
      </c>
      <c r="D29" s="162" t="n">
        <v>41055734</v>
      </c>
      <c r="E29" s="162" t="n">
        <v>39827690</v>
      </c>
      <c r="F29" s="162" t="n">
        <v>41011638</v>
      </c>
      <c r="G29" s="162" t="n">
        <v>41384039</v>
      </c>
      <c r="H29" s="162" t="n">
        <v>41262199</v>
      </c>
      <c r="I29" s="162" t="n">
        <v>41587182</v>
      </c>
      <c r="J29" s="86" t="n">
        <v>41901219</v>
      </c>
      <c r="K29" s="86" t="n">
        <v>43663669</v>
      </c>
      <c r="L29" s="86" t="n">
        <v>44035304</v>
      </c>
      <c r="M29" s="86" t="n">
        <v>44396484</v>
      </c>
      <c r="N29" s="86" t="n">
        <v>44749699</v>
      </c>
      <c r="O29" s="86" t="n">
        <v>45094866</v>
      </c>
      <c r="P29" s="86" t="n">
        <v>45538936</v>
      </c>
      <c r="Q29" s="86" t="n">
        <v>45919049</v>
      </c>
      <c r="R29" s="86" t="n">
        <v>46289333</v>
      </c>
      <c r="S29" s="86" t="n">
        <v>46649132</v>
      </c>
      <c r="T29" s="86" t="n">
        <v>44411238</v>
      </c>
      <c r="U29" s="86" t="n">
        <v>44411238</v>
      </c>
      <c r="V29" s="86" t="n">
        <v>45973194</v>
      </c>
    </row>
    <row r="30" customFormat="false" ht="13.5" hidden="false" customHeight="true" outlineLevel="0" collapsed="false">
      <c r="B30" s="104" t="s">
        <v>41</v>
      </c>
      <c r="C30" s="131" t="n">
        <v>1305728</v>
      </c>
      <c r="D30" s="131" t="n">
        <v>1332441</v>
      </c>
      <c r="E30" s="131" t="n">
        <v>1243627</v>
      </c>
      <c r="F30" s="131" t="n">
        <v>1280513</v>
      </c>
      <c r="G30" s="131" t="n">
        <v>1292051</v>
      </c>
      <c r="H30" s="131" t="n">
        <v>1383445</v>
      </c>
      <c r="I30" s="131" t="n">
        <v>1400892</v>
      </c>
      <c r="J30" s="83" t="n">
        <v>1417694</v>
      </c>
      <c r="K30" s="83" t="n">
        <v>1478164</v>
      </c>
      <c r="L30" s="83" t="n">
        <v>1496880</v>
      </c>
      <c r="M30" s="83" t="n">
        <v>1515126</v>
      </c>
      <c r="N30" s="83" t="n">
        <v>1532902</v>
      </c>
      <c r="O30" s="83" t="n">
        <v>1550194</v>
      </c>
      <c r="P30" s="83" t="n">
        <v>1555229</v>
      </c>
      <c r="Q30" s="83" t="n">
        <v>1572866</v>
      </c>
      <c r="R30" s="83" t="n">
        <v>1590248</v>
      </c>
      <c r="S30" s="83" t="n">
        <v>1607363</v>
      </c>
      <c r="T30" s="83" t="n">
        <v>1511460</v>
      </c>
      <c r="U30" s="83" t="n">
        <v>1511460</v>
      </c>
      <c r="V30" s="83" t="n">
        <v>1577342</v>
      </c>
    </row>
  </sheetData>
  <mergeCells count="2">
    <mergeCell ref="B1:V1"/>
    <mergeCell ref="B2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22" min="3" style="0" width="8"/>
  </cols>
  <sheetData>
    <row r="1" customFormat="false" ht="19.5" hidden="false" customHeight="true" outlineLevel="0" collapsed="false">
      <c r="B1" s="166" t="s">
        <v>182</v>
      </c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</row>
    <row r="2" customFormat="false" ht="12.75" hidden="false" customHeight="true" outlineLevel="0" collapsed="false">
      <c r="B2" s="154" t="s">
        <v>183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</row>
    <row r="3" customFormat="false" ht="19.5" hidden="false" customHeight="true" outlineLevel="0" collapsed="false">
      <c r="B3" s="69" t="s">
        <v>2</v>
      </c>
      <c r="C3" s="158" t="s">
        <v>106</v>
      </c>
      <c r="D3" s="158" t="s">
        <v>107</v>
      </c>
      <c r="E3" s="158" t="s">
        <v>108</v>
      </c>
      <c r="F3" s="158" t="s">
        <v>109</v>
      </c>
      <c r="G3" s="158" t="s">
        <v>110</v>
      </c>
      <c r="H3" s="167" t="s">
        <v>184</v>
      </c>
      <c r="I3" s="158" t="s">
        <v>173</v>
      </c>
      <c r="J3" s="158" t="s">
        <v>174</v>
      </c>
      <c r="K3" s="158" t="s">
        <v>175</v>
      </c>
      <c r="L3" s="158" t="s">
        <v>176</v>
      </c>
      <c r="M3" s="159" t="s">
        <v>177</v>
      </c>
      <c r="N3" s="159" t="s">
        <v>3</v>
      </c>
      <c r="O3" s="159" t="s">
        <v>4</v>
      </c>
      <c r="P3" s="159" t="s">
        <v>5</v>
      </c>
      <c r="Q3" s="159" t="s">
        <v>6</v>
      </c>
      <c r="R3" s="159" t="s">
        <v>7</v>
      </c>
      <c r="S3" s="159" t="s">
        <v>8</v>
      </c>
      <c r="T3" s="160" t="s">
        <v>9</v>
      </c>
      <c r="U3" s="165" t="s">
        <v>10</v>
      </c>
      <c r="V3" s="159" t="s">
        <v>11</v>
      </c>
    </row>
    <row r="4" customFormat="false" ht="13.5" hidden="false" customHeight="true" outlineLevel="0" collapsed="false">
      <c r="B4" s="104" t="s">
        <v>15</v>
      </c>
      <c r="C4" s="168" t="n">
        <v>11.33</v>
      </c>
      <c r="D4" s="168" t="n">
        <v>8.58</v>
      </c>
      <c r="E4" s="168" t="n">
        <v>5.79</v>
      </c>
      <c r="F4" s="168" t="n">
        <v>7.74</v>
      </c>
      <c r="G4" s="168" t="n">
        <v>7.56</v>
      </c>
      <c r="H4" s="150" t="n">
        <v>6.46</v>
      </c>
      <c r="I4" s="168" t="n">
        <v>5.36</v>
      </c>
      <c r="J4" s="168" t="n">
        <v>8</v>
      </c>
      <c r="K4" s="168" t="n">
        <v>9.56</v>
      </c>
      <c r="L4" s="168" t="n">
        <v>9.81</v>
      </c>
      <c r="M4" s="92" t="n">
        <v>8.6</v>
      </c>
      <c r="N4" s="92" t="n">
        <v>10.9</v>
      </c>
      <c r="O4" s="92" t="n">
        <v>14.2</v>
      </c>
      <c r="P4" s="92" t="n">
        <v>13.7</v>
      </c>
      <c r="Q4" s="92" t="n">
        <v>14.7</v>
      </c>
      <c r="R4" s="92" t="n">
        <v>15.2</v>
      </c>
      <c r="S4" s="92" t="n">
        <v>15.3</v>
      </c>
      <c r="T4" s="92" t="n">
        <v>11.6</v>
      </c>
      <c r="U4" s="92" t="n">
        <v>7.9</v>
      </c>
      <c r="V4" s="92" t="n">
        <v>7.9</v>
      </c>
    </row>
    <row r="5" customFormat="false" ht="13.5" hidden="false" customHeight="true" outlineLevel="0" collapsed="false">
      <c r="B5" s="112" t="s">
        <v>16</v>
      </c>
      <c r="C5" s="169" t="n">
        <v>9.78</v>
      </c>
      <c r="D5" s="169" t="n">
        <v>10.64</v>
      </c>
      <c r="E5" s="169" t="n">
        <v>8.36</v>
      </c>
      <c r="F5" s="169" t="n">
        <v>8.01</v>
      </c>
      <c r="G5" s="169" t="n">
        <v>12.13</v>
      </c>
      <c r="H5" s="150" t="n">
        <v>11.27</v>
      </c>
      <c r="I5" s="169" t="n">
        <v>10.41</v>
      </c>
      <c r="J5" s="169" t="n">
        <v>12.24</v>
      </c>
      <c r="K5" s="169" t="n">
        <v>13.19</v>
      </c>
      <c r="L5" s="169" t="n">
        <v>13.13</v>
      </c>
      <c r="M5" s="96" t="n">
        <v>11.3</v>
      </c>
      <c r="N5" s="96" t="n">
        <v>14.2</v>
      </c>
      <c r="O5" s="96" t="n">
        <v>16.9</v>
      </c>
      <c r="P5" s="96" t="n">
        <v>17.3</v>
      </c>
      <c r="Q5" s="96" t="n">
        <v>15.1</v>
      </c>
      <c r="R5" s="96" t="n">
        <v>19.1</v>
      </c>
      <c r="S5" s="96" t="n">
        <v>17.8</v>
      </c>
      <c r="T5" s="96" t="n">
        <v>11.2</v>
      </c>
      <c r="U5" s="96" t="n">
        <v>9.6</v>
      </c>
      <c r="V5" s="96" t="n">
        <v>8.6</v>
      </c>
    </row>
    <row r="6" customFormat="false" ht="13.5" hidden="false" customHeight="true" outlineLevel="0" collapsed="false">
      <c r="B6" s="104" t="s">
        <v>17</v>
      </c>
      <c r="C6" s="168" t="n">
        <v>12.83</v>
      </c>
      <c r="D6" s="168" t="n">
        <v>9.43</v>
      </c>
      <c r="E6" s="168" t="n">
        <v>12.24</v>
      </c>
      <c r="F6" s="168" t="n">
        <v>10.01</v>
      </c>
      <c r="G6" s="168" t="n">
        <v>12.44</v>
      </c>
      <c r="H6" s="150" t="n">
        <v>10.86</v>
      </c>
      <c r="I6" s="168" t="n">
        <v>9.28</v>
      </c>
      <c r="J6" s="168" t="n">
        <v>9</v>
      </c>
      <c r="K6" s="168" t="n">
        <v>10.19</v>
      </c>
      <c r="L6" s="168" t="n">
        <v>10.84</v>
      </c>
      <c r="M6" s="92" t="n">
        <v>9.7</v>
      </c>
      <c r="N6" s="92" t="n">
        <v>13.8</v>
      </c>
      <c r="O6" s="92" t="n">
        <v>15.9</v>
      </c>
      <c r="P6" s="92" t="n">
        <v>14</v>
      </c>
      <c r="Q6" s="92" t="n">
        <v>14.2</v>
      </c>
      <c r="R6" s="92" t="n">
        <v>16</v>
      </c>
      <c r="S6" s="92" t="n">
        <v>15</v>
      </c>
      <c r="T6" s="92" t="n">
        <v>10.8</v>
      </c>
      <c r="U6" s="92" t="n">
        <v>9.7</v>
      </c>
      <c r="V6" s="92" t="n">
        <v>8.8</v>
      </c>
    </row>
    <row r="7" customFormat="false" ht="13.5" hidden="false" customHeight="true" outlineLevel="0" collapsed="false">
      <c r="B7" s="112" t="s">
        <v>18</v>
      </c>
      <c r="C7" s="169" t="n">
        <v>11.96</v>
      </c>
      <c r="D7" s="169" t="n">
        <v>6.67</v>
      </c>
      <c r="E7" s="169" t="n">
        <v>16.33</v>
      </c>
      <c r="F7" s="169" t="n">
        <v>15.19</v>
      </c>
      <c r="G7" s="169" t="n">
        <v>13.76</v>
      </c>
      <c r="H7" s="150" t="n">
        <v>13.98</v>
      </c>
      <c r="I7" s="169" t="n">
        <v>14.21</v>
      </c>
      <c r="J7" s="169" t="n">
        <v>10.91</v>
      </c>
      <c r="K7" s="169" t="n">
        <v>13.1</v>
      </c>
      <c r="L7" s="169" t="n">
        <v>10.33</v>
      </c>
      <c r="M7" s="96" t="n">
        <v>11.2</v>
      </c>
      <c r="N7" s="96" t="n">
        <v>15.8</v>
      </c>
      <c r="O7" s="96" t="n">
        <v>18.1</v>
      </c>
      <c r="P7" s="96" t="n">
        <v>20.4</v>
      </c>
      <c r="Q7" s="96" t="n">
        <v>17.6</v>
      </c>
      <c r="R7" s="96" t="n">
        <v>15</v>
      </c>
      <c r="S7" s="96" t="n">
        <v>16.6</v>
      </c>
      <c r="T7" s="96" t="n">
        <v>12.5</v>
      </c>
      <c r="U7" s="96" t="n">
        <v>12.8</v>
      </c>
      <c r="V7" s="96" t="n">
        <v>9.3</v>
      </c>
    </row>
    <row r="8" customFormat="false" ht="13.5" hidden="false" customHeight="true" outlineLevel="0" collapsed="false">
      <c r="B8" s="104" t="s">
        <v>19</v>
      </c>
      <c r="C8" s="168" t="n">
        <v>11.07</v>
      </c>
      <c r="D8" s="168" t="n">
        <v>10.25</v>
      </c>
      <c r="E8" s="168" t="n">
        <v>10.34</v>
      </c>
      <c r="F8" s="168" t="n">
        <v>10.53</v>
      </c>
      <c r="G8" s="168" t="n">
        <v>10.67</v>
      </c>
      <c r="H8" s="150" t="n">
        <v>10.59</v>
      </c>
      <c r="I8" s="168" t="n">
        <v>10.51</v>
      </c>
      <c r="J8" s="168" t="n">
        <v>10.18</v>
      </c>
      <c r="K8" s="168" t="n">
        <v>9.87</v>
      </c>
      <c r="L8" s="168" t="n">
        <v>9.98</v>
      </c>
      <c r="M8" s="92" t="n">
        <v>12.4</v>
      </c>
      <c r="N8" s="92" t="n">
        <v>16</v>
      </c>
      <c r="O8" s="92" t="n">
        <v>17.1</v>
      </c>
      <c r="P8" s="92" t="n">
        <v>17.2</v>
      </c>
      <c r="Q8" s="92" t="n">
        <v>17.4</v>
      </c>
      <c r="R8" s="92" t="n">
        <v>20.2</v>
      </c>
      <c r="S8" s="92" t="n">
        <v>19.5</v>
      </c>
      <c r="T8" s="92" t="n">
        <v>15.3</v>
      </c>
      <c r="U8" s="92" t="n">
        <v>13.4</v>
      </c>
      <c r="V8" s="92" t="n">
        <v>11.2</v>
      </c>
    </row>
    <row r="9" customFormat="false" ht="13.5" hidden="false" customHeight="true" outlineLevel="0" collapsed="false">
      <c r="B9" s="112" t="s">
        <v>20</v>
      </c>
      <c r="C9" s="169" t="n">
        <v>9.12</v>
      </c>
      <c r="D9" s="169" t="n">
        <v>8.36</v>
      </c>
      <c r="E9" s="169" t="n">
        <v>7.88</v>
      </c>
      <c r="F9" s="169" t="n">
        <v>7</v>
      </c>
      <c r="G9" s="169" t="n">
        <v>7.91</v>
      </c>
      <c r="H9" s="150" t="n">
        <v>7.02</v>
      </c>
      <c r="I9" s="169" t="n">
        <v>6.12</v>
      </c>
      <c r="J9" s="169" t="n">
        <v>6.58</v>
      </c>
      <c r="K9" s="169" t="n">
        <v>7.42</v>
      </c>
      <c r="L9" s="169" t="n">
        <v>8.23</v>
      </c>
      <c r="M9" s="96" t="n">
        <v>8.9</v>
      </c>
      <c r="N9" s="96" t="n">
        <v>12.1</v>
      </c>
      <c r="O9" s="96" t="n">
        <v>12.7</v>
      </c>
      <c r="P9" s="96" t="n">
        <v>11.4</v>
      </c>
      <c r="Q9" s="96" t="n">
        <v>11.1</v>
      </c>
      <c r="R9" s="96" t="n">
        <v>13.3</v>
      </c>
      <c r="S9" s="96" t="n">
        <v>13.4</v>
      </c>
      <c r="T9" s="96" t="n">
        <v>9.5</v>
      </c>
      <c r="U9" s="96" t="n">
        <v>9.1</v>
      </c>
      <c r="V9" s="96" t="n">
        <v>7.3</v>
      </c>
    </row>
    <row r="10" customFormat="false" ht="13.5" hidden="false" customHeight="true" outlineLevel="0" collapsed="false">
      <c r="B10" s="104" t="s">
        <v>21</v>
      </c>
      <c r="C10" s="168" t="n">
        <v>13.51</v>
      </c>
      <c r="D10" s="168" t="n">
        <v>11.63</v>
      </c>
      <c r="E10" s="168" t="n">
        <v>11.95</v>
      </c>
      <c r="F10" s="168" t="n">
        <v>11.24</v>
      </c>
      <c r="G10" s="168" t="n">
        <v>11.46</v>
      </c>
      <c r="H10" s="150" t="n">
        <v>9.67</v>
      </c>
      <c r="I10" s="168" t="n">
        <v>7.88</v>
      </c>
      <c r="J10" s="168" t="n">
        <v>8.39</v>
      </c>
      <c r="K10" s="168" t="n">
        <v>9.32</v>
      </c>
      <c r="L10" s="168" t="n">
        <v>9.48</v>
      </c>
      <c r="M10" s="92" t="n">
        <v>10.2</v>
      </c>
      <c r="N10" s="92" t="n">
        <v>12.1</v>
      </c>
      <c r="O10" s="92" t="n">
        <v>13.3</v>
      </c>
      <c r="P10" s="92" t="n">
        <v>12.8</v>
      </c>
      <c r="Q10" s="92" t="n">
        <v>13.4</v>
      </c>
      <c r="R10" s="92" t="n">
        <v>14.8</v>
      </c>
      <c r="S10" s="92" t="n">
        <v>14</v>
      </c>
      <c r="T10" s="92" t="n">
        <v>11.4</v>
      </c>
      <c r="U10" s="92" t="n">
        <v>9.8</v>
      </c>
      <c r="V10" s="92" t="n">
        <v>9.2</v>
      </c>
    </row>
    <row r="11" customFormat="false" ht="13.5" hidden="false" customHeight="true" outlineLevel="0" collapsed="false">
      <c r="B11" s="112" t="s">
        <v>22</v>
      </c>
      <c r="C11" s="169" t="n">
        <v>10.33</v>
      </c>
      <c r="D11" s="169" t="n">
        <v>7.5</v>
      </c>
      <c r="E11" s="169" t="n">
        <v>10.81</v>
      </c>
      <c r="F11" s="169" t="n">
        <v>6.24</v>
      </c>
      <c r="G11" s="169" t="n">
        <v>8.48</v>
      </c>
      <c r="H11" s="150" t="n">
        <v>8.22</v>
      </c>
      <c r="I11" s="169" t="n">
        <v>7.97</v>
      </c>
      <c r="J11" s="169" t="n">
        <v>5.78</v>
      </c>
      <c r="K11" s="169" t="n">
        <v>6.19</v>
      </c>
      <c r="L11" s="169" t="n">
        <v>7.14</v>
      </c>
      <c r="M11" s="96" t="n">
        <v>7.8</v>
      </c>
      <c r="N11" s="96" t="n">
        <v>12.4</v>
      </c>
      <c r="O11" s="96" t="n">
        <v>13.3</v>
      </c>
      <c r="P11" s="96" t="n">
        <v>11.7</v>
      </c>
      <c r="Q11" s="96" t="n">
        <v>11.2</v>
      </c>
      <c r="R11" s="96" t="n">
        <v>12.9</v>
      </c>
      <c r="S11" s="96" t="n">
        <v>11.2</v>
      </c>
      <c r="T11" s="96" t="n">
        <v>8</v>
      </c>
      <c r="U11" s="96" t="n">
        <v>6.1</v>
      </c>
      <c r="V11" s="96" t="n">
        <v>4.7</v>
      </c>
    </row>
    <row r="12" customFormat="false" ht="13.5" hidden="false" customHeight="true" outlineLevel="0" collapsed="false">
      <c r="B12" s="104" t="s">
        <v>23</v>
      </c>
      <c r="C12" s="168" t="n">
        <v>9.81</v>
      </c>
      <c r="D12" s="168" t="n">
        <v>7.65</v>
      </c>
      <c r="E12" s="168" t="n">
        <v>8.22</v>
      </c>
      <c r="F12" s="168" t="n">
        <v>7.22</v>
      </c>
      <c r="G12" s="168" t="n">
        <v>8.51</v>
      </c>
      <c r="H12" s="150" t="n">
        <v>6.72</v>
      </c>
      <c r="I12" s="168" t="n">
        <v>4.94</v>
      </c>
      <c r="J12" s="168" t="n">
        <v>4.92</v>
      </c>
      <c r="K12" s="168" t="n">
        <v>5.74</v>
      </c>
      <c r="L12" s="168" t="n">
        <v>5.17</v>
      </c>
      <c r="M12" s="92" t="n">
        <v>7.4</v>
      </c>
      <c r="N12" s="92" t="n">
        <v>10.7</v>
      </c>
      <c r="O12" s="92" t="n">
        <v>10.7</v>
      </c>
      <c r="P12" s="92" t="n">
        <v>9.3</v>
      </c>
      <c r="Q12" s="92" t="n">
        <v>10.8</v>
      </c>
      <c r="R12" s="92" t="n">
        <v>12.8</v>
      </c>
      <c r="S12" s="92" t="n">
        <v>11.3</v>
      </c>
      <c r="T12" s="92" t="n">
        <v>7.2</v>
      </c>
      <c r="U12" s="92" t="n">
        <v>6.2</v>
      </c>
      <c r="V12" s="92" t="n">
        <v>5.4</v>
      </c>
    </row>
    <row r="13" customFormat="false" ht="13.5" hidden="false" customHeight="true" outlineLevel="0" collapsed="false">
      <c r="B13" s="112" t="s">
        <v>24</v>
      </c>
      <c r="C13" s="169" t="n">
        <v>7.53</v>
      </c>
      <c r="D13" s="169" t="n">
        <v>8.45</v>
      </c>
      <c r="E13" s="169" t="n">
        <v>8.29</v>
      </c>
      <c r="F13" s="169" t="n">
        <v>6.69</v>
      </c>
      <c r="G13" s="169" t="n">
        <v>8.36</v>
      </c>
      <c r="H13" s="150" t="n">
        <v>8.24</v>
      </c>
      <c r="I13" s="169" t="n">
        <v>8.12</v>
      </c>
      <c r="J13" s="169" t="n">
        <v>6.83</v>
      </c>
      <c r="K13" s="169" t="n">
        <v>9.02</v>
      </c>
      <c r="L13" s="169" t="n">
        <v>8.1</v>
      </c>
      <c r="M13" s="96" t="n">
        <v>8.8</v>
      </c>
      <c r="N13" s="96" t="n">
        <v>12.1</v>
      </c>
      <c r="O13" s="96" t="n">
        <v>14.5</v>
      </c>
      <c r="P13" s="96" t="n">
        <v>14.7</v>
      </c>
      <c r="Q13" s="96" t="n">
        <v>14.7</v>
      </c>
      <c r="R13" s="96" t="n">
        <v>16.4</v>
      </c>
      <c r="S13" s="96" t="n">
        <v>16.1</v>
      </c>
      <c r="T13" s="96" t="n">
        <v>10.5</v>
      </c>
      <c r="U13" s="96" t="n">
        <v>8.2</v>
      </c>
      <c r="V13" s="96" t="n">
        <v>7.7</v>
      </c>
    </row>
    <row r="14" customFormat="false" ht="13.5" hidden="false" customHeight="true" outlineLevel="0" collapsed="false">
      <c r="B14" s="104" t="s">
        <v>25</v>
      </c>
      <c r="C14" s="168" t="n">
        <v>9.39</v>
      </c>
      <c r="D14" s="168" t="n">
        <v>8.74</v>
      </c>
      <c r="E14" s="168" t="n">
        <v>8.22</v>
      </c>
      <c r="F14" s="168" t="n">
        <v>6.72</v>
      </c>
      <c r="G14" s="168" t="n">
        <v>8.1</v>
      </c>
      <c r="H14" s="150" t="n">
        <v>7.26</v>
      </c>
      <c r="I14" s="168" t="n">
        <v>6.43</v>
      </c>
      <c r="J14" s="168" t="n">
        <v>6.21</v>
      </c>
      <c r="K14" s="168" t="n">
        <v>6.63</v>
      </c>
      <c r="L14" s="168" t="n">
        <v>7.06</v>
      </c>
      <c r="M14" s="92" t="n">
        <v>8.6</v>
      </c>
      <c r="N14" s="92" t="n">
        <v>11.2</v>
      </c>
      <c r="O14" s="92" t="n">
        <v>12.2</v>
      </c>
      <c r="P14" s="92" t="n">
        <v>10.8</v>
      </c>
      <c r="Q14" s="92" t="n">
        <v>10.1</v>
      </c>
      <c r="R14" s="92" t="n">
        <v>12.8</v>
      </c>
      <c r="S14" s="92" t="n">
        <v>11.7</v>
      </c>
      <c r="T14" s="92" t="n">
        <v>7.2</v>
      </c>
      <c r="U14" s="92" t="n">
        <v>6.1</v>
      </c>
      <c r="V14" s="92" t="n">
        <v>5.2</v>
      </c>
    </row>
    <row r="15" customFormat="false" ht="13.5" hidden="false" customHeight="true" outlineLevel="0" collapsed="false">
      <c r="B15" s="112" t="s">
        <v>26</v>
      </c>
      <c r="C15" s="169" t="n">
        <v>9.2</v>
      </c>
      <c r="D15" s="169" t="n">
        <v>8.47</v>
      </c>
      <c r="E15" s="169" t="n">
        <v>6.48</v>
      </c>
      <c r="F15" s="169" t="n">
        <v>7.87</v>
      </c>
      <c r="G15" s="169" t="n">
        <v>7.21</v>
      </c>
      <c r="H15" s="150" t="n">
        <v>6.04</v>
      </c>
      <c r="I15" s="169" t="n">
        <v>4.86</v>
      </c>
      <c r="J15" s="169" t="n">
        <v>3.73</v>
      </c>
      <c r="K15" s="169" t="n">
        <v>3.87</v>
      </c>
      <c r="L15" s="169" t="n">
        <v>4.49</v>
      </c>
      <c r="M15" s="96" t="n">
        <v>6.2</v>
      </c>
      <c r="N15" s="96" t="n">
        <v>7.7</v>
      </c>
      <c r="O15" s="96" t="n">
        <v>8.6</v>
      </c>
      <c r="P15" s="96" t="n">
        <v>7.6</v>
      </c>
      <c r="Q15" s="96" t="n">
        <v>8.1</v>
      </c>
      <c r="R15" s="96" t="n">
        <v>10.2</v>
      </c>
      <c r="S15" s="96" t="n">
        <v>8.7</v>
      </c>
      <c r="T15" s="96" t="n">
        <v>5</v>
      </c>
      <c r="U15" s="96" t="n">
        <v>4.2</v>
      </c>
      <c r="V15" s="96" t="n">
        <v>4</v>
      </c>
    </row>
    <row r="16" customFormat="false" ht="13.5" hidden="false" customHeight="true" outlineLevel="0" collapsed="false">
      <c r="B16" s="104" t="s">
        <v>27</v>
      </c>
      <c r="C16" s="168" t="n">
        <v>8.69</v>
      </c>
      <c r="D16" s="168" t="n">
        <v>9.1</v>
      </c>
      <c r="E16" s="168" t="n">
        <v>8.42</v>
      </c>
      <c r="F16" s="168" t="n">
        <v>6.22</v>
      </c>
      <c r="G16" s="168" t="n">
        <v>6.87</v>
      </c>
      <c r="H16" s="150" t="n">
        <v>7.25</v>
      </c>
      <c r="I16" s="168" t="n">
        <v>7.63</v>
      </c>
      <c r="J16" s="168" t="n">
        <v>5.26</v>
      </c>
      <c r="K16" s="168" t="n">
        <v>4.9</v>
      </c>
      <c r="L16" s="168" t="n">
        <v>4.81</v>
      </c>
      <c r="M16" s="92" t="n">
        <v>6.2</v>
      </c>
      <c r="N16" s="92" t="n">
        <v>9.5</v>
      </c>
      <c r="O16" s="92" t="n">
        <v>9.1</v>
      </c>
      <c r="P16" s="92" t="n">
        <v>8</v>
      </c>
      <c r="Q16" s="92" t="n">
        <v>8</v>
      </c>
      <c r="R16" s="92" t="n">
        <v>9.9</v>
      </c>
      <c r="S16" s="92" t="n">
        <v>8</v>
      </c>
      <c r="T16" s="92" t="n">
        <v>4.3</v>
      </c>
      <c r="U16" s="92" t="n">
        <v>3.5</v>
      </c>
      <c r="V16" s="92" t="n">
        <v>2.9</v>
      </c>
    </row>
    <row r="17" customFormat="false" ht="13.5" hidden="false" customHeight="true" outlineLevel="0" collapsed="false">
      <c r="B17" s="112" t="s">
        <v>28</v>
      </c>
      <c r="C17" s="169" t="n">
        <v>9.7</v>
      </c>
      <c r="D17" s="169" t="n">
        <v>9.26</v>
      </c>
      <c r="E17" s="169" t="n">
        <v>8.72</v>
      </c>
      <c r="F17" s="169" t="n">
        <v>6.78</v>
      </c>
      <c r="G17" s="169" t="n">
        <v>10.24</v>
      </c>
      <c r="H17" s="150" t="n">
        <v>9.93</v>
      </c>
      <c r="I17" s="169" t="n">
        <v>9.62</v>
      </c>
      <c r="J17" s="169" t="n">
        <v>7.8</v>
      </c>
      <c r="K17" s="169" t="n">
        <v>9.59</v>
      </c>
      <c r="L17" s="169" t="n">
        <v>9.71</v>
      </c>
      <c r="M17" s="96" t="n">
        <v>8.9</v>
      </c>
      <c r="N17" s="96" t="n">
        <v>11.2</v>
      </c>
      <c r="O17" s="96" t="n">
        <v>11.8</v>
      </c>
      <c r="P17" s="96" t="n">
        <v>11.2</v>
      </c>
      <c r="Q17" s="96" t="n">
        <v>10.8</v>
      </c>
      <c r="R17" s="96" t="n">
        <v>10.5</v>
      </c>
      <c r="S17" s="96" t="n">
        <v>12.5</v>
      </c>
      <c r="T17" s="96" t="n">
        <v>9.6</v>
      </c>
      <c r="U17" s="96" t="n">
        <v>8.5</v>
      </c>
      <c r="V17" s="96" t="n">
        <v>7.5</v>
      </c>
    </row>
    <row r="18" customFormat="false" ht="13.5" hidden="false" customHeight="true" outlineLevel="0" collapsed="false">
      <c r="B18" s="104" t="s">
        <v>29</v>
      </c>
      <c r="C18" s="168" t="n">
        <v>8.69</v>
      </c>
      <c r="D18" s="168" t="n">
        <v>8.69</v>
      </c>
      <c r="E18" s="168" t="n">
        <v>8.5</v>
      </c>
      <c r="F18" s="168" t="n">
        <v>7.86</v>
      </c>
      <c r="G18" s="168" t="n">
        <v>9.84</v>
      </c>
      <c r="H18" s="150" t="n">
        <v>10.11</v>
      </c>
      <c r="I18" s="168" t="n">
        <v>10.37</v>
      </c>
      <c r="J18" s="168" t="n">
        <v>8.98</v>
      </c>
      <c r="K18" s="168" t="n">
        <v>9.83</v>
      </c>
      <c r="L18" s="168" t="n">
        <v>8.5</v>
      </c>
      <c r="M18" s="92" t="n">
        <v>9.7</v>
      </c>
      <c r="N18" s="92" t="n">
        <v>11.6</v>
      </c>
      <c r="O18" s="92" t="n">
        <v>11.5</v>
      </c>
      <c r="P18" s="92" t="n">
        <v>11.3</v>
      </c>
      <c r="Q18" s="92" t="n">
        <v>11.8</v>
      </c>
      <c r="R18" s="92" t="n">
        <v>15</v>
      </c>
      <c r="S18" s="92" t="n">
        <v>14.8</v>
      </c>
      <c r="T18" s="92" t="n">
        <v>12</v>
      </c>
      <c r="U18" s="92" t="n">
        <v>10.1</v>
      </c>
      <c r="V18" s="92" t="n">
        <v>8.7</v>
      </c>
    </row>
    <row r="19" customFormat="false" ht="13.5" hidden="false" customHeight="true" outlineLevel="0" collapsed="false">
      <c r="B19" s="112" t="s">
        <v>30</v>
      </c>
      <c r="C19" s="169" t="n">
        <v>12.69</v>
      </c>
      <c r="D19" s="169" t="n">
        <v>11.3</v>
      </c>
      <c r="E19" s="169" t="n">
        <v>12.98</v>
      </c>
      <c r="F19" s="169" t="n">
        <v>10.74</v>
      </c>
      <c r="G19" s="169" t="n">
        <v>13.09</v>
      </c>
      <c r="H19" s="150" t="n">
        <v>11.31</v>
      </c>
      <c r="I19" s="169" t="n">
        <v>9.54</v>
      </c>
      <c r="J19" s="169" t="n">
        <v>10.29</v>
      </c>
      <c r="K19" s="169" t="n">
        <v>9.09</v>
      </c>
      <c r="L19" s="169" t="n">
        <v>9.47</v>
      </c>
      <c r="M19" s="96" t="n">
        <v>9.9</v>
      </c>
      <c r="N19" s="96" t="n">
        <v>14.8</v>
      </c>
      <c r="O19" s="96" t="n">
        <v>17.9</v>
      </c>
      <c r="P19" s="96" t="n">
        <v>16.9</v>
      </c>
      <c r="Q19" s="96" t="n">
        <v>15.7</v>
      </c>
      <c r="R19" s="96" t="n">
        <v>17.2</v>
      </c>
      <c r="S19" s="96" t="n">
        <v>19.9</v>
      </c>
      <c r="T19" s="96" t="n">
        <v>14.2</v>
      </c>
      <c r="U19" s="96" t="n">
        <v>13.4</v>
      </c>
      <c r="V19" s="96" t="n">
        <v>11.1</v>
      </c>
    </row>
    <row r="20" customFormat="false" ht="13.5" hidden="false" customHeight="true" outlineLevel="0" collapsed="false">
      <c r="B20" s="104" t="s">
        <v>31</v>
      </c>
      <c r="C20" s="168" t="n">
        <v>6.83</v>
      </c>
      <c r="D20" s="168" t="n">
        <v>5.25</v>
      </c>
      <c r="E20" s="168" t="n">
        <v>4.61</v>
      </c>
      <c r="F20" s="168" t="n">
        <v>5.01</v>
      </c>
      <c r="G20" s="168" t="n">
        <v>5.21</v>
      </c>
      <c r="H20" s="150" t="n">
        <v>6.12</v>
      </c>
      <c r="I20" s="168" t="n">
        <v>7.04</v>
      </c>
      <c r="J20" s="168" t="n">
        <v>5.62</v>
      </c>
      <c r="K20" s="168" t="n">
        <v>6.99</v>
      </c>
      <c r="L20" s="168" t="n">
        <v>6.01</v>
      </c>
      <c r="M20" s="92" t="n">
        <v>7.7</v>
      </c>
      <c r="N20" s="92" t="n">
        <v>9.6</v>
      </c>
      <c r="O20" s="92" t="n">
        <v>13</v>
      </c>
      <c r="P20" s="92" t="n">
        <v>12.9</v>
      </c>
      <c r="Q20" s="92" t="n">
        <v>13</v>
      </c>
      <c r="R20" s="92" t="n">
        <v>13.3</v>
      </c>
      <c r="S20" s="92" t="n">
        <v>13.6</v>
      </c>
      <c r="T20" s="92" t="n">
        <v>10.2</v>
      </c>
      <c r="U20" s="92" t="n">
        <v>10.3</v>
      </c>
      <c r="V20" s="92" t="n">
        <v>8.5</v>
      </c>
    </row>
    <row r="21" customFormat="false" ht="13.5" hidden="false" customHeight="true" outlineLevel="0" collapsed="false">
      <c r="B21" s="112" t="s">
        <v>32</v>
      </c>
      <c r="C21" s="169" t="n">
        <v>7.5</v>
      </c>
      <c r="D21" s="169" t="n">
        <v>7.36</v>
      </c>
      <c r="E21" s="169" t="n">
        <v>6.22</v>
      </c>
      <c r="F21" s="169" t="n">
        <v>5</v>
      </c>
      <c r="G21" s="169" t="n">
        <v>6.8</v>
      </c>
      <c r="H21" s="150" t="n">
        <v>5.89</v>
      </c>
      <c r="I21" s="169" t="n">
        <v>4.99</v>
      </c>
      <c r="J21" s="169" t="n">
        <v>4.88</v>
      </c>
      <c r="K21" s="169" t="n">
        <v>4.51</v>
      </c>
      <c r="L21" s="169" t="n">
        <v>4.62</v>
      </c>
      <c r="M21" s="96" t="n">
        <v>5.9</v>
      </c>
      <c r="N21" s="96" t="n">
        <v>8.3</v>
      </c>
      <c r="O21" s="96" t="n">
        <v>9</v>
      </c>
      <c r="P21" s="96" t="n">
        <v>8.8</v>
      </c>
      <c r="Q21" s="96" t="n">
        <v>8.7</v>
      </c>
      <c r="R21" s="96" t="n">
        <v>9.6</v>
      </c>
      <c r="S21" s="96" t="n">
        <v>8.4</v>
      </c>
      <c r="T21" s="96" t="n">
        <v>5.8</v>
      </c>
      <c r="U21" s="96" t="n">
        <v>4.9</v>
      </c>
      <c r="V21" s="96" t="n">
        <v>4</v>
      </c>
    </row>
    <row r="22" customFormat="false" ht="13.5" hidden="false" customHeight="true" outlineLevel="0" collapsed="false">
      <c r="B22" s="104" t="s">
        <v>33</v>
      </c>
      <c r="C22" s="168" t="n">
        <v>12.86</v>
      </c>
      <c r="D22" s="168" t="n">
        <v>11.93</v>
      </c>
      <c r="E22" s="168" t="n">
        <v>10.3</v>
      </c>
      <c r="F22" s="168" t="n">
        <v>9.66</v>
      </c>
      <c r="G22" s="168" t="n">
        <v>9.25</v>
      </c>
      <c r="H22" s="150" t="n">
        <v>8.75</v>
      </c>
      <c r="I22" s="168" t="n">
        <v>8.26</v>
      </c>
      <c r="J22" s="168" t="n">
        <v>6.83</v>
      </c>
      <c r="K22" s="168" t="n">
        <v>7.63</v>
      </c>
      <c r="L22" s="168" t="n">
        <v>8.09</v>
      </c>
      <c r="M22" s="92" t="n">
        <v>7.7</v>
      </c>
      <c r="N22" s="92" t="n">
        <v>11.9</v>
      </c>
      <c r="O22" s="92" t="n">
        <v>15.1</v>
      </c>
      <c r="P22" s="92" t="n">
        <v>15.1</v>
      </c>
      <c r="Q22" s="92" t="n">
        <v>14.8</v>
      </c>
      <c r="R22" s="92" t="n">
        <v>17.6</v>
      </c>
      <c r="S22" s="92" t="n">
        <v>16.9</v>
      </c>
      <c r="T22" s="92" t="n">
        <v>12.8</v>
      </c>
      <c r="U22" s="92" t="n">
        <v>11</v>
      </c>
      <c r="V22" s="92" t="n">
        <v>9</v>
      </c>
    </row>
    <row r="23" customFormat="false" ht="13.5" hidden="false" customHeight="true" outlineLevel="0" collapsed="false">
      <c r="B23" s="112" t="s">
        <v>34</v>
      </c>
      <c r="C23" s="169" t="n">
        <v>11.98</v>
      </c>
      <c r="D23" s="169" t="n">
        <v>9.73</v>
      </c>
      <c r="E23" s="169" t="n">
        <v>10.05</v>
      </c>
      <c r="F23" s="169" t="n">
        <v>8.63</v>
      </c>
      <c r="G23" s="169" t="n">
        <v>11.69</v>
      </c>
      <c r="H23" s="150" t="n">
        <v>11.11</v>
      </c>
      <c r="I23" s="169" t="n">
        <v>10.53</v>
      </c>
      <c r="J23" s="169" t="n">
        <v>8.12</v>
      </c>
      <c r="K23" s="169" t="n">
        <v>11.82</v>
      </c>
      <c r="L23" s="169" t="n">
        <v>12.14</v>
      </c>
      <c r="M23" s="96" t="n">
        <v>12.1</v>
      </c>
      <c r="N23" s="96" t="n">
        <v>14.3</v>
      </c>
      <c r="O23" s="96" t="n">
        <v>14.7</v>
      </c>
      <c r="P23" s="96" t="n">
        <v>13.7</v>
      </c>
      <c r="Q23" s="96" t="n">
        <v>13.3</v>
      </c>
      <c r="R23" s="96" t="n">
        <v>16.1</v>
      </c>
      <c r="S23" s="96" t="n">
        <v>14.9</v>
      </c>
      <c r="T23" s="96" t="n">
        <v>11.7</v>
      </c>
      <c r="U23" s="96" t="n">
        <v>10.3</v>
      </c>
      <c r="V23" s="96" t="n">
        <v>9.1</v>
      </c>
    </row>
    <row r="24" customFormat="false" ht="13.5" hidden="false" customHeight="true" outlineLevel="0" collapsed="false">
      <c r="B24" s="104" t="s">
        <v>35</v>
      </c>
      <c r="C24" s="168" t="n">
        <v>7.68</v>
      </c>
      <c r="D24" s="168" t="n">
        <v>7.72</v>
      </c>
      <c r="E24" s="168" t="n">
        <v>8.37</v>
      </c>
      <c r="F24" s="168" t="n">
        <v>8.05</v>
      </c>
      <c r="G24" s="168" t="n">
        <v>9.12</v>
      </c>
      <c r="H24" s="150" t="n">
        <v>6.66</v>
      </c>
      <c r="I24" s="168" t="n">
        <v>4.21</v>
      </c>
      <c r="J24" s="168" t="n">
        <v>6.39</v>
      </c>
      <c r="K24" s="168" t="n">
        <v>6.1</v>
      </c>
      <c r="L24" s="168" t="n">
        <v>5.41</v>
      </c>
      <c r="M24" s="92" t="n">
        <v>5.7</v>
      </c>
      <c r="N24" s="92" t="n">
        <v>8</v>
      </c>
      <c r="O24" s="92" t="n">
        <v>8.2</v>
      </c>
      <c r="P24" s="92" t="n">
        <v>9.2</v>
      </c>
      <c r="Q24" s="92" t="n">
        <v>8.1</v>
      </c>
      <c r="R24" s="92" t="n">
        <v>10.6</v>
      </c>
      <c r="S24" s="92" t="n">
        <v>8.9</v>
      </c>
      <c r="T24" s="92" t="n">
        <v>4.9</v>
      </c>
      <c r="U24" s="92" t="n">
        <v>2.9</v>
      </c>
      <c r="V24" s="92" t="n">
        <v>2.9</v>
      </c>
    </row>
    <row r="25" customFormat="false" ht="13.5" hidden="false" customHeight="true" outlineLevel="0" collapsed="false">
      <c r="B25" s="112" t="s">
        <v>36</v>
      </c>
      <c r="C25" s="169" t="n">
        <v>16.89</v>
      </c>
      <c r="D25" s="169" t="n">
        <v>9.91</v>
      </c>
      <c r="E25" s="169" t="n">
        <v>12.07</v>
      </c>
      <c r="F25" s="169" t="n">
        <v>7.35</v>
      </c>
      <c r="G25" s="169" t="n">
        <v>11.32</v>
      </c>
      <c r="H25" s="150" t="n">
        <v>10.54</v>
      </c>
      <c r="I25" s="169" t="n">
        <v>9.77</v>
      </c>
      <c r="J25" s="169" t="n">
        <v>10.18</v>
      </c>
      <c r="K25" s="169" t="n">
        <v>7.96</v>
      </c>
      <c r="L25" s="169" t="n">
        <v>8.24</v>
      </c>
      <c r="M25" s="96" t="n">
        <v>8.7</v>
      </c>
      <c r="N25" s="96" t="n">
        <v>8.9</v>
      </c>
      <c r="O25" s="96" t="n">
        <v>10</v>
      </c>
      <c r="P25" s="96" t="n">
        <v>12.4</v>
      </c>
      <c r="Q25" s="96" t="n">
        <v>15.1</v>
      </c>
      <c r="R25" s="96" t="n">
        <v>16.8</v>
      </c>
      <c r="S25" s="96" t="n">
        <v>12.1</v>
      </c>
      <c r="T25" s="96" t="n">
        <v>6.1</v>
      </c>
      <c r="U25" s="96" t="n">
        <v>6.7</v>
      </c>
      <c r="V25" s="96" t="n">
        <v>6.8</v>
      </c>
    </row>
    <row r="26" customFormat="false" ht="13.5" hidden="false" customHeight="true" outlineLevel="0" collapsed="false">
      <c r="B26" s="104" t="s">
        <v>37</v>
      </c>
      <c r="C26" s="168" t="n">
        <v>7.21</v>
      </c>
      <c r="D26" s="168" t="n">
        <v>6.92</v>
      </c>
      <c r="E26" s="168" t="n">
        <v>7.33</v>
      </c>
      <c r="F26" s="168" t="n">
        <v>6.08</v>
      </c>
      <c r="G26" s="168" t="n">
        <v>6.69</v>
      </c>
      <c r="H26" s="150" t="n">
        <v>5.85</v>
      </c>
      <c r="I26" s="168" t="n">
        <v>5.01</v>
      </c>
      <c r="J26" s="168" t="n">
        <v>4.96</v>
      </c>
      <c r="K26" s="168" t="n">
        <v>4.82</v>
      </c>
      <c r="L26" s="168" t="n">
        <v>5</v>
      </c>
      <c r="M26" s="92" t="n">
        <v>6.4</v>
      </c>
      <c r="N26" s="92" t="n">
        <v>8.3</v>
      </c>
      <c r="O26" s="92" t="n">
        <v>8.5</v>
      </c>
      <c r="P26" s="92" t="n">
        <v>8.2</v>
      </c>
      <c r="Q26" s="92" t="n">
        <v>8.2</v>
      </c>
      <c r="R26" s="92" t="n">
        <v>9.3</v>
      </c>
      <c r="S26" s="92" t="n">
        <v>8.7</v>
      </c>
      <c r="T26" s="92" t="n">
        <v>6.1</v>
      </c>
      <c r="U26" s="92" t="n">
        <v>5.3</v>
      </c>
      <c r="V26" s="92" t="n">
        <v>5.1</v>
      </c>
    </row>
    <row r="27" customFormat="false" ht="13.5" hidden="false" customHeight="true" outlineLevel="0" collapsed="false">
      <c r="B27" s="112" t="s">
        <v>38</v>
      </c>
      <c r="C27" s="169" t="n">
        <v>4.91</v>
      </c>
      <c r="D27" s="169" t="n">
        <v>5.16</v>
      </c>
      <c r="E27" s="169" t="n">
        <v>5.2</v>
      </c>
      <c r="F27" s="169" t="n">
        <v>4.75</v>
      </c>
      <c r="G27" s="169" t="n">
        <v>5.65</v>
      </c>
      <c r="H27" s="150" t="n">
        <v>4.63</v>
      </c>
      <c r="I27" s="169" t="n">
        <v>3.61</v>
      </c>
      <c r="J27" s="169" t="n">
        <v>3.14</v>
      </c>
      <c r="K27" s="169" t="n">
        <v>3.36</v>
      </c>
      <c r="L27" s="169" t="n">
        <v>3.13</v>
      </c>
      <c r="M27" s="96" t="n">
        <v>4.2</v>
      </c>
      <c r="N27" s="96" t="n">
        <v>6.4</v>
      </c>
      <c r="O27" s="96" t="n">
        <v>7.2</v>
      </c>
      <c r="P27" s="96" t="n">
        <v>6.5</v>
      </c>
      <c r="Q27" s="96" t="n">
        <v>6.2</v>
      </c>
      <c r="R27" s="96" t="n">
        <v>6.3</v>
      </c>
      <c r="S27" s="96" t="n">
        <v>5.5</v>
      </c>
      <c r="T27" s="96" t="n">
        <v>3.9</v>
      </c>
      <c r="U27" s="96" t="n">
        <v>3.5</v>
      </c>
      <c r="V27" s="96" t="n">
        <v>3.1</v>
      </c>
    </row>
    <row r="28" customFormat="false" ht="13.5" hidden="false" customHeight="true" outlineLevel="0" collapsed="false">
      <c r="B28" s="104" t="s">
        <v>39</v>
      </c>
      <c r="C28" s="168" t="n">
        <v>13.98</v>
      </c>
      <c r="D28" s="168" t="n">
        <v>10.29</v>
      </c>
      <c r="E28" s="168" t="n">
        <v>9.77</v>
      </c>
      <c r="F28" s="168" t="n">
        <v>8.43</v>
      </c>
      <c r="G28" s="168" t="n">
        <v>12.01</v>
      </c>
      <c r="H28" s="150" t="n">
        <v>10.48</v>
      </c>
      <c r="I28" s="168" t="n">
        <v>8.96</v>
      </c>
      <c r="J28" s="168" t="n">
        <v>8.5</v>
      </c>
      <c r="K28" s="168" t="n">
        <v>9.32</v>
      </c>
      <c r="L28" s="168" t="n">
        <v>8.65</v>
      </c>
      <c r="M28" s="92" t="n">
        <v>9.2</v>
      </c>
      <c r="N28" s="92" t="n">
        <v>13.6</v>
      </c>
      <c r="O28" s="92" t="n">
        <v>14.6</v>
      </c>
      <c r="P28" s="92" t="n">
        <v>16.8</v>
      </c>
      <c r="Q28" s="92" t="n">
        <v>15.2</v>
      </c>
      <c r="R28" s="92" t="n">
        <v>18.9</v>
      </c>
      <c r="S28" s="92" t="n">
        <v>18</v>
      </c>
      <c r="T28" s="92" t="n">
        <v>13.1</v>
      </c>
      <c r="U28" s="92" t="n">
        <v>10.9</v>
      </c>
      <c r="V28" s="92" t="n">
        <v>8.9</v>
      </c>
    </row>
    <row r="29" customFormat="false" ht="13.5" hidden="false" customHeight="true" outlineLevel="0" collapsed="false">
      <c r="B29" s="112" t="s">
        <v>40</v>
      </c>
      <c r="C29" s="169" t="n">
        <v>11.76</v>
      </c>
      <c r="D29" s="169" t="n">
        <v>10.23</v>
      </c>
      <c r="E29" s="169" t="n">
        <v>9.52</v>
      </c>
      <c r="F29" s="169" t="n">
        <v>8.19</v>
      </c>
      <c r="G29" s="169" t="n">
        <v>9.8</v>
      </c>
      <c r="H29" s="150" t="n">
        <v>8.48</v>
      </c>
      <c r="I29" s="169" t="n">
        <v>7.15</v>
      </c>
      <c r="J29" s="169" t="n">
        <v>6.37</v>
      </c>
      <c r="K29" s="169" t="n">
        <v>6.67</v>
      </c>
      <c r="L29" s="169" t="n">
        <v>7.9</v>
      </c>
      <c r="M29" s="96" t="n">
        <v>9.4</v>
      </c>
      <c r="N29" s="96" t="n">
        <v>12.5</v>
      </c>
      <c r="O29" s="96" t="n">
        <v>13.5</v>
      </c>
      <c r="P29" s="96" t="n">
        <v>13.4</v>
      </c>
      <c r="Q29" s="96" t="n">
        <v>12.6</v>
      </c>
      <c r="R29" s="96" t="n">
        <v>14.1</v>
      </c>
      <c r="S29" s="96" t="n">
        <v>13.5</v>
      </c>
      <c r="T29" s="96" t="n">
        <v>9.1</v>
      </c>
      <c r="U29" s="96" t="n">
        <v>7.6</v>
      </c>
      <c r="V29" s="96" t="n">
        <v>6.5</v>
      </c>
    </row>
    <row r="30" customFormat="false" ht="13.5" hidden="false" customHeight="true" outlineLevel="0" collapsed="false">
      <c r="B30" s="104" t="s">
        <v>41</v>
      </c>
      <c r="C30" s="168" t="n">
        <v>7.1</v>
      </c>
      <c r="D30" s="168" t="n">
        <v>6.91</v>
      </c>
      <c r="E30" s="168" t="n">
        <v>6.83</v>
      </c>
      <c r="F30" s="168" t="n">
        <v>6.49</v>
      </c>
      <c r="G30" s="168" t="n">
        <v>7.88</v>
      </c>
      <c r="H30" s="150" t="n">
        <v>7.61</v>
      </c>
      <c r="I30" s="168" t="n">
        <v>7.33</v>
      </c>
      <c r="J30" s="168" t="n">
        <v>6.47</v>
      </c>
      <c r="K30" s="168" t="n">
        <v>7.06</v>
      </c>
      <c r="L30" s="168" t="n">
        <v>6.44</v>
      </c>
      <c r="M30" s="92" t="n">
        <v>8.7</v>
      </c>
      <c r="N30" s="92" t="n">
        <v>11.5</v>
      </c>
      <c r="O30" s="92" t="n">
        <v>11.7</v>
      </c>
      <c r="P30" s="92" t="n">
        <v>10.7</v>
      </c>
      <c r="Q30" s="92" t="n">
        <v>11</v>
      </c>
      <c r="R30" s="92" t="n">
        <v>12.1</v>
      </c>
      <c r="S30" s="92" t="n">
        <v>13.4</v>
      </c>
      <c r="T30" s="92" t="n">
        <v>6.4</v>
      </c>
      <c r="U30" s="92" t="n">
        <v>6.1</v>
      </c>
      <c r="V30" s="92" t="n">
        <v>5.4</v>
      </c>
    </row>
  </sheetData>
  <mergeCells count="2">
    <mergeCell ref="B1:V1"/>
    <mergeCell ref="B2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6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3" min="12" style="0" width="7"/>
    <col collapsed="false" customWidth="true" hidden="false" outlineLevel="0" max="14" min="14" style="0" width="10"/>
    <col collapsed="false" customWidth="true" hidden="false" outlineLevel="0" max="15" min="15" style="0" width="13"/>
  </cols>
  <sheetData>
    <row r="1" customFormat="false" ht="19.5" hidden="false" customHeight="true" outlineLevel="0" collapsed="false">
      <c r="A1" s="153" t="s">
        <v>185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customFormat="false" ht="12.75" hidden="false" customHeight="true" outlineLevel="0" collapsed="false">
      <c r="A2" s="154" t="s">
        <v>186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</row>
    <row r="3" customFormat="false" ht="36" hidden="false" customHeight="true" outlineLevel="0" collapsed="false">
      <c r="B3" s="99" t="s">
        <v>138</v>
      </c>
      <c r="C3" s="99" t="s">
        <v>139</v>
      </c>
      <c r="D3" s="6" t="s">
        <v>140</v>
      </c>
      <c r="E3" s="100" t="s">
        <v>141</v>
      </c>
      <c r="F3" s="60" t="s">
        <v>187</v>
      </c>
      <c r="G3" s="6" t="s">
        <v>142</v>
      </c>
      <c r="H3" s="100" t="s">
        <v>143</v>
      </c>
      <c r="I3" s="101" t="s">
        <v>144</v>
      </c>
      <c r="J3" s="101" t="s">
        <v>145</v>
      </c>
      <c r="K3" s="102" t="s">
        <v>146</v>
      </c>
      <c r="L3" s="103" t="s">
        <v>147</v>
      </c>
      <c r="M3" s="102" t="s">
        <v>148</v>
      </c>
      <c r="N3" s="60" t="s">
        <v>149</v>
      </c>
      <c r="O3" s="101" t="s">
        <v>150</v>
      </c>
    </row>
    <row r="4" customFormat="false" ht="12.75" hidden="false" customHeight="true" outlineLevel="0" collapsed="false">
      <c r="B4" s="170" t="s">
        <v>15</v>
      </c>
      <c r="C4" s="171" t="n">
        <v>2005</v>
      </c>
      <c r="D4" s="172" t="n">
        <v>5.38</v>
      </c>
      <c r="E4" s="172" t="n">
        <v>0</v>
      </c>
      <c r="F4" s="173" t="n">
        <v>0</v>
      </c>
      <c r="G4" s="174" t="n">
        <v>3.5835</v>
      </c>
      <c r="H4" s="174"/>
      <c r="I4" s="173" t="n">
        <v>6694</v>
      </c>
      <c r="J4" s="174" t="n">
        <v>8.809</v>
      </c>
      <c r="K4" s="175" t="n">
        <v>11.33</v>
      </c>
      <c r="L4" s="176" t="n">
        <v>0</v>
      </c>
      <c r="M4" s="176" t="n">
        <v>0</v>
      </c>
      <c r="N4" s="174" t="n">
        <v>72.89</v>
      </c>
      <c r="O4" s="173" t="n">
        <v>669736</v>
      </c>
    </row>
    <row r="5" customFormat="false" ht="12.75" hidden="false" customHeight="true" outlineLevel="0" collapsed="false">
      <c r="B5" s="177" t="s">
        <v>15</v>
      </c>
      <c r="C5" s="178" t="n">
        <v>2006</v>
      </c>
      <c r="D5" s="179" t="n">
        <v>6.7</v>
      </c>
      <c r="E5" s="179" t="n">
        <v>0.15</v>
      </c>
      <c r="F5" s="180" t="n">
        <v>1</v>
      </c>
      <c r="G5" s="181" t="n">
        <v>3.8286</v>
      </c>
      <c r="H5" s="181" t="n">
        <v>0</v>
      </c>
      <c r="I5" s="180" t="n">
        <v>7041</v>
      </c>
      <c r="J5" s="181" t="n">
        <v>8.8595</v>
      </c>
      <c r="K5" s="182" t="n">
        <v>8.58</v>
      </c>
      <c r="L5" s="183" t="n">
        <v>0</v>
      </c>
      <c r="M5" s="183" t="n">
        <v>0</v>
      </c>
      <c r="N5" s="181" t="n">
        <v>72.89</v>
      </c>
      <c r="O5" s="180" t="n">
        <v>686652</v>
      </c>
    </row>
    <row r="6" customFormat="false" ht="12.75" hidden="false" customHeight="true" outlineLevel="0" collapsed="false">
      <c r="B6" s="170" t="s">
        <v>15</v>
      </c>
      <c r="C6" s="171" t="n">
        <v>2007</v>
      </c>
      <c r="D6" s="172" t="n">
        <v>7.48</v>
      </c>
      <c r="E6" s="172" t="n">
        <v>0</v>
      </c>
      <c r="F6" s="173" t="n">
        <v>1</v>
      </c>
      <c r="G6" s="174" t="n">
        <v>3.8918</v>
      </c>
      <c r="H6" s="174"/>
      <c r="I6" s="173" t="n">
        <v>8790</v>
      </c>
      <c r="J6" s="174" t="n">
        <v>9.0814</v>
      </c>
      <c r="K6" s="175" t="n">
        <v>5.79</v>
      </c>
      <c r="L6" s="176" t="n">
        <v>0</v>
      </c>
      <c r="M6" s="176" t="n">
        <v>0</v>
      </c>
      <c r="N6" s="174" t="n">
        <v>72.89</v>
      </c>
      <c r="O6" s="173" t="n">
        <v>655385</v>
      </c>
    </row>
    <row r="7" customFormat="false" ht="12.75" hidden="false" customHeight="true" outlineLevel="0" collapsed="false">
      <c r="B7" s="177" t="s">
        <v>15</v>
      </c>
      <c r="C7" s="178" t="n">
        <v>2008</v>
      </c>
      <c r="D7" s="179" t="n">
        <v>5.73</v>
      </c>
      <c r="E7" s="179" t="n">
        <v>0</v>
      </c>
      <c r="F7" s="180" t="n">
        <v>1</v>
      </c>
      <c r="G7" s="181" t="n">
        <v>3.6636</v>
      </c>
      <c r="H7" s="181"/>
      <c r="I7" s="180" t="n">
        <v>9896</v>
      </c>
      <c r="J7" s="181" t="n">
        <v>9.1999</v>
      </c>
      <c r="K7" s="182" t="n">
        <v>7.74</v>
      </c>
      <c r="L7" s="183" t="n">
        <v>0</v>
      </c>
      <c r="M7" s="183" t="n">
        <v>0</v>
      </c>
      <c r="N7" s="181" t="n">
        <v>72.89</v>
      </c>
      <c r="O7" s="180" t="n">
        <v>680075</v>
      </c>
    </row>
    <row r="8" customFormat="false" ht="12.75" hidden="false" customHeight="true" outlineLevel="0" collapsed="false">
      <c r="B8" s="170" t="s">
        <v>15</v>
      </c>
      <c r="C8" s="171" t="n">
        <v>2009</v>
      </c>
      <c r="D8" s="172" t="n">
        <v>8.68</v>
      </c>
      <c r="E8" s="172" t="n">
        <v>0</v>
      </c>
      <c r="F8" s="173" t="n">
        <v>1</v>
      </c>
      <c r="G8" s="174" t="n">
        <v>4.0943</v>
      </c>
      <c r="H8" s="174"/>
      <c r="I8" s="173" t="n">
        <v>10687</v>
      </c>
      <c r="J8" s="174" t="n">
        <v>9.2768</v>
      </c>
      <c r="K8" s="175" t="n">
        <v>7.56</v>
      </c>
      <c r="L8" s="176" t="n">
        <v>0</v>
      </c>
      <c r="M8" s="176" t="n">
        <v>0</v>
      </c>
      <c r="N8" s="174" t="n">
        <v>72.89</v>
      </c>
      <c r="O8" s="173" t="n">
        <v>691132</v>
      </c>
    </row>
    <row r="9" customFormat="false" ht="12.75" hidden="false" customHeight="true" outlineLevel="0" collapsed="false">
      <c r="B9" s="177" t="s">
        <v>15</v>
      </c>
      <c r="C9" s="178" t="n">
        <v>2010</v>
      </c>
      <c r="D9" s="179" t="n">
        <v>8.45</v>
      </c>
      <c r="E9" s="179" t="n">
        <v>0</v>
      </c>
      <c r="F9" s="180" t="n">
        <v>1</v>
      </c>
      <c r="G9" s="181" t="n">
        <v>4.1271</v>
      </c>
      <c r="H9" s="181"/>
      <c r="I9" s="180" t="n">
        <v>11372</v>
      </c>
      <c r="J9" s="181" t="n">
        <v>9.3389</v>
      </c>
      <c r="K9" s="182" t="n">
        <v>6.46</v>
      </c>
      <c r="L9" s="183" t="n">
        <v>0</v>
      </c>
      <c r="M9" s="183" t="n">
        <v>0</v>
      </c>
      <c r="N9" s="181" t="n">
        <v>72.89</v>
      </c>
      <c r="O9" s="180" t="n">
        <v>733559</v>
      </c>
    </row>
    <row r="10" customFormat="false" ht="12.75" hidden="false" customHeight="true" outlineLevel="0" collapsed="false">
      <c r="B10" s="170" t="s">
        <v>15</v>
      </c>
      <c r="C10" s="171" t="n">
        <v>2011</v>
      </c>
      <c r="D10" s="172" t="n">
        <v>6.7</v>
      </c>
      <c r="E10" s="172" t="n">
        <v>0</v>
      </c>
      <c r="F10" s="173" t="n">
        <v>1</v>
      </c>
      <c r="G10" s="174" t="n">
        <v>3.912</v>
      </c>
      <c r="H10" s="174"/>
      <c r="I10" s="173" t="n">
        <v>11990</v>
      </c>
      <c r="J10" s="174" t="n">
        <v>9.3918</v>
      </c>
      <c r="K10" s="175" t="n">
        <v>5.36</v>
      </c>
      <c r="L10" s="176" t="n">
        <v>0</v>
      </c>
      <c r="M10" s="176" t="n">
        <v>0</v>
      </c>
      <c r="N10" s="174" t="n">
        <v>72.89</v>
      </c>
      <c r="O10" s="173" t="n">
        <v>746386</v>
      </c>
    </row>
    <row r="11" customFormat="false" ht="12.75" hidden="false" customHeight="true" outlineLevel="0" collapsed="false">
      <c r="B11" s="177" t="s">
        <v>15</v>
      </c>
      <c r="C11" s="178" t="n">
        <v>2012</v>
      </c>
      <c r="D11" s="179" t="n">
        <v>11.2</v>
      </c>
      <c r="E11" s="179" t="n">
        <v>0</v>
      </c>
      <c r="F11" s="180" t="n">
        <v>1</v>
      </c>
      <c r="G11" s="181" t="n">
        <v>4.4427</v>
      </c>
      <c r="H11" s="181"/>
      <c r="I11" s="180" t="n">
        <v>13361</v>
      </c>
      <c r="J11" s="181" t="n">
        <v>9.5001</v>
      </c>
      <c r="K11" s="182" t="n">
        <v>8</v>
      </c>
      <c r="L11" s="183" t="n">
        <v>0</v>
      </c>
      <c r="M11" s="183" t="n">
        <v>0</v>
      </c>
      <c r="N11" s="181" t="n">
        <v>72.89</v>
      </c>
      <c r="O11" s="180" t="n">
        <v>758786</v>
      </c>
    </row>
    <row r="12" customFormat="false" ht="12.75" hidden="false" customHeight="true" outlineLevel="0" collapsed="false">
      <c r="B12" s="170" t="s">
        <v>15</v>
      </c>
      <c r="C12" s="171" t="n">
        <v>2013</v>
      </c>
      <c r="D12" s="172" t="n">
        <v>12.49</v>
      </c>
      <c r="E12" s="172" t="n">
        <v>0.26</v>
      </c>
      <c r="F12" s="173" t="n">
        <v>3</v>
      </c>
      <c r="G12" s="174" t="n">
        <v>4.5747</v>
      </c>
      <c r="H12" s="174" t="n">
        <v>0.6931</v>
      </c>
      <c r="I12" s="173" t="n">
        <v>14777</v>
      </c>
      <c r="J12" s="174" t="n">
        <v>9.6008</v>
      </c>
      <c r="K12" s="175" t="n">
        <v>9.56</v>
      </c>
      <c r="L12" s="176" t="n">
        <v>0</v>
      </c>
      <c r="M12" s="176" t="n">
        <v>0</v>
      </c>
      <c r="N12" s="174" t="n">
        <v>72.89</v>
      </c>
      <c r="O12" s="173" t="n">
        <v>776463</v>
      </c>
    </row>
    <row r="13" customFormat="false" ht="12.75" hidden="false" customHeight="true" outlineLevel="0" collapsed="false">
      <c r="B13" s="177" t="s">
        <v>15</v>
      </c>
      <c r="C13" s="178" t="n">
        <v>2014</v>
      </c>
      <c r="D13" s="179" t="n">
        <v>14.68</v>
      </c>
      <c r="E13" s="179" t="n">
        <v>0</v>
      </c>
      <c r="F13" s="180" t="n">
        <v>3</v>
      </c>
      <c r="G13" s="181" t="n">
        <v>4.7536</v>
      </c>
      <c r="H13" s="181"/>
      <c r="I13" s="180" t="n">
        <v>17034</v>
      </c>
      <c r="J13" s="181" t="n">
        <v>9.743</v>
      </c>
      <c r="K13" s="182" t="n">
        <v>9.81</v>
      </c>
      <c r="L13" s="183" t="n">
        <v>0</v>
      </c>
      <c r="M13" s="183" t="n">
        <v>0</v>
      </c>
      <c r="N13" s="181" t="n">
        <v>72.89</v>
      </c>
      <c r="O13" s="180" t="n">
        <v>790101</v>
      </c>
    </row>
    <row r="14" customFormat="false" ht="12.75" hidden="false" customHeight="true" outlineLevel="0" collapsed="false">
      <c r="B14" s="170" t="s">
        <v>15</v>
      </c>
      <c r="C14" s="171" t="n">
        <v>2015</v>
      </c>
      <c r="D14" s="172" t="n">
        <v>14.44</v>
      </c>
      <c r="E14" s="172" t="n">
        <v>0</v>
      </c>
      <c r="F14" s="173" t="n">
        <v>3</v>
      </c>
      <c r="G14" s="174" t="n">
        <v>4.7536</v>
      </c>
      <c r="H14" s="174"/>
      <c r="I14" s="173" t="n">
        <v>16954</v>
      </c>
      <c r="J14" s="174" t="n">
        <v>9.7383</v>
      </c>
      <c r="K14" s="175" t="n">
        <v>8.6</v>
      </c>
      <c r="L14" s="176" t="n">
        <v>0</v>
      </c>
      <c r="M14" s="176" t="n">
        <v>0</v>
      </c>
      <c r="N14" s="174" t="n">
        <v>72.89</v>
      </c>
      <c r="O14" s="173" t="n">
        <v>803513</v>
      </c>
    </row>
    <row r="15" customFormat="false" ht="12.75" hidden="false" customHeight="true" outlineLevel="0" collapsed="false">
      <c r="B15" s="184" t="s">
        <v>15</v>
      </c>
      <c r="C15" s="185" t="n">
        <v>2016</v>
      </c>
      <c r="D15" s="186" t="n">
        <v>27.55</v>
      </c>
      <c r="E15" s="186" t="n">
        <v>1.22</v>
      </c>
      <c r="F15" s="187" t="n">
        <v>13</v>
      </c>
      <c r="G15" s="188" t="n">
        <v>5.4161</v>
      </c>
      <c r="H15" s="188" t="n">
        <v>2.3026</v>
      </c>
      <c r="I15" s="187" t="n">
        <v>16842</v>
      </c>
      <c r="J15" s="188" t="n">
        <v>9.7316</v>
      </c>
      <c r="K15" s="189" t="n">
        <v>10.9</v>
      </c>
      <c r="L15" s="190" t="n">
        <v>0</v>
      </c>
      <c r="M15" s="190" t="n">
        <v>0</v>
      </c>
      <c r="N15" s="188" t="n">
        <v>72.89</v>
      </c>
      <c r="O15" s="187" t="n">
        <v>816687</v>
      </c>
    </row>
    <row r="16" customFormat="false" ht="12.75" hidden="false" customHeight="true" outlineLevel="0" collapsed="false">
      <c r="B16" s="191" t="s">
        <v>15</v>
      </c>
      <c r="C16" s="192" t="n">
        <v>2017</v>
      </c>
      <c r="D16" s="193" t="n">
        <v>45.92</v>
      </c>
      <c r="E16" s="193" t="n">
        <v>2.77</v>
      </c>
      <c r="F16" s="194" t="n">
        <v>36</v>
      </c>
      <c r="G16" s="195" t="n">
        <v>5.9428</v>
      </c>
      <c r="H16" s="195" t="n">
        <v>3.1355</v>
      </c>
      <c r="I16" s="194" t="n">
        <v>17204</v>
      </c>
      <c r="J16" s="195" t="n">
        <v>9.7529</v>
      </c>
      <c r="K16" s="196" t="n">
        <v>14.2</v>
      </c>
      <c r="L16" s="197" t="n">
        <v>0</v>
      </c>
      <c r="M16" s="197" t="n">
        <v>0</v>
      </c>
      <c r="N16" s="195" t="n">
        <v>72.89</v>
      </c>
      <c r="O16" s="194" t="n">
        <v>829619</v>
      </c>
    </row>
    <row r="17" customFormat="false" ht="12.75" hidden="false" customHeight="true" outlineLevel="0" collapsed="false">
      <c r="B17" s="184" t="s">
        <v>15</v>
      </c>
      <c r="C17" s="185" t="n">
        <v>2018</v>
      </c>
      <c r="D17" s="186" t="n">
        <v>35.55</v>
      </c>
      <c r="E17" s="186" t="n">
        <v>7.59</v>
      </c>
      <c r="F17" s="187" t="n">
        <v>102</v>
      </c>
      <c r="G17" s="188" t="n">
        <v>5.7333</v>
      </c>
      <c r="H17" s="188" t="n">
        <v>4.1897</v>
      </c>
      <c r="I17" s="187" t="n">
        <v>17637</v>
      </c>
      <c r="J17" s="188" t="n">
        <v>9.7778</v>
      </c>
      <c r="K17" s="189" t="n">
        <v>13.7</v>
      </c>
      <c r="L17" s="190" t="n">
        <v>0</v>
      </c>
      <c r="M17" s="190" t="n">
        <v>0</v>
      </c>
      <c r="N17" s="188" t="n">
        <v>72.89</v>
      </c>
      <c r="O17" s="187" t="n">
        <v>869265</v>
      </c>
    </row>
    <row r="18" customFormat="false" ht="12.75" hidden="false" customHeight="true" outlineLevel="0" collapsed="false">
      <c r="B18" s="191" t="s">
        <v>15</v>
      </c>
      <c r="C18" s="192" t="n">
        <v>2019</v>
      </c>
      <c r="D18" s="193" t="n">
        <v>24.95</v>
      </c>
      <c r="E18" s="193" t="n">
        <v>18.03</v>
      </c>
      <c r="F18" s="194" t="n">
        <v>261</v>
      </c>
      <c r="G18" s="195" t="n">
        <v>5.3936</v>
      </c>
      <c r="H18" s="195" t="n">
        <v>5.0689</v>
      </c>
      <c r="I18" s="194" t="n">
        <v>17722</v>
      </c>
      <c r="J18" s="195" t="n">
        <v>9.7826</v>
      </c>
      <c r="K18" s="196" t="n">
        <v>14.7</v>
      </c>
      <c r="L18" s="197" t="n">
        <v>0</v>
      </c>
      <c r="M18" s="197" t="n">
        <v>0</v>
      </c>
      <c r="N18" s="195" t="n">
        <v>72.89</v>
      </c>
      <c r="O18" s="194" t="n">
        <v>881935</v>
      </c>
    </row>
    <row r="19" customFormat="false" ht="12.75" hidden="false" customHeight="true" outlineLevel="0" collapsed="false">
      <c r="B19" s="184" t="s">
        <v>15</v>
      </c>
      <c r="C19" s="185" t="n">
        <v>2020</v>
      </c>
      <c r="D19" s="186" t="n">
        <v>25.15</v>
      </c>
      <c r="E19" s="186" t="n">
        <v>37.68</v>
      </c>
      <c r="F19" s="187" t="n">
        <v>598</v>
      </c>
      <c r="G19" s="188" t="n">
        <v>5.4161</v>
      </c>
      <c r="H19" s="188" t="n">
        <v>5.8201</v>
      </c>
      <c r="I19" s="187" t="n">
        <v>18420</v>
      </c>
      <c r="J19" s="188" t="n">
        <v>9.8212</v>
      </c>
      <c r="K19" s="189" t="n">
        <v>15.2</v>
      </c>
      <c r="L19" s="190" t="n">
        <v>0</v>
      </c>
      <c r="M19" s="190" t="n">
        <v>1</v>
      </c>
      <c r="N19" s="188" t="n">
        <v>72.89</v>
      </c>
      <c r="O19" s="187" t="n">
        <v>894470</v>
      </c>
    </row>
    <row r="20" customFormat="false" ht="12.75" hidden="false" customHeight="true" outlineLevel="0" collapsed="false">
      <c r="B20" s="191" t="s">
        <v>15</v>
      </c>
      <c r="C20" s="192" t="n">
        <v>2021</v>
      </c>
      <c r="D20" s="193" t="n">
        <v>13.01</v>
      </c>
      <c r="E20" s="193" t="n">
        <v>59.99</v>
      </c>
      <c r="F20" s="194" t="n">
        <v>1142</v>
      </c>
      <c r="G20" s="195" t="n">
        <v>4.7707</v>
      </c>
      <c r="H20" s="195" t="n">
        <v>6.2989</v>
      </c>
      <c r="I20" s="194" t="n">
        <v>23569</v>
      </c>
      <c r="J20" s="195" t="n">
        <v>10.0677</v>
      </c>
      <c r="K20" s="196" t="n">
        <v>15.3</v>
      </c>
      <c r="L20" s="197" t="n">
        <v>0</v>
      </c>
      <c r="M20" s="197" t="n">
        <v>1</v>
      </c>
      <c r="N20" s="195" t="n">
        <v>72.89</v>
      </c>
      <c r="O20" s="194" t="n">
        <v>906876</v>
      </c>
    </row>
    <row r="21" customFormat="false" ht="12.75" hidden="false" customHeight="true" outlineLevel="0" collapsed="false">
      <c r="B21" s="184" t="s">
        <v>15</v>
      </c>
      <c r="C21" s="185" t="n">
        <v>2022</v>
      </c>
      <c r="D21" s="186" t="n">
        <v>17.23</v>
      </c>
      <c r="E21" s="186" t="n">
        <v>72.89</v>
      </c>
      <c r="F21" s="187" t="n">
        <v>1747</v>
      </c>
      <c r="G21" s="188" t="n">
        <v>4.9628</v>
      </c>
      <c r="H21" s="188" t="n">
        <v>6.4052</v>
      </c>
      <c r="I21" s="187" t="n">
        <v>28525</v>
      </c>
      <c r="J21" s="188" t="n">
        <v>10.2585</v>
      </c>
      <c r="K21" s="189" t="n">
        <v>11.6</v>
      </c>
      <c r="L21" s="190" t="n">
        <v>0</v>
      </c>
      <c r="M21" s="190" t="n">
        <v>0</v>
      </c>
      <c r="N21" s="188" t="n">
        <v>72.89</v>
      </c>
      <c r="O21" s="187" t="n">
        <v>830018</v>
      </c>
    </row>
    <row r="22" customFormat="false" ht="12.75" hidden="false" customHeight="true" outlineLevel="0" collapsed="false">
      <c r="B22" s="191" t="s">
        <v>15</v>
      </c>
      <c r="C22" s="192" t="n">
        <v>2023</v>
      </c>
      <c r="D22" s="193" t="n">
        <v>15.66</v>
      </c>
      <c r="E22" s="193" t="n">
        <v>0.12</v>
      </c>
      <c r="F22" s="194" t="n">
        <v>1748</v>
      </c>
      <c r="G22" s="195" t="n">
        <v>4.8675</v>
      </c>
      <c r="H22" s="195" t="n">
        <v>0</v>
      </c>
      <c r="I22" s="194" t="n">
        <v>31676</v>
      </c>
      <c r="J22" s="195" t="n">
        <v>10.3633</v>
      </c>
      <c r="K22" s="196" t="n">
        <v>7.9</v>
      </c>
      <c r="L22" s="197" t="n">
        <v>1</v>
      </c>
      <c r="M22" s="197" t="n">
        <v>0</v>
      </c>
      <c r="N22" s="195" t="n">
        <v>72.89</v>
      </c>
      <c r="O22" s="194" t="n">
        <v>830018</v>
      </c>
    </row>
    <row r="23" customFormat="false" ht="12.75" hidden="false" customHeight="true" outlineLevel="0" collapsed="false">
      <c r="B23" s="184" t="s">
        <v>15</v>
      </c>
      <c r="C23" s="185" t="n">
        <v>2024</v>
      </c>
      <c r="D23" s="186" t="n">
        <v>11.13</v>
      </c>
      <c r="E23" s="186" t="n">
        <v>4.43</v>
      </c>
      <c r="F23" s="187" t="n">
        <v>1787</v>
      </c>
      <c r="G23" s="188" t="n">
        <v>4.585</v>
      </c>
      <c r="H23" s="188" t="n">
        <v>3.6636</v>
      </c>
      <c r="I23" s="187" t="n">
        <v>32220</v>
      </c>
      <c r="J23" s="188" t="n">
        <v>10.3803</v>
      </c>
      <c r="K23" s="189" t="n">
        <v>7.9</v>
      </c>
      <c r="L23" s="190" t="n">
        <v>1</v>
      </c>
      <c r="M23" s="190" t="n">
        <v>0</v>
      </c>
      <c r="N23" s="188" t="n">
        <v>72.89</v>
      </c>
      <c r="O23" s="187" t="n">
        <v>880631</v>
      </c>
    </row>
    <row r="24" customFormat="false" ht="12.75" hidden="false" customHeight="true" outlineLevel="0" collapsed="false">
      <c r="B24" s="170" t="s">
        <v>16</v>
      </c>
      <c r="C24" s="171" t="n">
        <v>2005</v>
      </c>
      <c r="D24" s="172" t="n">
        <v>30.31</v>
      </c>
      <c r="E24" s="172" t="n">
        <v>0.07</v>
      </c>
      <c r="F24" s="173" t="n">
        <v>2</v>
      </c>
      <c r="G24" s="174" t="n">
        <v>6.8178</v>
      </c>
      <c r="H24" s="174" t="n">
        <v>0.6931</v>
      </c>
      <c r="I24" s="173" t="n">
        <v>4688</v>
      </c>
      <c r="J24" s="174" t="n">
        <v>8.4528</v>
      </c>
      <c r="K24" s="175" t="n">
        <v>9.78</v>
      </c>
      <c r="L24" s="176" t="n">
        <v>0</v>
      </c>
      <c r="M24" s="176" t="n">
        <v>0</v>
      </c>
      <c r="N24" s="174" t="n">
        <v>111.5203</v>
      </c>
      <c r="O24" s="173" t="n">
        <v>3015912</v>
      </c>
    </row>
    <row r="25" customFormat="false" ht="12.75" hidden="false" customHeight="true" outlineLevel="0" collapsed="false">
      <c r="B25" s="177" t="s">
        <v>16</v>
      </c>
      <c r="C25" s="178" t="n">
        <v>2006</v>
      </c>
      <c r="D25" s="179" t="n">
        <v>42.74</v>
      </c>
      <c r="E25" s="179" t="n">
        <v>0</v>
      </c>
      <c r="F25" s="180" t="n">
        <v>2</v>
      </c>
      <c r="G25" s="181" t="n">
        <v>7.1732</v>
      </c>
      <c r="H25" s="181"/>
      <c r="I25" s="180" t="n">
        <v>5162</v>
      </c>
      <c r="J25" s="181" t="n">
        <v>8.5491</v>
      </c>
      <c r="K25" s="182" t="n">
        <v>10.64</v>
      </c>
      <c r="L25" s="183" t="n">
        <v>0</v>
      </c>
      <c r="M25" s="183" t="n">
        <v>0</v>
      </c>
      <c r="N25" s="181" t="n">
        <v>111.5203</v>
      </c>
      <c r="O25" s="180" t="n">
        <v>3050652</v>
      </c>
    </row>
    <row r="26" customFormat="false" ht="12.75" hidden="false" customHeight="true" outlineLevel="0" collapsed="false">
      <c r="B26" s="170" t="s">
        <v>16</v>
      </c>
      <c r="C26" s="171" t="n">
        <v>2007</v>
      </c>
      <c r="D26" s="172" t="n">
        <v>51.2</v>
      </c>
      <c r="E26" s="172" t="n">
        <v>0</v>
      </c>
      <c r="F26" s="173" t="n">
        <v>2</v>
      </c>
      <c r="G26" s="174" t="n">
        <v>7.3492</v>
      </c>
      <c r="H26" s="174"/>
      <c r="I26" s="173" t="n">
        <v>5858</v>
      </c>
      <c r="J26" s="174" t="n">
        <v>8.6756</v>
      </c>
      <c r="K26" s="175" t="n">
        <v>8.36</v>
      </c>
      <c r="L26" s="176" t="n">
        <v>0</v>
      </c>
      <c r="M26" s="176" t="n">
        <v>0</v>
      </c>
      <c r="N26" s="174" t="n">
        <v>111.5203</v>
      </c>
      <c r="O26" s="173" t="n">
        <v>3037231</v>
      </c>
    </row>
    <row r="27" customFormat="false" ht="12.75" hidden="false" customHeight="true" outlineLevel="0" collapsed="false">
      <c r="B27" s="177" t="s">
        <v>16</v>
      </c>
      <c r="C27" s="178" t="n">
        <v>2008</v>
      </c>
      <c r="D27" s="179" t="n">
        <v>51.16</v>
      </c>
      <c r="E27" s="179" t="n">
        <v>0.06</v>
      </c>
      <c r="F27" s="180" t="n">
        <v>4</v>
      </c>
      <c r="G27" s="181" t="n">
        <v>7.3778</v>
      </c>
      <c r="H27" s="181" t="n">
        <v>0.6931</v>
      </c>
      <c r="I27" s="180" t="n">
        <v>6228</v>
      </c>
      <c r="J27" s="181" t="n">
        <v>8.7368</v>
      </c>
      <c r="K27" s="182" t="n">
        <v>8.01</v>
      </c>
      <c r="L27" s="183" t="n">
        <v>0</v>
      </c>
      <c r="M27" s="183" t="n">
        <v>0</v>
      </c>
      <c r="N27" s="181" t="n">
        <v>111.5203</v>
      </c>
      <c r="O27" s="180" t="n">
        <v>3127560</v>
      </c>
    </row>
    <row r="28" customFormat="false" ht="12.75" hidden="false" customHeight="true" outlineLevel="0" collapsed="false">
      <c r="B28" s="170" t="s">
        <v>16</v>
      </c>
      <c r="C28" s="171" t="n">
        <v>2009</v>
      </c>
      <c r="D28" s="172" t="n">
        <v>49.71</v>
      </c>
      <c r="E28" s="172" t="n">
        <v>0.1</v>
      </c>
      <c r="F28" s="173" t="n">
        <v>7</v>
      </c>
      <c r="G28" s="174" t="n">
        <v>7.3582</v>
      </c>
      <c r="H28" s="174" t="n">
        <v>1.0986</v>
      </c>
      <c r="I28" s="173" t="n">
        <v>6728</v>
      </c>
      <c r="J28" s="174" t="n">
        <v>8.814</v>
      </c>
      <c r="K28" s="175" t="n">
        <v>12.13</v>
      </c>
      <c r="L28" s="176" t="n">
        <v>0</v>
      </c>
      <c r="M28" s="176" t="n">
        <v>0</v>
      </c>
      <c r="N28" s="174" t="n">
        <v>111.5203</v>
      </c>
      <c r="O28" s="173" t="n">
        <v>3156108</v>
      </c>
    </row>
    <row r="29" customFormat="false" ht="12.75" hidden="false" customHeight="true" outlineLevel="0" collapsed="false">
      <c r="B29" s="177" t="s">
        <v>16</v>
      </c>
      <c r="C29" s="178" t="n">
        <v>2010</v>
      </c>
      <c r="D29" s="179" t="n">
        <v>55.15</v>
      </c>
      <c r="E29" s="179" t="n">
        <v>0.26</v>
      </c>
      <c r="F29" s="180" t="n">
        <v>15</v>
      </c>
      <c r="G29" s="181" t="n">
        <v>7.4507</v>
      </c>
      <c r="H29" s="181" t="n">
        <v>2.0794</v>
      </c>
      <c r="I29" s="180" t="n">
        <v>8695</v>
      </c>
      <c r="J29" s="181" t="n">
        <v>9.0705</v>
      </c>
      <c r="K29" s="182" t="n">
        <v>11.27</v>
      </c>
      <c r="L29" s="183" t="n">
        <v>0</v>
      </c>
      <c r="M29" s="183" t="n">
        <v>0</v>
      </c>
      <c r="N29" s="181" t="n">
        <v>111.5203</v>
      </c>
      <c r="O29" s="180" t="n">
        <v>3120494</v>
      </c>
    </row>
    <row r="30" customFormat="false" ht="12.75" hidden="false" customHeight="true" outlineLevel="0" collapsed="false">
      <c r="B30" s="170" t="s">
        <v>16</v>
      </c>
      <c r="C30" s="171" t="n">
        <v>2011</v>
      </c>
      <c r="D30" s="172" t="n">
        <v>61.62</v>
      </c>
      <c r="E30" s="172" t="n">
        <v>0.35</v>
      </c>
      <c r="F30" s="173" t="n">
        <v>26</v>
      </c>
      <c r="G30" s="174" t="n">
        <v>7.5689</v>
      </c>
      <c r="H30" s="174" t="n">
        <v>2.3979</v>
      </c>
      <c r="I30" s="173" t="n">
        <v>10071</v>
      </c>
      <c r="J30" s="174" t="n">
        <v>9.2174</v>
      </c>
      <c r="K30" s="175" t="n">
        <v>10.41</v>
      </c>
      <c r="L30" s="176" t="n">
        <v>0</v>
      </c>
      <c r="M30" s="176" t="n">
        <v>0</v>
      </c>
      <c r="N30" s="174" t="n">
        <v>111.5203</v>
      </c>
      <c r="O30" s="173" t="n">
        <v>3143384</v>
      </c>
    </row>
    <row r="31" customFormat="false" ht="12.75" hidden="false" customHeight="true" outlineLevel="0" collapsed="false">
      <c r="B31" s="177" t="s">
        <v>16</v>
      </c>
      <c r="C31" s="178" t="n">
        <v>2012</v>
      </c>
      <c r="D31" s="179" t="n">
        <v>54.87</v>
      </c>
      <c r="E31" s="179" t="n">
        <v>0.47</v>
      </c>
      <c r="F31" s="180" t="n">
        <v>41</v>
      </c>
      <c r="G31" s="181" t="n">
        <v>7.4599</v>
      </c>
      <c r="H31" s="181" t="n">
        <v>2.7081</v>
      </c>
      <c r="I31" s="180" t="n">
        <v>10946</v>
      </c>
      <c r="J31" s="181" t="n">
        <v>9.3007</v>
      </c>
      <c r="K31" s="182" t="n">
        <v>12.24</v>
      </c>
      <c r="L31" s="183" t="n">
        <v>0</v>
      </c>
      <c r="M31" s="183" t="n">
        <v>0</v>
      </c>
      <c r="N31" s="181" t="n">
        <v>111.5203</v>
      </c>
      <c r="O31" s="180" t="n">
        <v>3165472</v>
      </c>
    </row>
    <row r="32" customFormat="false" ht="12.75" hidden="false" customHeight="true" outlineLevel="0" collapsed="false">
      <c r="B32" s="170" t="s">
        <v>16</v>
      </c>
      <c r="C32" s="171" t="n">
        <v>2013</v>
      </c>
      <c r="D32" s="172" t="n">
        <v>56.71</v>
      </c>
      <c r="E32" s="172" t="n">
        <v>0.27</v>
      </c>
      <c r="F32" s="173" t="n">
        <v>50</v>
      </c>
      <c r="G32" s="174" t="n">
        <v>7.5348</v>
      </c>
      <c r="H32" s="174" t="n">
        <v>2.1972</v>
      </c>
      <c r="I32" s="173" t="n">
        <v>11295</v>
      </c>
      <c r="J32" s="174" t="n">
        <v>9.3321</v>
      </c>
      <c r="K32" s="175" t="n">
        <v>13.19</v>
      </c>
      <c r="L32" s="176" t="n">
        <v>0</v>
      </c>
      <c r="M32" s="176" t="n">
        <v>0</v>
      </c>
      <c r="N32" s="174" t="n">
        <v>111.5203</v>
      </c>
      <c r="O32" s="173" t="n">
        <v>3300935</v>
      </c>
    </row>
    <row r="33" customFormat="false" ht="12.75" hidden="false" customHeight="true" outlineLevel="0" collapsed="false">
      <c r="B33" s="177" t="s">
        <v>16</v>
      </c>
      <c r="C33" s="178" t="n">
        <v>2014</v>
      </c>
      <c r="D33" s="179" t="n">
        <v>54.82</v>
      </c>
      <c r="E33" s="179" t="n">
        <v>0.18</v>
      </c>
      <c r="F33" s="180" t="n">
        <v>56</v>
      </c>
      <c r="G33" s="181" t="n">
        <v>7.5071</v>
      </c>
      <c r="H33" s="181" t="n">
        <v>1.7918</v>
      </c>
      <c r="I33" s="180" t="n">
        <v>12335</v>
      </c>
      <c r="J33" s="181" t="n">
        <v>9.4202</v>
      </c>
      <c r="K33" s="182" t="n">
        <v>13.13</v>
      </c>
      <c r="L33" s="183" t="n">
        <v>0</v>
      </c>
      <c r="M33" s="183" t="n">
        <v>0</v>
      </c>
      <c r="N33" s="181" t="n">
        <v>111.5203</v>
      </c>
      <c r="O33" s="180" t="n">
        <v>3321730</v>
      </c>
    </row>
    <row r="34" customFormat="false" ht="12.75" hidden="false" customHeight="true" outlineLevel="0" collapsed="false">
      <c r="B34" s="170" t="s">
        <v>16</v>
      </c>
      <c r="C34" s="171" t="n">
        <v>2015</v>
      </c>
      <c r="D34" s="172" t="n">
        <v>44.36</v>
      </c>
      <c r="E34" s="172" t="n">
        <v>0.03</v>
      </c>
      <c r="F34" s="173" t="n">
        <v>57</v>
      </c>
      <c r="G34" s="174" t="n">
        <v>7.3011</v>
      </c>
      <c r="H34" s="174" t="n">
        <v>0</v>
      </c>
      <c r="I34" s="173" t="n">
        <v>13879</v>
      </c>
      <c r="J34" s="174" t="n">
        <v>9.5381</v>
      </c>
      <c r="K34" s="175" t="n">
        <v>11.3</v>
      </c>
      <c r="L34" s="176" t="n">
        <v>0</v>
      </c>
      <c r="M34" s="176" t="n">
        <v>0</v>
      </c>
      <c r="N34" s="174" t="n">
        <v>111.5203</v>
      </c>
      <c r="O34" s="173" t="n">
        <v>3340932</v>
      </c>
    </row>
    <row r="35" customFormat="false" ht="12.75" hidden="false" customHeight="true" outlineLevel="0" collapsed="false">
      <c r="B35" s="184" t="s">
        <v>16</v>
      </c>
      <c r="C35" s="185" t="n">
        <v>2016</v>
      </c>
      <c r="D35" s="186" t="n">
        <v>46.03</v>
      </c>
      <c r="E35" s="186" t="n">
        <v>0.8</v>
      </c>
      <c r="F35" s="187" t="n">
        <v>84</v>
      </c>
      <c r="G35" s="188" t="n">
        <v>7.3434</v>
      </c>
      <c r="H35" s="188" t="n">
        <v>3.2958</v>
      </c>
      <c r="I35" s="187" t="n">
        <v>14727</v>
      </c>
      <c r="J35" s="188" t="n">
        <v>9.5974</v>
      </c>
      <c r="K35" s="189" t="n">
        <v>14.2</v>
      </c>
      <c r="L35" s="190" t="n">
        <v>0</v>
      </c>
      <c r="M35" s="190" t="n">
        <v>0</v>
      </c>
      <c r="N35" s="188" t="n">
        <v>111.5203</v>
      </c>
      <c r="O35" s="187" t="n">
        <v>3358963</v>
      </c>
    </row>
    <row r="36" customFormat="false" ht="12.75" hidden="false" customHeight="true" outlineLevel="0" collapsed="false">
      <c r="B36" s="191" t="s">
        <v>16</v>
      </c>
      <c r="C36" s="192" t="n">
        <v>2017</v>
      </c>
      <c r="D36" s="193" t="n">
        <v>45.56</v>
      </c>
      <c r="E36" s="193" t="n">
        <v>2.28</v>
      </c>
      <c r="F36" s="194" t="n">
        <v>161</v>
      </c>
      <c r="G36" s="195" t="n">
        <v>7.3382</v>
      </c>
      <c r="H36" s="195" t="n">
        <v>4.3438</v>
      </c>
      <c r="I36" s="194" t="n">
        <v>15656</v>
      </c>
      <c r="J36" s="195" t="n">
        <v>9.6586</v>
      </c>
      <c r="K36" s="196" t="n">
        <v>16.9</v>
      </c>
      <c r="L36" s="197" t="n">
        <v>0</v>
      </c>
      <c r="M36" s="197" t="n">
        <v>0</v>
      </c>
      <c r="N36" s="195" t="n">
        <v>111.5203</v>
      </c>
      <c r="O36" s="194" t="n">
        <v>3375823</v>
      </c>
    </row>
    <row r="37" customFormat="false" ht="12.75" hidden="false" customHeight="true" outlineLevel="0" collapsed="false">
      <c r="B37" s="184" t="s">
        <v>16</v>
      </c>
      <c r="C37" s="185" t="n">
        <v>2018</v>
      </c>
      <c r="D37" s="186" t="n">
        <v>36.08</v>
      </c>
      <c r="E37" s="186" t="n">
        <v>3.64</v>
      </c>
      <c r="F37" s="187" t="n">
        <v>282</v>
      </c>
      <c r="G37" s="188" t="n">
        <v>7.0892</v>
      </c>
      <c r="H37" s="188" t="n">
        <v>4.7958</v>
      </c>
      <c r="I37" s="187" t="n">
        <v>16376</v>
      </c>
      <c r="J37" s="188" t="n">
        <v>9.7036</v>
      </c>
      <c r="K37" s="189" t="n">
        <v>17.3</v>
      </c>
      <c r="L37" s="190" t="n">
        <v>0</v>
      </c>
      <c r="M37" s="190" t="n">
        <v>0</v>
      </c>
      <c r="N37" s="188" t="n">
        <v>111.5203</v>
      </c>
      <c r="O37" s="187" t="n">
        <v>3322820</v>
      </c>
    </row>
    <row r="38" customFormat="false" ht="12.75" hidden="false" customHeight="true" outlineLevel="0" collapsed="false">
      <c r="B38" s="191" t="s">
        <v>16</v>
      </c>
      <c r="C38" s="192" t="n">
        <v>2019</v>
      </c>
      <c r="D38" s="193" t="n">
        <v>25.68</v>
      </c>
      <c r="E38" s="193" t="n">
        <v>21.63</v>
      </c>
      <c r="F38" s="194" t="n">
        <v>1004</v>
      </c>
      <c r="G38" s="195" t="n">
        <v>6.7534</v>
      </c>
      <c r="H38" s="195" t="n">
        <v>6.582</v>
      </c>
      <c r="I38" s="194" t="n">
        <v>17668</v>
      </c>
      <c r="J38" s="195" t="n">
        <v>9.7795</v>
      </c>
      <c r="K38" s="196" t="n">
        <v>15.1</v>
      </c>
      <c r="L38" s="197" t="n">
        <v>0</v>
      </c>
      <c r="M38" s="197" t="n">
        <v>0</v>
      </c>
      <c r="N38" s="195" t="n">
        <v>111.5203</v>
      </c>
      <c r="O38" s="194" t="n">
        <v>3337357</v>
      </c>
    </row>
    <row r="39" customFormat="false" ht="12.75" hidden="false" customHeight="true" outlineLevel="0" collapsed="false">
      <c r="B39" s="184" t="s">
        <v>16</v>
      </c>
      <c r="C39" s="185" t="n">
        <v>2020</v>
      </c>
      <c r="D39" s="186" t="n">
        <v>25.78</v>
      </c>
      <c r="E39" s="186" t="n">
        <v>37.62</v>
      </c>
      <c r="F39" s="187" t="n">
        <v>2265</v>
      </c>
      <c r="G39" s="188" t="n">
        <v>6.7616</v>
      </c>
      <c r="H39" s="188" t="n">
        <v>7.1397</v>
      </c>
      <c r="I39" s="187" t="n">
        <v>18858</v>
      </c>
      <c r="J39" s="188" t="n">
        <v>9.8447</v>
      </c>
      <c r="K39" s="189" t="n">
        <v>19.1</v>
      </c>
      <c r="L39" s="190" t="n">
        <v>0</v>
      </c>
      <c r="M39" s="190" t="n">
        <v>1</v>
      </c>
      <c r="N39" s="188" t="n">
        <v>111.5203</v>
      </c>
      <c r="O39" s="187" t="n">
        <v>3351543</v>
      </c>
    </row>
    <row r="40" customFormat="false" ht="12.75" hidden="false" customHeight="true" outlineLevel="0" collapsed="false">
      <c r="B40" s="191" t="s">
        <v>16</v>
      </c>
      <c r="C40" s="192" t="n">
        <v>2021</v>
      </c>
      <c r="D40" s="193" t="n">
        <v>21.78</v>
      </c>
      <c r="E40" s="193" t="n">
        <v>76.87</v>
      </c>
      <c r="F40" s="194" t="n">
        <v>4852</v>
      </c>
      <c r="G40" s="195" t="n">
        <v>6.5971</v>
      </c>
      <c r="H40" s="195" t="n">
        <v>7.8583</v>
      </c>
      <c r="I40" s="194" t="n">
        <v>22662</v>
      </c>
      <c r="J40" s="195" t="n">
        <v>10.0284</v>
      </c>
      <c r="K40" s="196" t="n">
        <v>17.8</v>
      </c>
      <c r="L40" s="197" t="n">
        <v>0</v>
      </c>
      <c r="M40" s="197" t="n">
        <v>1</v>
      </c>
      <c r="N40" s="195" t="n">
        <v>111.5203</v>
      </c>
      <c r="O40" s="194" t="n">
        <v>3365351</v>
      </c>
    </row>
    <row r="41" customFormat="false" ht="12.75" hidden="false" customHeight="true" outlineLevel="0" collapsed="false">
      <c r="B41" s="184" t="s">
        <v>16</v>
      </c>
      <c r="C41" s="185" t="n">
        <v>2022</v>
      </c>
      <c r="D41" s="186" t="n">
        <v>26.47</v>
      </c>
      <c r="E41" s="186" t="n">
        <v>111.52</v>
      </c>
      <c r="F41" s="187" t="n">
        <v>8340</v>
      </c>
      <c r="G41" s="188" t="n">
        <v>6.719</v>
      </c>
      <c r="H41" s="188" t="n">
        <v>8.1571</v>
      </c>
      <c r="I41" s="187" t="n">
        <v>24320</v>
      </c>
      <c r="J41" s="188" t="n">
        <v>10.0991</v>
      </c>
      <c r="K41" s="189" t="n">
        <v>11.2</v>
      </c>
      <c r="L41" s="190" t="n">
        <v>0</v>
      </c>
      <c r="M41" s="190" t="n">
        <v>0</v>
      </c>
      <c r="N41" s="188" t="n">
        <v>111.5203</v>
      </c>
      <c r="O41" s="187" t="n">
        <v>3127683</v>
      </c>
    </row>
    <row r="42" customFormat="false" ht="12.75" hidden="false" customHeight="true" outlineLevel="0" collapsed="false">
      <c r="B42" s="191" t="s">
        <v>16</v>
      </c>
      <c r="C42" s="192" t="n">
        <v>2023</v>
      </c>
      <c r="D42" s="193" t="n">
        <v>28.46</v>
      </c>
      <c r="E42" s="193" t="n">
        <v>0.13</v>
      </c>
      <c r="F42" s="194" t="n">
        <v>8344</v>
      </c>
      <c r="G42" s="195" t="n">
        <v>6.7912</v>
      </c>
      <c r="H42" s="195" t="n">
        <v>1.3863</v>
      </c>
      <c r="I42" s="194" t="n">
        <v>28676</v>
      </c>
      <c r="J42" s="195" t="n">
        <v>10.2638</v>
      </c>
      <c r="K42" s="196" t="n">
        <v>9.6</v>
      </c>
      <c r="L42" s="197" t="n">
        <v>1</v>
      </c>
      <c r="M42" s="197" t="n">
        <v>0</v>
      </c>
      <c r="N42" s="195" t="n">
        <v>111.5203</v>
      </c>
      <c r="O42" s="194" t="n">
        <v>3127683</v>
      </c>
    </row>
    <row r="43" customFormat="false" ht="12.75" hidden="false" customHeight="true" outlineLevel="0" collapsed="false">
      <c r="B43" s="184" t="s">
        <v>16</v>
      </c>
      <c r="C43" s="185" t="n">
        <v>2024</v>
      </c>
      <c r="D43" s="186" t="n">
        <v>27.61</v>
      </c>
      <c r="E43" s="186" t="n">
        <v>16.52</v>
      </c>
      <c r="F43" s="187" t="n">
        <v>8876</v>
      </c>
      <c r="G43" s="188" t="n">
        <v>6.7901</v>
      </c>
      <c r="H43" s="188" t="n">
        <v>6.2766</v>
      </c>
      <c r="I43" s="187" t="n">
        <v>30268</v>
      </c>
      <c r="J43" s="188" t="n">
        <v>10.3178</v>
      </c>
      <c r="K43" s="189" t="n">
        <v>8.6</v>
      </c>
      <c r="L43" s="190" t="n">
        <v>1</v>
      </c>
      <c r="M43" s="190" t="n">
        <v>0</v>
      </c>
      <c r="N43" s="188" t="n">
        <v>111.5203</v>
      </c>
      <c r="O43" s="187" t="n">
        <v>3220104</v>
      </c>
    </row>
    <row r="44" customFormat="false" ht="12.75" hidden="false" customHeight="true" outlineLevel="0" collapsed="false">
      <c r="B44" s="170" t="s">
        <v>17</v>
      </c>
      <c r="C44" s="171" t="n">
        <v>2005</v>
      </c>
      <c r="D44" s="172" t="n">
        <v>8.17</v>
      </c>
      <c r="E44" s="172" t="n">
        <v>0.34</v>
      </c>
      <c r="F44" s="173" t="n">
        <v>11</v>
      </c>
      <c r="G44" s="174" t="n">
        <v>5.5759</v>
      </c>
      <c r="H44" s="174" t="n">
        <v>2.3979</v>
      </c>
      <c r="I44" s="173" t="n">
        <v>10318</v>
      </c>
      <c r="J44" s="174" t="n">
        <v>9.2416</v>
      </c>
      <c r="K44" s="175" t="n">
        <v>12.83</v>
      </c>
      <c r="L44" s="176" t="n">
        <v>0</v>
      </c>
      <c r="M44" s="176" t="n">
        <v>0</v>
      </c>
      <c r="N44" s="174" t="n">
        <v>101.6081</v>
      </c>
      <c r="O44" s="173" t="n">
        <v>3232330</v>
      </c>
    </row>
    <row r="45" customFormat="false" ht="12.75" hidden="false" customHeight="true" outlineLevel="0" collapsed="false">
      <c r="B45" s="177" t="s">
        <v>17</v>
      </c>
      <c r="C45" s="178" t="n">
        <v>2006</v>
      </c>
      <c r="D45" s="179" t="n">
        <v>11.39</v>
      </c>
      <c r="E45" s="179" t="n">
        <v>0.18</v>
      </c>
      <c r="F45" s="180" t="n">
        <v>17</v>
      </c>
      <c r="G45" s="181" t="n">
        <v>5.9322</v>
      </c>
      <c r="H45" s="181" t="n">
        <v>1.7918</v>
      </c>
      <c r="I45" s="180" t="n">
        <v>11826</v>
      </c>
      <c r="J45" s="181" t="n">
        <v>9.3781</v>
      </c>
      <c r="K45" s="182" t="n">
        <v>9.43</v>
      </c>
      <c r="L45" s="183" t="n">
        <v>0</v>
      </c>
      <c r="M45" s="183" t="n">
        <v>0</v>
      </c>
      <c r="N45" s="181" t="n">
        <v>101.6081</v>
      </c>
      <c r="O45" s="180" t="n">
        <v>3311026</v>
      </c>
    </row>
    <row r="46" customFormat="false" ht="12.75" hidden="false" customHeight="true" outlineLevel="0" collapsed="false">
      <c r="B46" s="170" t="s">
        <v>17</v>
      </c>
      <c r="C46" s="171" t="n">
        <v>2007</v>
      </c>
      <c r="D46" s="172" t="n">
        <v>12.82</v>
      </c>
      <c r="E46" s="172" t="n">
        <v>0.43</v>
      </c>
      <c r="F46" s="173" t="n">
        <v>31</v>
      </c>
      <c r="G46" s="174" t="n">
        <v>6.0234</v>
      </c>
      <c r="H46" s="174" t="n">
        <v>2.6391</v>
      </c>
      <c r="I46" s="173" t="n">
        <v>13043</v>
      </c>
      <c r="J46" s="174" t="n">
        <v>9.476</v>
      </c>
      <c r="K46" s="175" t="n">
        <v>12.24</v>
      </c>
      <c r="L46" s="176" t="n">
        <v>0</v>
      </c>
      <c r="M46" s="176" t="n">
        <v>0</v>
      </c>
      <c r="N46" s="174" t="n">
        <v>101.6081</v>
      </c>
      <c r="O46" s="173" t="n">
        <v>3221940</v>
      </c>
    </row>
    <row r="47" customFormat="false" ht="12.75" hidden="false" customHeight="true" outlineLevel="0" collapsed="false">
      <c r="B47" s="177" t="s">
        <v>17</v>
      </c>
      <c r="C47" s="178" t="n">
        <v>2008</v>
      </c>
      <c r="D47" s="179" t="n">
        <v>13.35</v>
      </c>
      <c r="E47" s="179" t="n">
        <v>0.27</v>
      </c>
      <c r="F47" s="180" t="n">
        <v>40</v>
      </c>
      <c r="G47" s="181" t="n">
        <v>6.1003</v>
      </c>
      <c r="H47" s="181" t="n">
        <v>2.1972</v>
      </c>
      <c r="I47" s="180" t="n">
        <v>14014</v>
      </c>
      <c r="J47" s="181" t="n">
        <v>9.5478</v>
      </c>
      <c r="K47" s="182" t="n">
        <v>10.01</v>
      </c>
      <c r="L47" s="183" t="n">
        <v>0</v>
      </c>
      <c r="M47" s="183" t="n">
        <v>0</v>
      </c>
      <c r="N47" s="181" t="n">
        <v>101.6081</v>
      </c>
      <c r="O47" s="180" t="n">
        <v>3341094</v>
      </c>
    </row>
    <row r="48" customFormat="false" ht="12.75" hidden="false" customHeight="true" outlineLevel="0" collapsed="false">
      <c r="B48" s="170" t="s">
        <v>17</v>
      </c>
      <c r="C48" s="171" t="n">
        <v>2009</v>
      </c>
      <c r="D48" s="172" t="n">
        <v>16.83</v>
      </c>
      <c r="E48" s="172" t="n">
        <v>0.74</v>
      </c>
      <c r="F48" s="173" t="n">
        <v>65</v>
      </c>
      <c r="G48" s="174" t="n">
        <v>6.3474</v>
      </c>
      <c r="H48" s="174" t="n">
        <v>3.2189</v>
      </c>
      <c r="I48" s="173" t="n">
        <v>14621</v>
      </c>
      <c r="J48" s="174" t="n">
        <v>9.5902</v>
      </c>
      <c r="K48" s="175" t="n">
        <v>12.44</v>
      </c>
      <c r="L48" s="176" t="n">
        <v>0</v>
      </c>
      <c r="M48" s="176" t="n">
        <v>0</v>
      </c>
      <c r="N48" s="174" t="n">
        <v>101.6081</v>
      </c>
      <c r="O48" s="173" t="n">
        <v>3393369</v>
      </c>
    </row>
    <row r="49" customFormat="false" ht="12.75" hidden="false" customHeight="true" outlineLevel="0" collapsed="false">
      <c r="B49" s="177" t="s">
        <v>17</v>
      </c>
      <c r="C49" s="178" t="n">
        <v>2010</v>
      </c>
      <c r="D49" s="179" t="n">
        <v>18.17</v>
      </c>
      <c r="E49" s="179" t="n">
        <v>0.46</v>
      </c>
      <c r="F49" s="180" t="n">
        <v>81</v>
      </c>
      <c r="G49" s="181" t="n">
        <v>6.4505</v>
      </c>
      <c r="H49" s="181" t="n">
        <v>2.7726</v>
      </c>
      <c r="I49" s="180" t="n">
        <v>17473</v>
      </c>
      <c r="J49" s="181" t="n">
        <v>9.7684</v>
      </c>
      <c r="K49" s="182" t="n">
        <v>10.86</v>
      </c>
      <c r="L49" s="183" t="n">
        <v>0</v>
      </c>
      <c r="M49" s="183" t="n">
        <v>0</v>
      </c>
      <c r="N49" s="181" t="n">
        <v>101.6081</v>
      </c>
      <c r="O49" s="180" t="n">
        <v>3483985</v>
      </c>
    </row>
    <row r="50" customFormat="false" ht="12.75" hidden="false" customHeight="true" outlineLevel="0" collapsed="false">
      <c r="B50" s="170" t="s">
        <v>17</v>
      </c>
      <c r="C50" s="171" t="n">
        <v>2011</v>
      </c>
      <c r="D50" s="172" t="n">
        <v>24.84</v>
      </c>
      <c r="E50" s="172" t="n">
        <v>0.54</v>
      </c>
      <c r="F50" s="173" t="n">
        <v>100</v>
      </c>
      <c r="G50" s="174" t="n">
        <v>6.7788</v>
      </c>
      <c r="H50" s="174" t="n">
        <v>2.9444</v>
      </c>
      <c r="I50" s="173" t="n">
        <v>19991</v>
      </c>
      <c r="J50" s="174" t="n">
        <v>9.903</v>
      </c>
      <c r="K50" s="175" t="n">
        <v>9.28</v>
      </c>
      <c r="L50" s="176" t="n">
        <v>0</v>
      </c>
      <c r="M50" s="176" t="n">
        <v>0</v>
      </c>
      <c r="N50" s="174" t="n">
        <v>101.6081</v>
      </c>
      <c r="O50" s="173" t="n">
        <v>3538387</v>
      </c>
    </row>
    <row r="51" customFormat="false" ht="12.75" hidden="false" customHeight="true" outlineLevel="0" collapsed="false">
      <c r="B51" s="177" t="s">
        <v>17</v>
      </c>
      <c r="C51" s="178" t="n">
        <v>2012</v>
      </c>
      <c r="D51" s="179" t="n">
        <v>23.75</v>
      </c>
      <c r="E51" s="179" t="n">
        <v>0.86</v>
      </c>
      <c r="F51" s="180" t="n">
        <v>131</v>
      </c>
      <c r="G51" s="181" t="n">
        <v>6.7488</v>
      </c>
      <c r="H51" s="181" t="n">
        <v>3.434</v>
      </c>
      <c r="I51" s="180" t="n">
        <v>20118</v>
      </c>
      <c r="J51" s="181" t="n">
        <v>9.9094</v>
      </c>
      <c r="K51" s="182" t="n">
        <v>9</v>
      </c>
      <c r="L51" s="183" t="n">
        <v>0</v>
      </c>
      <c r="M51" s="183" t="n">
        <v>0</v>
      </c>
      <c r="N51" s="181" t="n">
        <v>101.6081</v>
      </c>
      <c r="O51" s="180" t="n">
        <v>3590985</v>
      </c>
    </row>
    <row r="52" customFormat="false" ht="12.75" hidden="false" customHeight="true" outlineLevel="0" collapsed="false">
      <c r="B52" s="170" t="s">
        <v>17</v>
      </c>
      <c r="C52" s="171" t="n">
        <v>2013</v>
      </c>
      <c r="D52" s="172" t="n">
        <v>18.17</v>
      </c>
      <c r="E52" s="172" t="n">
        <v>0.42</v>
      </c>
      <c r="F52" s="173" t="n">
        <v>147</v>
      </c>
      <c r="G52" s="174" t="n">
        <v>6.5396</v>
      </c>
      <c r="H52" s="174" t="n">
        <v>2.7726</v>
      </c>
      <c r="I52" s="173" t="n">
        <v>21810</v>
      </c>
      <c r="J52" s="174" t="n">
        <v>9.9901</v>
      </c>
      <c r="K52" s="175" t="n">
        <v>10.19</v>
      </c>
      <c r="L52" s="176" t="n">
        <v>0</v>
      </c>
      <c r="M52" s="176" t="n">
        <v>0</v>
      </c>
      <c r="N52" s="174" t="n">
        <v>101.6081</v>
      </c>
      <c r="O52" s="173" t="n">
        <v>3807921</v>
      </c>
    </row>
    <row r="53" customFormat="false" ht="12.75" hidden="false" customHeight="true" outlineLevel="0" collapsed="false">
      <c r="B53" s="177" t="s">
        <v>17</v>
      </c>
      <c r="C53" s="178" t="n">
        <v>2014</v>
      </c>
      <c r="D53" s="179" t="n">
        <v>19.59</v>
      </c>
      <c r="E53" s="179" t="n">
        <v>0.13</v>
      </c>
      <c r="F53" s="180" t="n">
        <v>152</v>
      </c>
      <c r="G53" s="181" t="n">
        <v>6.632</v>
      </c>
      <c r="H53" s="181" t="n">
        <v>1.6094</v>
      </c>
      <c r="I53" s="180" t="n">
        <v>22373</v>
      </c>
      <c r="J53" s="181" t="n">
        <v>10.0156</v>
      </c>
      <c r="K53" s="182" t="n">
        <v>10.84</v>
      </c>
      <c r="L53" s="183" t="n">
        <v>0</v>
      </c>
      <c r="M53" s="183" t="n">
        <v>0</v>
      </c>
      <c r="N53" s="181" t="n">
        <v>101.6081</v>
      </c>
      <c r="O53" s="180" t="n">
        <v>3873743</v>
      </c>
    </row>
    <row r="54" customFormat="false" ht="12.75" hidden="false" customHeight="true" outlineLevel="0" collapsed="false">
      <c r="B54" s="170" t="s">
        <v>17</v>
      </c>
      <c r="C54" s="171" t="n">
        <v>2015</v>
      </c>
      <c r="D54" s="172" t="n">
        <v>23.54</v>
      </c>
      <c r="E54" s="172" t="n">
        <v>0.41</v>
      </c>
      <c r="F54" s="173" t="n">
        <v>168</v>
      </c>
      <c r="G54" s="174" t="n">
        <v>6.832</v>
      </c>
      <c r="H54" s="174" t="n">
        <v>2.7726</v>
      </c>
      <c r="I54" s="173" t="n">
        <v>21981</v>
      </c>
      <c r="J54" s="174" t="n">
        <v>9.9979</v>
      </c>
      <c r="K54" s="175" t="n">
        <v>9.7</v>
      </c>
      <c r="L54" s="176" t="n">
        <v>0</v>
      </c>
      <c r="M54" s="176" t="n">
        <v>0</v>
      </c>
      <c r="N54" s="174" t="n">
        <v>101.6081</v>
      </c>
      <c r="O54" s="173" t="n">
        <v>3938336</v>
      </c>
    </row>
    <row r="55" customFormat="false" ht="12.75" hidden="false" customHeight="true" outlineLevel="0" collapsed="false">
      <c r="B55" s="184" t="s">
        <v>17</v>
      </c>
      <c r="C55" s="185" t="n">
        <v>2016</v>
      </c>
      <c r="D55" s="186" t="n">
        <v>19.79</v>
      </c>
      <c r="E55" s="186" t="n">
        <v>0.5</v>
      </c>
      <c r="F55" s="187" t="n">
        <v>188</v>
      </c>
      <c r="G55" s="188" t="n">
        <v>6.6746</v>
      </c>
      <c r="H55" s="188" t="n">
        <v>2.9957</v>
      </c>
      <c r="I55" s="187" t="n">
        <v>22251</v>
      </c>
      <c r="J55" s="188" t="n">
        <v>10.0101</v>
      </c>
      <c r="K55" s="189" t="n">
        <v>13.8</v>
      </c>
      <c r="L55" s="190" t="n">
        <v>0</v>
      </c>
      <c r="M55" s="190" t="n">
        <v>0</v>
      </c>
      <c r="N55" s="188" t="n">
        <v>101.6081</v>
      </c>
      <c r="O55" s="187" t="n">
        <v>4001667</v>
      </c>
    </row>
    <row r="56" customFormat="false" ht="12.75" hidden="false" customHeight="true" outlineLevel="0" collapsed="false">
      <c r="B56" s="191" t="s">
        <v>17</v>
      </c>
      <c r="C56" s="192" t="n">
        <v>2017</v>
      </c>
      <c r="D56" s="193" t="n">
        <v>23.85</v>
      </c>
      <c r="E56" s="193" t="n">
        <v>2.17</v>
      </c>
      <c r="F56" s="194" t="n">
        <v>276</v>
      </c>
      <c r="G56" s="195" t="n">
        <v>6.8763</v>
      </c>
      <c r="H56" s="195" t="n">
        <v>4.4773</v>
      </c>
      <c r="I56" s="194" t="n">
        <v>22945</v>
      </c>
      <c r="J56" s="195" t="n">
        <v>10.0409</v>
      </c>
      <c r="K56" s="196" t="n">
        <v>15.9</v>
      </c>
      <c r="L56" s="197" t="n">
        <v>0</v>
      </c>
      <c r="M56" s="197" t="n">
        <v>0</v>
      </c>
      <c r="N56" s="195" t="n">
        <v>101.6081</v>
      </c>
      <c r="O56" s="194" t="n">
        <v>4063614</v>
      </c>
    </row>
    <row r="57" customFormat="false" ht="12.75" hidden="false" customHeight="true" outlineLevel="0" collapsed="false">
      <c r="B57" s="184" t="s">
        <v>17</v>
      </c>
      <c r="C57" s="185" t="n">
        <v>2018</v>
      </c>
      <c r="D57" s="186" t="n">
        <v>23.43</v>
      </c>
      <c r="E57" s="186" t="n">
        <v>4.71</v>
      </c>
      <c r="F57" s="187" t="n">
        <v>468</v>
      </c>
      <c r="G57" s="188" t="n">
        <v>6.8628</v>
      </c>
      <c r="H57" s="188" t="n">
        <v>5.2575</v>
      </c>
      <c r="I57" s="187" t="n">
        <v>24533</v>
      </c>
      <c r="J57" s="188" t="n">
        <v>10.1078</v>
      </c>
      <c r="K57" s="189" t="n">
        <v>14</v>
      </c>
      <c r="L57" s="190" t="n">
        <v>0</v>
      </c>
      <c r="M57" s="190" t="n">
        <v>0</v>
      </c>
      <c r="N57" s="188" t="n">
        <v>101.6081</v>
      </c>
      <c r="O57" s="187" t="n">
        <v>4080611</v>
      </c>
    </row>
    <row r="58" customFormat="false" ht="12.75" hidden="false" customHeight="true" outlineLevel="0" collapsed="false">
      <c r="B58" s="191" t="s">
        <v>17</v>
      </c>
      <c r="C58" s="192" t="n">
        <v>2019</v>
      </c>
      <c r="D58" s="193" t="n">
        <v>23.65</v>
      </c>
      <c r="E58" s="193" t="n">
        <v>9.58</v>
      </c>
      <c r="F58" s="194" t="n">
        <v>865</v>
      </c>
      <c r="G58" s="195" t="n">
        <v>6.8876</v>
      </c>
      <c r="H58" s="195" t="n">
        <v>5.9839</v>
      </c>
      <c r="I58" s="194" t="n">
        <v>26102</v>
      </c>
      <c r="J58" s="195" t="n">
        <v>10.1698</v>
      </c>
      <c r="K58" s="196" t="n">
        <v>14.2</v>
      </c>
      <c r="L58" s="197" t="n">
        <v>0</v>
      </c>
      <c r="M58" s="197" t="n">
        <v>0</v>
      </c>
      <c r="N58" s="195" t="n">
        <v>101.6081</v>
      </c>
      <c r="O58" s="194" t="n">
        <v>4144597</v>
      </c>
    </row>
    <row r="59" customFormat="false" ht="12.75" hidden="false" customHeight="true" outlineLevel="0" collapsed="false">
      <c r="B59" s="184" t="s">
        <v>17</v>
      </c>
      <c r="C59" s="185" t="n">
        <v>2020</v>
      </c>
      <c r="D59" s="186" t="n">
        <v>18.58</v>
      </c>
      <c r="E59" s="186" t="n">
        <v>25.36</v>
      </c>
      <c r="F59" s="187" t="n">
        <v>1932</v>
      </c>
      <c r="G59" s="188" t="n">
        <v>6.6619</v>
      </c>
      <c r="H59" s="188" t="n">
        <v>6.9726</v>
      </c>
      <c r="I59" s="187" t="n">
        <v>27573</v>
      </c>
      <c r="J59" s="188" t="n">
        <v>10.2246</v>
      </c>
      <c r="K59" s="189" t="n">
        <v>16</v>
      </c>
      <c r="L59" s="190" t="n">
        <v>0</v>
      </c>
      <c r="M59" s="190" t="n">
        <v>1</v>
      </c>
      <c r="N59" s="188" t="n">
        <v>101.6081</v>
      </c>
      <c r="O59" s="187" t="n">
        <v>4207714</v>
      </c>
    </row>
    <row r="60" customFormat="false" ht="12.75" hidden="false" customHeight="true" outlineLevel="0" collapsed="false">
      <c r="B60" s="191" t="s">
        <v>17</v>
      </c>
      <c r="C60" s="192" t="n">
        <v>2021</v>
      </c>
      <c r="D60" s="193" t="n">
        <v>29.93</v>
      </c>
      <c r="E60" s="193" t="n">
        <v>50.16</v>
      </c>
      <c r="F60" s="194" t="n">
        <v>4074</v>
      </c>
      <c r="G60" s="195" t="n">
        <v>7.1531</v>
      </c>
      <c r="H60" s="195" t="n">
        <v>7.6695</v>
      </c>
      <c r="I60" s="194" t="n">
        <v>30804</v>
      </c>
      <c r="J60" s="195" t="n">
        <v>10.3354</v>
      </c>
      <c r="K60" s="196" t="n">
        <v>15</v>
      </c>
      <c r="L60" s="197" t="n">
        <v>0</v>
      </c>
      <c r="M60" s="197" t="n">
        <v>1</v>
      </c>
      <c r="N60" s="195" t="n">
        <v>101.6081</v>
      </c>
      <c r="O60" s="194" t="n">
        <v>4269995</v>
      </c>
    </row>
    <row r="61" customFormat="false" ht="12.75" hidden="false" customHeight="true" outlineLevel="0" collapsed="false">
      <c r="B61" s="184" t="s">
        <v>17</v>
      </c>
      <c r="C61" s="185" t="n">
        <v>2022</v>
      </c>
      <c r="D61" s="186" t="n">
        <v>30.32</v>
      </c>
      <c r="E61" s="186" t="n">
        <v>101.61</v>
      </c>
      <c r="F61" s="187" t="n">
        <v>8079</v>
      </c>
      <c r="G61" s="188" t="n">
        <v>7.0859</v>
      </c>
      <c r="H61" s="188" t="n">
        <v>8.2953</v>
      </c>
      <c r="I61" s="187" t="n">
        <v>36823</v>
      </c>
      <c r="J61" s="188" t="n">
        <v>10.5139</v>
      </c>
      <c r="K61" s="189" t="n">
        <v>10.8</v>
      </c>
      <c r="L61" s="190" t="n">
        <v>0</v>
      </c>
      <c r="M61" s="190" t="n">
        <v>0</v>
      </c>
      <c r="N61" s="188" t="n">
        <v>101.6081</v>
      </c>
      <c r="O61" s="187" t="n">
        <v>3941613</v>
      </c>
    </row>
    <row r="62" customFormat="false" ht="12.75" hidden="false" customHeight="true" outlineLevel="0" collapsed="false">
      <c r="B62" s="191" t="s">
        <v>17</v>
      </c>
      <c r="C62" s="192" t="n">
        <v>2023</v>
      </c>
      <c r="D62" s="193" t="n">
        <v>26.69</v>
      </c>
      <c r="E62" s="193" t="n">
        <v>0.41</v>
      </c>
      <c r="F62" s="194" t="n">
        <v>8095</v>
      </c>
      <c r="G62" s="195" t="n">
        <v>6.9584</v>
      </c>
      <c r="H62" s="195" t="n">
        <v>2.7726</v>
      </c>
      <c r="I62" s="194" t="n">
        <v>41048</v>
      </c>
      <c r="J62" s="195" t="n">
        <v>10.6225</v>
      </c>
      <c r="K62" s="196" t="n">
        <v>9.7</v>
      </c>
      <c r="L62" s="197" t="n">
        <v>1</v>
      </c>
      <c r="M62" s="197" t="n">
        <v>0</v>
      </c>
      <c r="N62" s="195" t="n">
        <v>101.6081</v>
      </c>
      <c r="O62" s="194" t="n">
        <v>3941613</v>
      </c>
    </row>
    <row r="63" customFormat="false" ht="12.75" hidden="false" customHeight="true" outlineLevel="0" collapsed="false">
      <c r="B63" s="184" t="s">
        <v>17</v>
      </c>
      <c r="C63" s="185" t="n">
        <v>2024</v>
      </c>
      <c r="D63" s="186" t="n">
        <v>17.71</v>
      </c>
      <c r="E63" s="186" t="n">
        <v>2.85</v>
      </c>
      <c r="F63" s="187" t="n">
        <v>8217</v>
      </c>
      <c r="G63" s="188" t="n">
        <v>6.6307</v>
      </c>
      <c r="H63" s="188" t="n">
        <v>4.804</v>
      </c>
      <c r="I63" s="187" t="n">
        <v>41557</v>
      </c>
      <c r="J63" s="188" t="n">
        <v>10.6348</v>
      </c>
      <c r="K63" s="189" t="n">
        <v>8.8</v>
      </c>
      <c r="L63" s="190" t="n">
        <v>1</v>
      </c>
      <c r="M63" s="190" t="n">
        <v>0</v>
      </c>
      <c r="N63" s="188" t="n">
        <v>101.6081</v>
      </c>
      <c r="O63" s="187" t="n">
        <v>4281209</v>
      </c>
    </row>
    <row r="64" customFormat="false" ht="12.75" hidden="false" customHeight="true" outlineLevel="0" collapsed="false">
      <c r="B64" s="170" t="s">
        <v>18</v>
      </c>
      <c r="C64" s="171" t="n">
        <v>2005</v>
      </c>
      <c r="D64" s="172" t="n">
        <v>9.08</v>
      </c>
      <c r="E64" s="172" t="n">
        <v>0</v>
      </c>
      <c r="F64" s="173" t="n">
        <v>0</v>
      </c>
      <c r="G64" s="174" t="n">
        <v>3.989</v>
      </c>
      <c r="H64" s="174"/>
      <c r="I64" s="173" t="n">
        <v>7335</v>
      </c>
      <c r="J64" s="174" t="n">
        <v>8.9004</v>
      </c>
      <c r="K64" s="175" t="n">
        <v>11.96</v>
      </c>
      <c r="L64" s="176" t="n">
        <v>0</v>
      </c>
      <c r="M64" s="176" t="n">
        <v>0</v>
      </c>
      <c r="N64" s="174" t="n">
        <v>75.0928</v>
      </c>
      <c r="O64" s="173" t="n">
        <v>594587</v>
      </c>
    </row>
    <row r="65" customFormat="false" ht="12.75" hidden="false" customHeight="true" outlineLevel="0" collapsed="false">
      <c r="B65" s="177" t="s">
        <v>18</v>
      </c>
      <c r="C65" s="178" t="n">
        <v>2006</v>
      </c>
      <c r="D65" s="179" t="n">
        <v>12.02</v>
      </c>
      <c r="E65" s="179" t="n">
        <v>0</v>
      </c>
      <c r="F65" s="180" t="n">
        <v>0</v>
      </c>
      <c r="G65" s="181" t="n">
        <v>4.3041</v>
      </c>
      <c r="H65" s="181"/>
      <c r="I65" s="180" t="n">
        <v>8543</v>
      </c>
      <c r="J65" s="181" t="n">
        <v>9.0529</v>
      </c>
      <c r="K65" s="182" t="n">
        <v>6.67</v>
      </c>
      <c r="L65" s="183" t="n">
        <v>0</v>
      </c>
      <c r="M65" s="183" t="n">
        <v>0</v>
      </c>
      <c r="N65" s="181" t="n">
        <v>75.0928</v>
      </c>
      <c r="O65" s="180" t="n">
        <v>615715</v>
      </c>
    </row>
    <row r="66" customFormat="false" ht="12.75" hidden="false" customHeight="true" outlineLevel="0" collapsed="false">
      <c r="B66" s="170" t="s">
        <v>18</v>
      </c>
      <c r="C66" s="171" t="n">
        <v>2007</v>
      </c>
      <c r="D66" s="172" t="n">
        <v>10.05</v>
      </c>
      <c r="E66" s="172" t="n">
        <v>0</v>
      </c>
      <c r="F66" s="173" t="n">
        <v>0</v>
      </c>
      <c r="G66" s="174" t="n">
        <v>4.0775</v>
      </c>
      <c r="H66" s="174"/>
      <c r="I66" s="173" t="n">
        <v>10254</v>
      </c>
      <c r="J66" s="174" t="n">
        <v>9.2354</v>
      </c>
      <c r="K66" s="175" t="n">
        <v>16.33</v>
      </c>
      <c r="L66" s="176" t="n">
        <v>0</v>
      </c>
      <c r="M66" s="176" t="n">
        <v>0</v>
      </c>
      <c r="N66" s="174" t="n">
        <v>75.0928</v>
      </c>
      <c r="O66" s="173" t="n">
        <v>587311</v>
      </c>
    </row>
    <row r="67" customFormat="false" ht="12.75" hidden="false" customHeight="true" outlineLevel="0" collapsed="false">
      <c r="B67" s="177" t="s">
        <v>18</v>
      </c>
      <c r="C67" s="178" t="n">
        <v>2008</v>
      </c>
      <c r="D67" s="179" t="n">
        <v>10.76</v>
      </c>
      <c r="E67" s="179" t="n">
        <v>0</v>
      </c>
      <c r="F67" s="180" t="n">
        <v>0</v>
      </c>
      <c r="G67" s="181" t="n">
        <v>4.1897</v>
      </c>
      <c r="H67" s="181"/>
      <c r="I67" s="180" t="n">
        <v>11033</v>
      </c>
      <c r="J67" s="181" t="n">
        <v>9.3086</v>
      </c>
      <c r="K67" s="182" t="n">
        <v>15.19</v>
      </c>
      <c r="L67" s="183" t="n">
        <v>0</v>
      </c>
      <c r="M67" s="183" t="n">
        <v>0</v>
      </c>
      <c r="N67" s="181" t="n">
        <v>75.0928</v>
      </c>
      <c r="O67" s="180" t="n">
        <v>613166</v>
      </c>
    </row>
    <row r="68" customFormat="false" ht="12.75" hidden="false" customHeight="true" outlineLevel="0" collapsed="false">
      <c r="B68" s="170" t="s">
        <v>18</v>
      </c>
      <c r="C68" s="171" t="n">
        <v>2009</v>
      </c>
      <c r="D68" s="172" t="n">
        <v>11.01</v>
      </c>
      <c r="E68" s="172" t="n">
        <v>0</v>
      </c>
      <c r="F68" s="173" t="n">
        <v>0</v>
      </c>
      <c r="G68" s="174" t="n">
        <v>4.2341</v>
      </c>
      <c r="H68" s="174"/>
      <c r="I68" s="173" t="n">
        <v>11816</v>
      </c>
      <c r="J68" s="174" t="n">
        <v>9.3772</v>
      </c>
      <c r="K68" s="175" t="n">
        <v>13.76</v>
      </c>
      <c r="L68" s="176" t="n">
        <v>0</v>
      </c>
      <c r="M68" s="176" t="n">
        <v>0</v>
      </c>
      <c r="N68" s="174" t="n">
        <v>75.0928</v>
      </c>
      <c r="O68" s="173" t="n">
        <v>626609</v>
      </c>
    </row>
    <row r="69" customFormat="false" ht="12.75" hidden="false" customHeight="true" outlineLevel="0" collapsed="false">
      <c r="B69" s="177" t="s">
        <v>18</v>
      </c>
      <c r="C69" s="178" t="n">
        <v>2010</v>
      </c>
      <c r="D69" s="179" t="n">
        <v>15.38</v>
      </c>
      <c r="E69" s="179" t="n">
        <v>0</v>
      </c>
      <c r="F69" s="180" t="n">
        <v>0</v>
      </c>
      <c r="G69" s="181" t="n">
        <v>4.6347</v>
      </c>
      <c r="H69" s="181"/>
      <c r="I69" s="180" t="n">
        <v>12304</v>
      </c>
      <c r="J69" s="181" t="n">
        <v>9.4177</v>
      </c>
      <c r="K69" s="182" t="n">
        <v>13.98</v>
      </c>
      <c r="L69" s="183" t="n">
        <v>0</v>
      </c>
      <c r="M69" s="183" t="n">
        <v>0</v>
      </c>
      <c r="N69" s="181" t="n">
        <v>75.0928</v>
      </c>
      <c r="O69" s="180" t="n">
        <v>669526</v>
      </c>
    </row>
    <row r="70" customFormat="false" ht="12.75" hidden="false" customHeight="true" outlineLevel="0" collapsed="false">
      <c r="B70" s="170" t="s">
        <v>18</v>
      </c>
      <c r="C70" s="171" t="n">
        <v>2011</v>
      </c>
      <c r="D70" s="172" t="n">
        <v>11.4</v>
      </c>
      <c r="E70" s="172" t="n">
        <v>0.15</v>
      </c>
      <c r="F70" s="173" t="n">
        <v>1</v>
      </c>
      <c r="G70" s="174" t="n">
        <v>4.3567</v>
      </c>
      <c r="H70" s="174" t="n">
        <v>0</v>
      </c>
      <c r="I70" s="173" t="n">
        <v>13750</v>
      </c>
      <c r="J70" s="174" t="n">
        <v>9.5288</v>
      </c>
      <c r="K70" s="175" t="n">
        <v>14.21</v>
      </c>
      <c r="L70" s="176" t="n">
        <v>0</v>
      </c>
      <c r="M70" s="176" t="n">
        <v>0</v>
      </c>
      <c r="N70" s="174" t="n">
        <v>75.0928</v>
      </c>
      <c r="O70" s="173" t="n">
        <v>684309</v>
      </c>
    </row>
    <row r="71" customFormat="false" ht="12.75" hidden="false" customHeight="true" outlineLevel="0" collapsed="false">
      <c r="B71" s="177" t="s">
        <v>18</v>
      </c>
      <c r="C71" s="178" t="n">
        <v>2012</v>
      </c>
      <c r="D71" s="179" t="n">
        <v>16.6</v>
      </c>
      <c r="E71" s="179" t="n">
        <v>0.14</v>
      </c>
      <c r="F71" s="180" t="n">
        <v>2</v>
      </c>
      <c r="G71" s="181" t="n">
        <v>4.7536</v>
      </c>
      <c r="H71" s="181" t="n">
        <v>0</v>
      </c>
      <c r="I71" s="180" t="n">
        <v>15933</v>
      </c>
      <c r="J71" s="181" t="n">
        <v>9.6761</v>
      </c>
      <c r="K71" s="182" t="n">
        <v>10.91</v>
      </c>
      <c r="L71" s="183" t="n">
        <v>0</v>
      </c>
      <c r="M71" s="183" t="n">
        <v>0</v>
      </c>
      <c r="N71" s="181" t="n">
        <v>75.0928</v>
      </c>
      <c r="O71" s="180" t="n">
        <v>698602</v>
      </c>
    </row>
    <row r="72" customFormat="false" ht="12.75" hidden="false" customHeight="true" outlineLevel="0" collapsed="false">
      <c r="B72" s="170" t="s">
        <v>18</v>
      </c>
      <c r="C72" s="171" t="n">
        <v>2013</v>
      </c>
      <c r="D72" s="172" t="n">
        <v>13.47</v>
      </c>
      <c r="E72" s="172" t="n">
        <v>0.14</v>
      </c>
      <c r="F72" s="173" t="n">
        <v>3</v>
      </c>
      <c r="G72" s="174" t="n">
        <v>4.5951</v>
      </c>
      <c r="H72" s="174" t="n">
        <v>0</v>
      </c>
      <c r="I72" s="173" t="n">
        <v>17365</v>
      </c>
      <c r="J72" s="174" t="n">
        <v>9.7622</v>
      </c>
      <c r="K72" s="175" t="n">
        <v>13.1</v>
      </c>
      <c r="L72" s="176" t="n">
        <v>0</v>
      </c>
      <c r="M72" s="176" t="n">
        <v>0</v>
      </c>
      <c r="N72" s="174" t="n">
        <v>75.0928</v>
      </c>
      <c r="O72" s="173" t="n">
        <v>734996</v>
      </c>
    </row>
    <row r="73" customFormat="false" ht="12.75" hidden="false" customHeight="true" outlineLevel="0" collapsed="false">
      <c r="B73" s="177" t="s">
        <v>18</v>
      </c>
      <c r="C73" s="178" t="n">
        <v>2014</v>
      </c>
      <c r="D73" s="179" t="n">
        <v>19.71</v>
      </c>
      <c r="E73" s="179" t="n">
        <v>0</v>
      </c>
      <c r="F73" s="180" t="n">
        <v>3</v>
      </c>
      <c r="G73" s="181" t="n">
        <v>4.9972</v>
      </c>
      <c r="H73" s="181"/>
      <c r="I73" s="180" t="n">
        <v>17845</v>
      </c>
      <c r="J73" s="181" t="n">
        <v>9.7895</v>
      </c>
      <c r="K73" s="182" t="n">
        <v>10.33</v>
      </c>
      <c r="L73" s="183" t="n">
        <v>0</v>
      </c>
      <c r="M73" s="183" t="n">
        <v>0</v>
      </c>
      <c r="N73" s="181" t="n">
        <v>75.0928</v>
      </c>
      <c r="O73" s="180" t="n">
        <v>750912</v>
      </c>
    </row>
    <row r="74" customFormat="false" ht="12.75" hidden="false" customHeight="true" outlineLevel="0" collapsed="false">
      <c r="B74" s="170" t="s">
        <v>18</v>
      </c>
      <c r="C74" s="171" t="n">
        <v>2015</v>
      </c>
      <c r="D74" s="172" t="n">
        <v>19.83</v>
      </c>
      <c r="E74" s="172" t="n">
        <v>0.13</v>
      </c>
      <c r="F74" s="173" t="n">
        <v>4</v>
      </c>
      <c r="G74" s="174" t="n">
        <v>5.0239</v>
      </c>
      <c r="H74" s="174" t="n">
        <v>0</v>
      </c>
      <c r="I74" s="173" t="n">
        <v>18080</v>
      </c>
      <c r="J74" s="174" t="n">
        <v>9.8026</v>
      </c>
      <c r="K74" s="175" t="n">
        <v>11.2</v>
      </c>
      <c r="L74" s="176" t="n">
        <v>0</v>
      </c>
      <c r="M74" s="176" t="n">
        <v>0</v>
      </c>
      <c r="N74" s="174" t="n">
        <v>75.0928</v>
      </c>
      <c r="O74" s="173" t="n">
        <v>766679</v>
      </c>
    </row>
    <row r="75" customFormat="false" ht="12.75" hidden="false" customHeight="true" outlineLevel="0" collapsed="false">
      <c r="B75" s="184" t="s">
        <v>18</v>
      </c>
      <c r="C75" s="185" t="n">
        <v>2016</v>
      </c>
      <c r="D75" s="186" t="n">
        <v>27.61</v>
      </c>
      <c r="E75" s="186" t="n">
        <v>0</v>
      </c>
      <c r="F75" s="187" t="n">
        <v>4</v>
      </c>
      <c r="G75" s="188" t="n">
        <v>5.3753</v>
      </c>
      <c r="H75" s="188"/>
      <c r="I75" s="187" t="n">
        <v>18333</v>
      </c>
      <c r="J75" s="188" t="n">
        <v>9.8165</v>
      </c>
      <c r="K75" s="189" t="n">
        <v>15.8</v>
      </c>
      <c r="L75" s="190" t="n">
        <v>0</v>
      </c>
      <c r="M75" s="190" t="n">
        <v>0</v>
      </c>
      <c r="N75" s="188" t="n">
        <v>75.0928</v>
      </c>
      <c r="O75" s="187" t="n">
        <v>782295</v>
      </c>
    </row>
    <row r="76" customFormat="false" ht="12.75" hidden="false" customHeight="true" outlineLevel="0" collapsed="false">
      <c r="B76" s="191" t="s">
        <v>18</v>
      </c>
      <c r="C76" s="192" t="n">
        <v>2017</v>
      </c>
      <c r="D76" s="193" t="n">
        <v>22.31</v>
      </c>
      <c r="E76" s="193" t="n">
        <v>2.76</v>
      </c>
      <c r="F76" s="194" t="n">
        <v>26</v>
      </c>
      <c r="G76" s="195" t="n">
        <v>5.1818</v>
      </c>
      <c r="H76" s="195" t="n">
        <v>3.091</v>
      </c>
      <c r="I76" s="194" t="n">
        <v>19408</v>
      </c>
      <c r="J76" s="195" t="n">
        <v>9.8734</v>
      </c>
      <c r="K76" s="196" t="n">
        <v>18.1</v>
      </c>
      <c r="L76" s="197" t="n">
        <v>0</v>
      </c>
      <c r="M76" s="197" t="n">
        <v>0</v>
      </c>
      <c r="N76" s="195" t="n">
        <v>75.0928</v>
      </c>
      <c r="O76" s="194" t="n">
        <v>797722</v>
      </c>
    </row>
    <row r="77" customFormat="false" ht="12.75" hidden="false" customHeight="true" outlineLevel="0" collapsed="false">
      <c r="B77" s="184" t="s">
        <v>18</v>
      </c>
      <c r="C77" s="185" t="n">
        <v>2018</v>
      </c>
      <c r="D77" s="186" t="n">
        <v>28.81</v>
      </c>
      <c r="E77" s="186" t="n">
        <v>2.53</v>
      </c>
      <c r="F77" s="187" t="n">
        <v>47</v>
      </c>
      <c r="G77" s="188" t="n">
        <v>5.4765</v>
      </c>
      <c r="H77" s="188" t="n">
        <v>3.0445</v>
      </c>
      <c r="I77" s="187" t="n">
        <v>20248</v>
      </c>
      <c r="J77" s="188" t="n">
        <v>9.9158</v>
      </c>
      <c r="K77" s="189" t="n">
        <v>20.4</v>
      </c>
      <c r="L77" s="190" t="n">
        <v>0</v>
      </c>
      <c r="M77" s="190" t="n">
        <v>0</v>
      </c>
      <c r="N77" s="188" t="n">
        <v>75.0928</v>
      </c>
      <c r="O77" s="187" t="n">
        <v>829494</v>
      </c>
    </row>
    <row r="78" customFormat="false" ht="12.75" hidden="false" customHeight="true" outlineLevel="0" collapsed="false">
      <c r="B78" s="191" t="s">
        <v>18</v>
      </c>
      <c r="C78" s="192" t="n">
        <v>2019</v>
      </c>
      <c r="D78" s="193" t="n">
        <v>27.43</v>
      </c>
      <c r="E78" s="193" t="n">
        <v>13.12</v>
      </c>
      <c r="F78" s="194" t="n">
        <v>158</v>
      </c>
      <c r="G78" s="195" t="n">
        <v>5.4467</v>
      </c>
      <c r="H78" s="195" t="n">
        <v>4.7095</v>
      </c>
      <c r="I78" s="194" t="n">
        <v>20688</v>
      </c>
      <c r="J78" s="195" t="n">
        <v>9.9373</v>
      </c>
      <c r="K78" s="196" t="n">
        <v>17.6</v>
      </c>
      <c r="L78" s="197" t="n">
        <v>0</v>
      </c>
      <c r="M78" s="197" t="n">
        <v>0</v>
      </c>
      <c r="N78" s="195" t="n">
        <v>75.0928</v>
      </c>
      <c r="O78" s="194" t="n">
        <v>845731</v>
      </c>
    </row>
    <row r="79" customFormat="false" ht="12.75" hidden="false" customHeight="true" outlineLevel="0" collapsed="false">
      <c r="B79" s="184" t="s">
        <v>18</v>
      </c>
      <c r="C79" s="185" t="n">
        <v>2020</v>
      </c>
      <c r="D79" s="186" t="n">
        <v>25.76</v>
      </c>
      <c r="E79" s="186" t="n">
        <v>26.23</v>
      </c>
      <c r="F79" s="187" t="n">
        <v>384</v>
      </c>
      <c r="G79" s="188" t="n">
        <v>5.4027</v>
      </c>
      <c r="H79" s="188" t="n">
        <v>5.4205</v>
      </c>
      <c r="I79" s="187" t="n">
        <v>21432</v>
      </c>
      <c r="J79" s="188" t="n">
        <v>9.9726</v>
      </c>
      <c r="K79" s="189" t="n">
        <v>15</v>
      </c>
      <c r="L79" s="190" t="n">
        <v>0</v>
      </c>
      <c r="M79" s="190" t="n">
        <v>1</v>
      </c>
      <c r="N79" s="188" t="n">
        <v>75.0928</v>
      </c>
      <c r="O79" s="187" t="n">
        <v>861773</v>
      </c>
    </row>
    <row r="80" customFormat="false" ht="12.75" hidden="false" customHeight="true" outlineLevel="0" collapsed="false">
      <c r="B80" s="191" t="s">
        <v>18</v>
      </c>
      <c r="C80" s="192" t="n">
        <v>2021</v>
      </c>
      <c r="D80" s="193" t="n">
        <v>35.44</v>
      </c>
      <c r="E80" s="193" t="n">
        <v>40.45</v>
      </c>
      <c r="F80" s="194" t="n">
        <v>739</v>
      </c>
      <c r="G80" s="195" t="n">
        <v>5.7398</v>
      </c>
      <c r="H80" s="195" t="n">
        <v>5.8721</v>
      </c>
      <c r="I80" s="194" t="n">
        <v>22903</v>
      </c>
      <c r="J80" s="195" t="n">
        <v>10.039</v>
      </c>
      <c r="K80" s="196" t="n">
        <v>16.6</v>
      </c>
      <c r="L80" s="197" t="n">
        <v>0</v>
      </c>
      <c r="M80" s="197" t="n">
        <v>1</v>
      </c>
      <c r="N80" s="195" t="n">
        <v>75.0928</v>
      </c>
      <c r="O80" s="194" t="n">
        <v>877613</v>
      </c>
    </row>
    <row r="81" customFormat="false" ht="12.75" hidden="false" customHeight="true" outlineLevel="0" collapsed="false">
      <c r="B81" s="184" t="s">
        <v>18</v>
      </c>
      <c r="C81" s="185" t="n">
        <v>2022</v>
      </c>
      <c r="D81" s="186" t="n">
        <v>32.03</v>
      </c>
      <c r="E81" s="186" t="n">
        <v>75.09</v>
      </c>
      <c r="F81" s="187" t="n">
        <v>1290</v>
      </c>
      <c r="G81" s="188" t="n">
        <v>5.4596</v>
      </c>
      <c r="H81" s="188" t="n">
        <v>6.3117</v>
      </c>
      <c r="I81" s="187" t="n">
        <v>32183</v>
      </c>
      <c r="J81" s="188" t="n">
        <v>10.3792</v>
      </c>
      <c r="K81" s="189" t="n">
        <v>12.5</v>
      </c>
      <c r="L81" s="190" t="n">
        <v>0</v>
      </c>
      <c r="M81" s="190" t="n">
        <v>0</v>
      </c>
      <c r="N81" s="188" t="n">
        <v>75.0928</v>
      </c>
      <c r="O81" s="187" t="n">
        <v>733759</v>
      </c>
    </row>
    <row r="82" customFormat="false" ht="12.75" hidden="false" customHeight="true" outlineLevel="0" collapsed="false">
      <c r="B82" s="191" t="s">
        <v>18</v>
      </c>
      <c r="C82" s="192" t="n">
        <v>2023</v>
      </c>
      <c r="D82" s="193" t="n">
        <v>41.29</v>
      </c>
      <c r="E82" s="193" t="n">
        <v>5.59</v>
      </c>
      <c r="F82" s="194" t="n">
        <v>1331</v>
      </c>
      <c r="G82" s="195" t="n">
        <v>5.7137</v>
      </c>
      <c r="H82" s="195" t="n">
        <v>3.7136</v>
      </c>
      <c r="I82" s="194" t="n">
        <v>38187</v>
      </c>
      <c r="J82" s="195" t="n">
        <v>10.5503</v>
      </c>
      <c r="K82" s="196" t="n">
        <v>12.8</v>
      </c>
      <c r="L82" s="197" t="n">
        <v>1</v>
      </c>
      <c r="M82" s="197" t="n">
        <v>0</v>
      </c>
      <c r="N82" s="195" t="n">
        <v>75.0928</v>
      </c>
      <c r="O82" s="194" t="n">
        <v>733759</v>
      </c>
    </row>
    <row r="83" customFormat="false" ht="12.75" hidden="false" customHeight="true" outlineLevel="0" collapsed="false">
      <c r="B83" s="184" t="s">
        <v>18</v>
      </c>
      <c r="C83" s="185" t="n">
        <v>2024</v>
      </c>
      <c r="D83" s="186" t="n">
        <v>24.41</v>
      </c>
      <c r="E83" s="186" t="n">
        <v>8.22</v>
      </c>
      <c r="F83" s="187" t="n">
        <v>1397</v>
      </c>
      <c r="G83" s="188" t="n">
        <v>5.2781</v>
      </c>
      <c r="H83" s="188" t="n">
        <v>4.1897</v>
      </c>
      <c r="I83" s="187" t="n">
        <v>39592</v>
      </c>
      <c r="J83" s="188" t="n">
        <v>10.5864</v>
      </c>
      <c r="K83" s="189" t="n">
        <v>9.3</v>
      </c>
      <c r="L83" s="190" t="n">
        <v>1</v>
      </c>
      <c r="M83" s="190" t="n">
        <v>0</v>
      </c>
      <c r="N83" s="188" t="n">
        <v>75.0928</v>
      </c>
      <c r="O83" s="187" t="n">
        <v>802837</v>
      </c>
    </row>
    <row r="84" customFormat="false" ht="12.75" hidden="false" customHeight="true" outlineLevel="0" collapsed="false">
      <c r="B84" s="170" t="s">
        <v>19</v>
      </c>
      <c r="C84" s="171" t="n">
        <v>2005</v>
      </c>
      <c r="D84" s="172" t="n">
        <v>14.68</v>
      </c>
      <c r="E84" s="172" t="n">
        <v>0.04</v>
      </c>
      <c r="F84" s="173" t="n">
        <v>6</v>
      </c>
      <c r="G84" s="174" t="n">
        <v>7.6148</v>
      </c>
      <c r="H84" s="174" t="n">
        <v>1.7918</v>
      </c>
      <c r="I84" s="173" t="n">
        <v>6581</v>
      </c>
      <c r="J84" s="174" t="n">
        <v>8.7919</v>
      </c>
      <c r="K84" s="175" t="n">
        <v>11.07</v>
      </c>
      <c r="L84" s="176" t="n">
        <v>0</v>
      </c>
      <c r="M84" s="176" t="n">
        <v>0</v>
      </c>
      <c r="N84" s="174" t="n">
        <v>83.5901</v>
      </c>
      <c r="O84" s="173" t="n">
        <v>13815334</v>
      </c>
    </row>
    <row r="85" customFormat="false" ht="12.75" hidden="false" customHeight="true" outlineLevel="0" collapsed="false">
      <c r="B85" s="177" t="s">
        <v>19</v>
      </c>
      <c r="C85" s="178" t="n">
        <v>2006</v>
      </c>
      <c r="D85" s="179" t="n">
        <v>17.18</v>
      </c>
      <c r="E85" s="179" t="n">
        <v>0.08</v>
      </c>
      <c r="F85" s="180" t="n">
        <v>17</v>
      </c>
      <c r="G85" s="181" t="n">
        <v>7.7816</v>
      </c>
      <c r="H85" s="181" t="n">
        <v>2.3979</v>
      </c>
      <c r="I85" s="180" t="n">
        <v>6919</v>
      </c>
      <c r="J85" s="181" t="n">
        <v>8.842</v>
      </c>
      <c r="K85" s="182" t="n">
        <v>10.25</v>
      </c>
      <c r="L85" s="183" t="n">
        <v>0</v>
      </c>
      <c r="M85" s="183" t="n">
        <v>0</v>
      </c>
      <c r="N85" s="181" t="n">
        <v>83.5901</v>
      </c>
      <c r="O85" s="180" t="n">
        <v>13950146</v>
      </c>
    </row>
    <row r="86" customFormat="false" ht="12.75" hidden="false" customHeight="true" outlineLevel="0" collapsed="false">
      <c r="B86" s="170" t="s">
        <v>19</v>
      </c>
      <c r="C86" s="171" t="n">
        <v>2007</v>
      </c>
      <c r="D86" s="172" t="n">
        <v>19.12</v>
      </c>
      <c r="E86" s="172" t="n">
        <v>0.11</v>
      </c>
      <c r="F86" s="173" t="n">
        <v>33</v>
      </c>
      <c r="G86" s="174" t="n">
        <v>7.898</v>
      </c>
      <c r="H86" s="174" t="n">
        <v>2.7726</v>
      </c>
      <c r="I86" s="173" t="n">
        <v>7787</v>
      </c>
      <c r="J86" s="174" t="n">
        <v>8.9602</v>
      </c>
      <c r="K86" s="175" t="n">
        <v>10.34</v>
      </c>
      <c r="L86" s="176" t="n">
        <v>0</v>
      </c>
      <c r="M86" s="176" t="n">
        <v>0</v>
      </c>
      <c r="N86" s="174" t="n">
        <v>83.5901</v>
      </c>
      <c r="O86" s="173" t="n">
        <v>14080670</v>
      </c>
    </row>
    <row r="87" customFormat="false" ht="12.75" hidden="false" customHeight="true" outlineLevel="0" collapsed="false">
      <c r="B87" s="177" t="s">
        <v>19</v>
      </c>
      <c r="C87" s="178" t="n">
        <v>2008</v>
      </c>
      <c r="D87" s="179" t="n">
        <v>26.35</v>
      </c>
      <c r="E87" s="179" t="n">
        <v>0.22</v>
      </c>
      <c r="F87" s="180" t="n">
        <v>65</v>
      </c>
      <c r="G87" s="181" t="n">
        <v>8.2485</v>
      </c>
      <c r="H87" s="181" t="n">
        <v>3.4657</v>
      </c>
      <c r="I87" s="180" t="n">
        <v>8378</v>
      </c>
      <c r="J87" s="181" t="n">
        <v>9.0334</v>
      </c>
      <c r="K87" s="182" t="n">
        <v>10.53</v>
      </c>
      <c r="L87" s="183" t="n">
        <v>0</v>
      </c>
      <c r="M87" s="183" t="n">
        <v>0</v>
      </c>
      <c r="N87" s="181" t="n">
        <v>83.5901</v>
      </c>
      <c r="O87" s="180" t="n">
        <v>14502563</v>
      </c>
    </row>
    <row r="88" customFormat="false" ht="12.75" hidden="false" customHeight="true" outlineLevel="0" collapsed="false">
      <c r="B88" s="170" t="s">
        <v>19</v>
      </c>
      <c r="C88" s="171" t="n">
        <v>2009</v>
      </c>
      <c r="D88" s="172" t="n">
        <v>29.83</v>
      </c>
      <c r="E88" s="172" t="n">
        <v>0.4</v>
      </c>
      <c r="F88" s="173" t="n">
        <v>123</v>
      </c>
      <c r="G88" s="174" t="n">
        <v>8.3818</v>
      </c>
      <c r="H88" s="174" t="n">
        <v>4.0604</v>
      </c>
      <c r="I88" s="173" t="n">
        <v>9365</v>
      </c>
      <c r="J88" s="174" t="n">
        <v>9.1447</v>
      </c>
      <c r="K88" s="175" t="n">
        <v>10.67</v>
      </c>
      <c r="L88" s="176" t="n">
        <v>0</v>
      </c>
      <c r="M88" s="176" t="n">
        <v>0</v>
      </c>
      <c r="N88" s="174" t="n">
        <v>83.5901</v>
      </c>
      <c r="O88" s="173" t="n">
        <v>14637364</v>
      </c>
    </row>
    <row r="89" customFormat="false" ht="12.75" hidden="false" customHeight="true" outlineLevel="0" collapsed="false">
      <c r="B89" s="177" t="s">
        <v>19</v>
      </c>
      <c r="C89" s="178" t="n">
        <v>2010</v>
      </c>
      <c r="D89" s="179" t="n">
        <v>31.74</v>
      </c>
      <c r="E89" s="179" t="n">
        <v>0.44</v>
      </c>
      <c r="F89" s="180" t="n">
        <v>185</v>
      </c>
      <c r="G89" s="181" t="n">
        <v>8.4004</v>
      </c>
      <c r="H89" s="181" t="n">
        <v>4.1271</v>
      </c>
      <c r="I89" s="180" t="n">
        <v>11017</v>
      </c>
      <c r="J89" s="181" t="n">
        <v>9.3072</v>
      </c>
      <c r="K89" s="182" t="n">
        <v>10.59</v>
      </c>
      <c r="L89" s="183" t="n">
        <v>0</v>
      </c>
      <c r="M89" s="183" t="n">
        <v>0</v>
      </c>
      <c r="N89" s="181" t="n">
        <v>83.5901</v>
      </c>
      <c r="O89" s="180" t="n">
        <v>14016906</v>
      </c>
    </row>
    <row r="90" customFormat="false" ht="12.75" hidden="false" customHeight="true" outlineLevel="0" collapsed="false">
      <c r="B90" s="170" t="s">
        <v>19</v>
      </c>
      <c r="C90" s="171" t="n">
        <v>2011</v>
      </c>
      <c r="D90" s="172" t="n">
        <v>29.54</v>
      </c>
      <c r="E90" s="172" t="n">
        <v>1.09</v>
      </c>
      <c r="F90" s="173" t="n">
        <v>338</v>
      </c>
      <c r="G90" s="174" t="n">
        <v>8.3345</v>
      </c>
      <c r="H90" s="174" t="n">
        <v>5.0304</v>
      </c>
      <c r="I90" s="173" t="n">
        <v>11818</v>
      </c>
      <c r="J90" s="174" t="n">
        <v>9.3774</v>
      </c>
      <c r="K90" s="175" t="n">
        <v>10.51</v>
      </c>
      <c r="L90" s="176" t="n">
        <v>0</v>
      </c>
      <c r="M90" s="176" t="n">
        <v>0</v>
      </c>
      <c r="N90" s="174" t="n">
        <v>83.5901</v>
      </c>
      <c r="O90" s="173" t="n">
        <v>14097534</v>
      </c>
    </row>
    <row r="91" customFormat="false" ht="12.75" hidden="false" customHeight="true" outlineLevel="0" collapsed="false">
      <c r="B91" s="177" t="s">
        <v>19</v>
      </c>
      <c r="C91" s="178" t="n">
        <v>2012</v>
      </c>
      <c r="D91" s="179" t="n">
        <v>32.45</v>
      </c>
      <c r="E91" s="179" t="n">
        <v>1.1</v>
      </c>
      <c r="F91" s="180" t="n">
        <v>494</v>
      </c>
      <c r="G91" s="181" t="n">
        <v>8.4338</v>
      </c>
      <c r="H91" s="181" t="n">
        <v>5.0499</v>
      </c>
      <c r="I91" s="180" t="n">
        <v>12880</v>
      </c>
      <c r="J91" s="181" t="n">
        <v>9.4634</v>
      </c>
      <c r="K91" s="182" t="n">
        <v>10.18</v>
      </c>
      <c r="L91" s="183" t="n">
        <v>0</v>
      </c>
      <c r="M91" s="183" t="n">
        <v>0</v>
      </c>
      <c r="N91" s="181" t="n">
        <v>83.5901</v>
      </c>
      <c r="O91" s="180" t="n">
        <v>14175341</v>
      </c>
    </row>
    <row r="92" customFormat="false" ht="12.75" hidden="false" customHeight="true" outlineLevel="0" collapsed="false">
      <c r="B92" s="170" t="s">
        <v>19</v>
      </c>
      <c r="C92" s="171" t="n">
        <v>2013</v>
      </c>
      <c r="D92" s="172" t="n">
        <v>28.51</v>
      </c>
      <c r="E92" s="172" t="n">
        <v>0.58</v>
      </c>
      <c r="F92" s="173" t="n">
        <v>582</v>
      </c>
      <c r="G92" s="174" t="n">
        <v>8.3638</v>
      </c>
      <c r="H92" s="174" t="n">
        <v>4.4773</v>
      </c>
      <c r="I92" s="173" t="n">
        <v>13616</v>
      </c>
      <c r="J92" s="174" t="n">
        <v>9.519</v>
      </c>
      <c r="K92" s="175" t="n">
        <v>9.87</v>
      </c>
      <c r="L92" s="176" t="n">
        <v>0</v>
      </c>
      <c r="M92" s="176" t="n">
        <v>0</v>
      </c>
      <c r="N92" s="174" t="n">
        <v>83.5901</v>
      </c>
      <c r="O92" s="173" t="n">
        <v>15044137</v>
      </c>
    </row>
    <row r="93" customFormat="false" ht="12.75" hidden="false" customHeight="true" outlineLevel="0" collapsed="false">
      <c r="B93" s="177" t="s">
        <v>19</v>
      </c>
      <c r="C93" s="178" t="n">
        <v>2014</v>
      </c>
      <c r="D93" s="179" t="n">
        <v>30.75</v>
      </c>
      <c r="E93" s="179" t="n">
        <v>0.17</v>
      </c>
      <c r="F93" s="180" t="n">
        <v>608</v>
      </c>
      <c r="G93" s="181" t="n">
        <v>8.4451</v>
      </c>
      <c r="H93" s="181" t="n">
        <v>3.2581</v>
      </c>
      <c r="I93" s="180" t="n">
        <v>14804</v>
      </c>
      <c r="J93" s="181" t="n">
        <v>9.6027</v>
      </c>
      <c r="K93" s="182" t="n">
        <v>9.98</v>
      </c>
      <c r="L93" s="183" t="n">
        <v>0</v>
      </c>
      <c r="M93" s="183" t="n">
        <v>0</v>
      </c>
      <c r="N93" s="181" t="n">
        <v>83.5901</v>
      </c>
      <c r="O93" s="180" t="n">
        <v>15126371</v>
      </c>
    </row>
    <row r="94" customFormat="false" ht="12.75" hidden="false" customHeight="true" outlineLevel="0" collapsed="false">
      <c r="B94" s="170" t="s">
        <v>19</v>
      </c>
      <c r="C94" s="171" t="n">
        <v>2015</v>
      </c>
      <c r="D94" s="172" t="n">
        <v>29.95</v>
      </c>
      <c r="E94" s="172" t="n">
        <v>0.97</v>
      </c>
      <c r="F94" s="173" t="n">
        <v>756</v>
      </c>
      <c r="G94" s="174" t="n">
        <v>8.4235</v>
      </c>
      <c r="H94" s="174" t="n">
        <v>4.9972</v>
      </c>
      <c r="I94" s="173" t="n">
        <v>16118</v>
      </c>
      <c r="J94" s="174" t="n">
        <v>9.6877</v>
      </c>
      <c r="K94" s="175" t="n">
        <v>12.4</v>
      </c>
      <c r="L94" s="176" t="n">
        <v>0</v>
      </c>
      <c r="M94" s="176" t="n">
        <v>0</v>
      </c>
      <c r="N94" s="174" t="n">
        <v>83.5901</v>
      </c>
      <c r="O94" s="173" t="n">
        <v>15203334</v>
      </c>
    </row>
    <row r="95" customFormat="false" ht="12.75" hidden="false" customHeight="true" outlineLevel="0" collapsed="false">
      <c r="B95" s="184" t="s">
        <v>19</v>
      </c>
      <c r="C95" s="185" t="n">
        <v>2016</v>
      </c>
      <c r="D95" s="186" t="n">
        <v>35.62</v>
      </c>
      <c r="E95" s="186" t="n">
        <v>1.6</v>
      </c>
      <c r="F95" s="187" t="n">
        <v>1001</v>
      </c>
      <c r="G95" s="188" t="n">
        <v>8.6019</v>
      </c>
      <c r="H95" s="188" t="n">
        <v>5.5013</v>
      </c>
      <c r="I95" s="187" t="n">
        <v>16937</v>
      </c>
      <c r="J95" s="188" t="n">
        <v>9.7373</v>
      </c>
      <c r="K95" s="189" t="n">
        <v>16</v>
      </c>
      <c r="L95" s="190" t="n">
        <v>0</v>
      </c>
      <c r="M95" s="190" t="n">
        <v>0</v>
      </c>
      <c r="N95" s="188" t="n">
        <v>83.5901</v>
      </c>
      <c r="O95" s="187" t="n">
        <v>15276566</v>
      </c>
    </row>
    <row r="96" customFormat="false" ht="12.75" hidden="false" customHeight="true" outlineLevel="0" collapsed="false">
      <c r="B96" s="191" t="s">
        <v>19</v>
      </c>
      <c r="C96" s="192" t="n">
        <v>2017</v>
      </c>
      <c r="D96" s="193" t="n">
        <v>35.3</v>
      </c>
      <c r="E96" s="193" t="n">
        <v>2.97</v>
      </c>
      <c r="F96" s="194" t="n">
        <v>1456</v>
      </c>
      <c r="G96" s="195" t="n">
        <v>8.5971</v>
      </c>
      <c r="H96" s="195" t="n">
        <v>6.1203</v>
      </c>
      <c r="I96" s="194" t="n">
        <v>17513</v>
      </c>
      <c r="J96" s="195" t="n">
        <v>9.7707</v>
      </c>
      <c r="K96" s="196" t="n">
        <v>17.1</v>
      </c>
      <c r="L96" s="197" t="n">
        <v>0</v>
      </c>
      <c r="M96" s="197" t="n">
        <v>0</v>
      </c>
      <c r="N96" s="195" t="n">
        <v>83.5901</v>
      </c>
      <c r="O96" s="194" t="n">
        <v>15344447</v>
      </c>
    </row>
    <row r="97" customFormat="false" ht="12.75" hidden="false" customHeight="true" outlineLevel="0" collapsed="false">
      <c r="B97" s="184" t="s">
        <v>19</v>
      </c>
      <c r="C97" s="185" t="n">
        <v>2018</v>
      </c>
      <c r="D97" s="186" t="n">
        <v>33.47</v>
      </c>
      <c r="E97" s="186" t="n">
        <v>5.33</v>
      </c>
      <c r="F97" s="187" t="n">
        <v>2246</v>
      </c>
      <c r="G97" s="188" t="n">
        <v>8.5088</v>
      </c>
      <c r="H97" s="188" t="n">
        <v>6.672</v>
      </c>
      <c r="I97" s="187" t="n">
        <v>19324</v>
      </c>
      <c r="J97" s="188" t="n">
        <v>9.8691</v>
      </c>
      <c r="K97" s="189" t="n">
        <v>17.2</v>
      </c>
      <c r="L97" s="190" t="n">
        <v>0</v>
      </c>
      <c r="M97" s="190" t="n">
        <v>0</v>
      </c>
      <c r="N97" s="188" t="n">
        <v>83.5901</v>
      </c>
      <c r="O97" s="187" t="n">
        <v>14812617</v>
      </c>
    </row>
    <row r="98" customFormat="false" ht="12.75" hidden="false" customHeight="true" outlineLevel="0" collapsed="false">
      <c r="B98" s="191" t="s">
        <v>19</v>
      </c>
      <c r="C98" s="192" t="n">
        <v>2019</v>
      </c>
      <c r="D98" s="193" t="n">
        <v>30.83</v>
      </c>
      <c r="E98" s="193" t="n">
        <v>19.63</v>
      </c>
      <c r="F98" s="194" t="n">
        <v>5166</v>
      </c>
      <c r="G98" s="195" t="n">
        <v>8.4308</v>
      </c>
      <c r="H98" s="195" t="n">
        <v>7.9793</v>
      </c>
      <c r="I98" s="194" t="n">
        <v>19716</v>
      </c>
      <c r="J98" s="195" t="n">
        <v>9.8892</v>
      </c>
      <c r="K98" s="196" t="n">
        <v>17.4</v>
      </c>
      <c r="L98" s="197" t="n">
        <v>0</v>
      </c>
      <c r="M98" s="197" t="n">
        <v>0</v>
      </c>
      <c r="N98" s="195" t="n">
        <v>83.5901</v>
      </c>
      <c r="O98" s="194" t="n">
        <v>14873064</v>
      </c>
    </row>
    <row r="99" customFormat="false" ht="12.75" hidden="false" customHeight="true" outlineLevel="0" collapsed="false">
      <c r="B99" s="184" t="s">
        <v>19</v>
      </c>
      <c r="C99" s="185" t="n">
        <v>2020</v>
      </c>
      <c r="D99" s="186" t="n">
        <v>34.04</v>
      </c>
      <c r="E99" s="186" t="n">
        <v>41.26</v>
      </c>
      <c r="F99" s="187" t="n">
        <v>11327</v>
      </c>
      <c r="G99" s="188" t="n">
        <v>8.5335</v>
      </c>
      <c r="H99" s="188" t="n">
        <v>8.726</v>
      </c>
      <c r="I99" s="187" t="n">
        <v>20449</v>
      </c>
      <c r="J99" s="188" t="n">
        <v>9.9257</v>
      </c>
      <c r="K99" s="189" t="n">
        <v>20.2</v>
      </c>
      <c r="L99" s="190" t="n">
        <v>0</v>
      </c>
      <c r="M99" s="190" t="n">
        <v>1</v>
      </c>
      <c r="N99" s="188" t="n">
        <v>83.5901</v>
      </c>
      <c r="O99" s="187" t="n">
        <v>14930634</v>
      </c>
    </row>
    <row r="100" customFormat="false" ht="12.75" hidden="false" customHeight="true" outlineLevel="0" collapsed="false">
      <c r="B100" s="191" t="s">
        <v>19</v>
      </c>
      <c r="C100" s="192" t="n">
        <v>2021</v>
      </c>
      <c r="D100" s="193" t="n">
        <v>35.3</v>
      </c>
      <c r="E100" s="193" t="n">
        <v>56.73</v>
      </c>
      <c r="F100" s="194" t="n">
        <v>19828</v>
      </c>
      <c r="G100" s="195" t="n">
        <v>8.5736</v>
      </c>
      <c r="H100" s="195" t="n">
        <v>9.0479</v>
      </c>
      <c r="I100" s="194" t="n">
        <v>23531</v>
      </c>
      <c r="J100" s="195" t="n">
        <v>10.0661</v>
      </c>
      <c r="K100" s="196" t="n">
        <v>19.5</v>
      </c>
      <c r="L100" s="197" t="n">
        <v>0</v>
      </c>
      <c r="M100" s="197" t="n">
        <v>1</v>
      </c>
      <c r="N100" s="195" t="n">
        <v>83.5901</v>
      </c>
      <c r="O100" s="194" t="n">
        <v>14985284</v>
      </c>
    </row>
    <row r="101" customFormat="false" ht="12.75" hidden="false" customHeight="true" outlineLevel="0" collapsed="false">
      <c r="B101" s="184" t="s">
        <v>19</v>
      </c>
      <c r="C101" s="185" t="n">
        <v>2022</v>
      </c>
      <c r="D101" s="186" t="n">
        <v>34.12</v>
      </c>
      <c r="E101" s="186" t="n">
        <v>83.59</v>
      </c>
      <c r="F101" s="187" t="n">
        <v>31649</v>
      </c>
      <c r="G101" s="188" t="n">
        <v>8.4816</v>
      </c>
      <c r="H101" s="188" t="n">
        <v>9.3776</v>
      </c>
      <c r="I101" s="187" t="n">
        <v>28472</v>
      </c>
      <c r="J101" s="188" t="n">
        <v>10.2567</v>
      </c>
      <c r="K101" s="189" t="n">
        <v>15.3</v>
      </c>
      <c r="L101" s="190" t="n">
        <v>0</v>
      </c>
      <c r="M101" s="190" t="n">
        <v>0</v>
      </c>
      <c r="N101" s="188" t="n">
        <v>83.5901</v>
      </c>
      <c r="O101" s="187" t="n">
        <v>14141626</v>
      </c>
    </row>
    <row r="102" customFormat="false" ht="12.75" hidden="false" customHeight="true" outlineLevel="0" collapsed="false">
      <c r="B102" s="191" t="s">
        <v>19</v>
      </c>
      <c r="C102" s="192" t="n">
        <v>2023</v>
      </c>
      <c r="D102" s="193" t="n">
        <v>33.58</v>
      </c>
      <c r="E102" s="193" t="n">
        <v>0.51</v>
      </c>
      <c r="F102" s="194" t="n">
        <v>31721</v>
      </c>
      <c r="G102" s="195" t="n">
        <v>8.4657</v>
      </c>
      <c r="H102" s="195" t="n">
        <v>4.2767</v>
      </c>
      <c r="I102" s="194" t="n">
        <v>30477</v>
      </c>
      <c r="J102" s="195" t="n">
        <v>10.3247</v>
      </c>
      <c r="K102" s="196" t="n">
        <v>13.4</v>
      </c>
      <c r="L102" s="197" t="n">
        <v>1</v>
      </c>
      <c r="M102" s="197" t="n">
        <v>0</v>
      </c>
      <c r="N102" s="195" t="n">
        <v>83.5901</v>
      </c>
      <c r="O102" s="194" t="n">
        <v>14141626</v>
      </c>
    </row>
    <row r="103" customFormat="false" ht="12.75" hidden="false" customHeight="true" outlineLevel="0" collapsed="false">
      <c r="B103" s="184" t="s">
        <v>19</v>
      </c>
      <c r="C103" s="185" t="n">
        <v>2024</v>
      </c>
      <c r="D103" s="186" t="n">
        <v>25.43</v>
      </c>
      <c r="E103" s="186" t="n">
        <v>10.38</v>
      </c>
      <c r="F103" s="187" t="n">
        <v>33262</v>
      </c>
      <c r="G103" s="188" t="n">
        <v>8.2367</v>
      </c>
      <c r="H103" s="188" t="n">
        <v>7.3402</v>
      </c>
      <c r="I103" s="187" t="n">
        <v>31312</v>
      </c>
      <c r="J103" s="188" t="n">
        <v>10.3518</v>
      </c>
      <c r="K103" s="189" t="n">
        <v>11.2</v>
      </c>
      <c r="L103" s="190" t="n">
        <v>1</v>
      </c>
      <c r="M103" s="190" t="n">
        <v>0</v>
      </c>
      <c r="N103" s="188" t="n">
        <v>83.5901</v>
      </c>
      <c r="O103" s="187" t="n">
        <v>14850513</v>
      </c>
    </row>
    <row r="104" customFormat="false" ht="12.75" hidden="false" customHeight="true" outlineLevel="0" collapsed="false">
      <c r="B104" s="170" t="s">
        <v>20</v>
      </c>
      <c r="C104" s="171" t="n">
        <v>2005</v>
      </c>
      <c r="D104" s="172" t="n">
        <v>12.49</v>
      </c>
      <c r="E104" s="172" t="n">
        <v>0.21</v>
      </c>
      <c r="F104" s="173" t="n">
        <v>17</v>
      </c>
      <c r="G104" s="174" t="n">
        <v>6.9187</v>
      </c>
      <c r="H104" s="174" t="n">
        <v>2.8332</v>
      </c>
      <c r="I104" s="173" t="n">
        <v>5055</v>
      </c>
      <c r="J104" s="174" t="n">
        <v>8.5281</v>
      </c>
      <c r="K104" s="175" t="n">
        <v>9.12</v>
      </c>
      <c r="L104" s="176" t="n">
        <v>0</v>
      </c>
      <c r="M104" s="176" t="n">
        <v>0</v>
      </c>
      <c r="N104" s="174" t="n">
        <v>73.201</v>
      </c>
      <c r="O104" s="173" t="n">
        <v>8097276</v>
      </c>
    </row>
    <row r="105" customFormat="false" ht="12.75" hidden="false" customHeight="true" outlineLevel="0" collapsed="false">
      <c r="B105" s="177" t="s">
        <v>20</v>
      </c>
      <c r="C105" s="178" t="n">
        <v>2006</v>
      </c>
      <c r="D105" s="179" t="n">
        <v>12.9</v>
      </c>
      <c r="E105" s="179" t="n">
        <v>0.27</v>
      </c>
      <c r="F105" s="180" t="n">
        <v>39</v>
      </c>
      <c r="G105" s="181" t="n">
        <v>6.966</v>
      </c>
      <c r="H105" s="181" t="n">
        <v>3.091</v>
      </c>
      <c r="I105" s="180" t="n">
        <v>5635</v>
      </c>
      <c r="J105" s="181" t="n">
        <v>8.6368</v>
      </c>
      <c r="K105" s="182" t="n">
        <v>8.36</v>
      </c>
      <c r="L105" s="183" t="n">
        <v>0</v>
      </c>
      <c r="M105" s="183" t="n">
        <v>0</v>
      </c>
      <c r="N105" s="181" t="n">
        <v>73.201</v>
      </c>
      <c r="O105" s="180" t="n">
        <v>8217085</v>
      </c>
    </row>
    <row r="106" customFormat="false" ht="12.75" hidden="false" customHeight="true" outlineLevel="0" collapsed="false">
      <c r="B106" s="170" t="s">
        <v>20</v>
      </c>
      <c r="C106" s="171" t="n">
        <v>2007</v>
      </c>
      <c r="D106" s="172" t="n">
        <v>15.04</v>
      </c>
      <c r="E106" s="172" t="n">
        <v>0.45</v>
      </c>
      <c r="F106" s="173" t="n">
        <v>76</v>
      </c>
      <c r="G106" s="174" t="n">
        <v>7.1156</v>
      </c>
      <c r="H106" s="174" t="n">
        <v>3.6109</v>
      </c>
      <c r="I106" s="173" t="n">
        <v>6149</v>
      </c>
      <c r="J106" s="174" t="n">
        <v>8.724</v>
      </c>
      <c r="K106" s="175" t="n">
        <v>7.88</v>
      </c>
      <c r="L106" s="176" t="n">
        <v>0</v>
      </c>
      <c r="M106" s="176" t="n">
        <v>0</v>
      </c>
      <c r="N106" s="174" t="n">
        <v>73.201</v>
      </c>
      <c r="O106" s="173" t="n">
        <v>8185250</v>
      </c>
    </row>
    <row r="107" customFormat="false" ht="12.75" hidden="false" customHeight="true" outlineLevel="0" collapsed="false">
      <c r="B107" s="177" t="s">
        <v>20</v>
      </c>
      <c r="C107" s="178" t="n">
        <v>2008</v>
      </c>
      <c r="D107" s="179" t="n">
        <v>15.89</v>
      </c>
      <c r="E107" s="179" t="n">
        <v>0.51</v>
      </c>
      <c r="F107" s="180" t="n">
        <v>119</v>
      </c>
      <c r="G107" s="181" t="n">
        <v>7.2027</v>
      </c>
      <c r="H107" s="181" t="n">
        <v>3.7612</v>
      </c>
      <c r="I107" s="180" t="n">
        <v>7112</v>
      </c>
      <c r="J107" s="181" t="n">
        <v>8.8695</v>
      </c>
      <c r="K107" s="182" t="n">
        <v>7</v>
      </c>
      <c r="L107" s="183" t="n">
        <v>0</v>
      </c>
      <c r="M107" s="183" t="n">
        <v>0</v>
      </c>
      <c r="N107" s="181" t="n">
        <v>73.201</v>
      </c>
      <c r="O107" s="180" t="n">
        <v>8450528</v>
      </c>
    </row>
    <row r="108" customFormat="false" ht="12.75" hidden="false" customHeight="true" outlineLevel="0" collapsed="false">
      <c r="B108" s="170" t="s">
        <v>20</v>
      </c>
      <c r="C108" s="171" t="n">
        <v>2009</v>
      </c>
      <c r="D108" s="172" t="n">
        <v>17.72</v>
      </c>
      <c r="E108" s="172" t="n">
        <v>1.5</v>
      </c>
      <c r="F108" s="173" t="n">
        <v>247</v>
      </c>
      <c r="G108" s="174" t="n">
        <v>7.3232</v>
      </c>
      <c r="H108" s="174" t="n">
        <v>4.852</v>
      </c>
      <c r="I108" s="173" t="n">
        <v>7687</v>
      </c>
      <c r="J108" s="174" t="n">
        <v>8.9473</v>
      </c>
      <c r="K108" s="175" t="n">
        <v>7.91</v>
      </c>
      <c r="L108" s="176" t="n">
        <v>0</v>
      </c>
      <c r="M108" s="176" t="n">
        <v>0</v>
      </c>
      <c r="N108" s="174" t="n">
        <v>73.201</v>
      </c>
      <c r="O108" s="173" t="n">
        <v>8547809</v>
      </c>
    </row>
    <row r="109" customFormat="false" ht="12.75" hidden="false" customHeight="true" outlineLevel="0" collapsed="false">
      <c r="B109" s="177" t="s">
        <v>20</v>
      </c>
      <c r="C109" s="178" t="n">
        <v>2010</v>
      </c>
      <c r="D109" s="179" t="n">
        <v>24.32</v>
      </c>
      <c r="E109" s="179" t="n">
        <v>1.59</v>
      </c>
      <c r="F109" s="180" t="n">
        <v>381</v>
      </c>
      <c r="G109" s="181" t="n">
        <v>7.6285</v>
      </c>
      <c r="H109" s="181" t="n">
        <v>4.8978</v>
      </c>
      <c r="I109" s="180" t="n">
        <v>9386</v>
      </c>
      <c r="J109" s="181" t="n">
        <v>9.147</v>
      </c>
      <c r="K109" s="182" t="n">
        <v>7.02</v>
      </c>
      <c r="L109" s="183" t="n">
        <v>0</v>
      </c>
      <c r="M109" s="183" t="n">
        <v>0</v>
      </c>
      <c r="N109" s="181" t="n">
        <v>73.201</v>
      </c>
      <c r="O109" s="180" t="n">
        <v>8452381</v>
      </c>
    </row>
    <row r="110" customFormat="false" ht="12.75" hidden="false" customHeight="true" outlineLevel="0" collapsed="false">
      <c r="B110" s="170" t="s">
        <v>20</v>
      </c>
      <c r="C110" s="171" t="n">
        <v>2011</v>
      </c>
      <c r="D110" s="172" t="n">
        <v>24.18</v>
      </c>
      <c r="E110" s="172" t="n">
        <v>2.59</v>
      </c>
      <c r="F110" s="173" t="n">
        <v>602</v>
      </c>
      <c r="G110" s="174" t="n">
        <v>7.6319</v>
      </c>
      <c r="H110" s="174" t="n">
        <v>5.3982</v>
      </c>
      <c r="I110" s="173" t="n">
        <v>10515</v>
      </c>
      <c r="J110" s="174" t="n">
        <v>9.2606</v>
      </c>
      <c r="K110" s="175" t="n">
        <v>6.12</v>
      </c>
      <c r="L110" s="176" t="n">
        <v>0</v>
      </c>
      <c r="M110" s="176" t="n">
        <v>0</v>
      </c>
      <c r="N110" s="174" t="n">
        <v>73.201</v>
      </c>
      <c r="O110" s="173" t="n">
        <v>8530155</v>
      </c>
    </row>
    <row r="111" customFormat="false" ht="12.75" hidden="false" customHeight="true" outlineLevel="0" collapsed="false">
      <c r="B111" s="177" t="s">
        <v>20</v>
      </c>
      <c r="C111" s="178" t="n">
        <v>2012</v>
      </c>
      <c r="D111" s="179" t="n">
        <v>36.39</v>
      </c>
      <c r="E111" s="179" t="n">
        <v>3.32</v>
      </c>
      <c r="F111" s="180" t="n">
        <v>888</v>
      </c>
      <c r="G111" s="181" t="n">
        <v>8.0494</v>
      </c>
      <c r="H111" s="181" t="n">
        <v>5.656</v>
      </c>
      <c r="I111" s="180" t="n">
        <v>11268</v>
      </c>
      <c r="J111" s="181" t="n">
        <v>9.3297</v>
      </c>
      <c r="K111" s="182" t="n">
        <v>6.58</v>
      </c>
      <c r="L111" s="183" t="n">
        <v>0</v>
      </c>
      <c r="M111" s="183" t="n">
        <v>0</v>
      </c>
      <c r="N111" s="181" t="n">
        <v>73.201</v>
      </c>
      <c r="O111" s="180" t="n">
        <v>8606005</v>
      </c>
    </row>
    <row r="112" customFormat="false" ht="12.75" hidden="false" customHeight="true" outlineLevel="0" collapsed="false">
      <c r="B112" s="170" t="s">
        <v>20</v>
      </c>
      <c r="C112" s="171" t="n">
        <v>2013</v>
      </c>
      <c r="D112" s="172" t="n">
        <v>41.6</v>
      </c>
      <c r="E112" s="172" t="n">
        <v>4.28</v>
      </c>
      <c r="F112" s="173" t="n">
        <v>1264</v>
      </c>
      <c r="G112" s="174" t="n">
        <v>8.203</v>
      </c>
      <c r="H112" s="174" t="n">
        <v>5.9296</v>
      </c>
      <c r="I112" s="173" t="n">
        <v>12421</v>
      </c>
      <c r="J112" s="174" t="n">
        <v>9.4271</v>
      </c>
      <c r="K112" s="175" t="n">
        <v>7.42</v>
      </c>
      <c r="L112" s="176" t="n">
        <v>0</v>
      </c>
      <c r="M112" s="176" t="n">
        <v>0</v>
      </c>
      <c r="N112" s="174" t="n">
        <v>73.201</v>
      </c>
      <c r="O112" s="173" t="n">
        <v>8778576</v>
      </c>
    </row>
    <row r="113" customFormat="false" ht="12.75" hidden="false" customHeight="true" outlineLevel="0" collapsed="false">
      <c r="B113" s="177" t="s">
        <v>20</v>
      </c>
      <c r="C113" s="178" t="n">
        <v>2014</v>
      </c>
      <c r="D113" s="179" t="n">
        <v>42.97</v>
      </c>
      <c r="E113" s="179" t="n">
        <v>1.83</v>
      </c>
      <c r="F113" s="180" t="n">
        <v>1426</v>
      </c>
      <c r="G113" s="181" t="n">
        <v>8.2428</v>
      </c>
      <c r="H113" s="181" t="n">
        <v>5.0876</v>
      </c>
      <c r="I113" s="180" t="n">
        <v>14255</v>
      </c>
      <c r="J113" s="181" t="n">
        <v>9.5649</v>
      </c>
      <c r="K113" s="182" t="n">
        <v>8.23</v>
      </c>
      <c r="L113" s="183" t="n">
        <v>0</v>
      </c>
      <c r="M113" s="183" t="n">
        <v>0</v>
      </c>
      <c r="N113" s="181" t="n">
        <v>73.201</v>
      </c>
      <c r="O113" s="180" t="n">
        <v>8842791</v>
      </c>
    </row>
    <row r="114" customFormat="false" ht="12.75" hidden="false" customHeight="true" outlineLevel="0" collapsed="false">
      <c r="B114" s="170" t="s">
        <v>20</v>
      </c>
      <c r="C114" s="171" t="n">
        <v>2015</v>
      </c>
      <c r="D114" s="172" t="n">
        <v>38.15</v>
      </c>
      <c r="E114" s="172" t="n">
        <v>2.81</v>
      </c>
      <c r="F114" s="173" t="n">
        <v>1676</v>
      </c>
      <c r="G114" s="174" t="n">
        <v>8.1306</v>
      </c>
      <c r="H114" s="174" t="n">
        <v>5.5215</v>
      </c>
      <c r="I114" s="173" t="n">
        <v>14670</v>
      </c>
      <c r="J114" s="174" t="n">
        <v>9.5936</v>
      </c>
      <c r="K114" s="175" t="n">
        <v>8.9</v>
      </c>
      <c r="L114" s="176" t="n">
        <v>0</v>
      </c>
      <c r="M114" s="176" t="n">
        <v>0</v>
      </c>
      <c r="N114" s="174" t="n">
        <v>73.201</v>
      </c>
      <c r="O114" s="173" t="n">
        <v>8904459</v>
      </c>
    </row>
    <row r="115" customFormat="false" ht="12.75" hidden="false" customHeight="true" outlineLevel="0" collapsed="false">
      <c r="B115" s="184" t="s">
        <v>20</v>
      </c>
      <c r="C115" s="185" t="n">
        <v>2016</v>
      </c>
      <c r="D115" s="186" t="n">
        <v>32.26</v>
      </c>
      <c r="E115" s="186" t="n">
        <v>4.33</v>
      </c>
      <c r="F115" s="187" t="n">
        <v>2064</v>
      </c>
      <c r="G115" s="188" t="n">
        <v>7.9697</v>
      </c>
      <c r="H115" s="188" t="n">
        <v>5.961</v>
      </c>
      <c r="I115" s="187" t="n">
        <v>15443</v>
      </c>
      <c r="J115" s="188" t="n">
        <v>9.6449</v>
      </c>
      <c r="K115" s="189" t="n">
        <v>12.1</v>
      </c>
      <c r="L115" s="190" t="n">
        <v>0</v>
      </c>
      <c r="M115" s="190" t="n">
        <v>0</v>
      </c>
      <c r="N115" s="188" t="n">
        <v>73.201</v>
      </c>
      <c r="O115" s="187" t="n">
        <v>8963663</v>
      </c>
    </row>
    <row r="116" customFormat="false" ht="12.75" hidden="false" customHeight="true" outlineLevel="0" collapsed="false">
      <c r="B116" s="191" t="s">
        <v>20</v>
      </c>
      <c r="C116" s="192" t="n">
        <v>2017</v>
      </c>
      <c r="D116" s="193" t="n">
        <v>52.05</v>
      </c>
      <c r="E116" s="193" t="n">
        <v>7.67</v>
      </c>
      <c r="F116" s="194" t="n">
        <v>2756</v>
      </c>
      <c r="G116" s="195" t="n">
        <v>8.4543</v>
      </c>
      <c r="H116" s="195" t="n">
        <v>6.5396</v>
      </c>
      <c r="I116" s="194" t="n">
        <v>16398</v>
      </c>
      <c r="J116" s="195" t="n">
        <v>9.7049</v>
      </c>
      <c r="K116" s="196" t="n">
        <v>12.7</v>
      </c>
      <c r="L116" s="197" t="n">
        <v>0</v>
      </c>
      <c r="M116" s="197" t="n">
        <v>0</v>
      </c>
      <c r="N116" s="195" t="n">
        <v>73.201</v>
      </c>
      <c r="O116" s="194" t="n">
        <v>9020460</v>
      </c>
    </row>
    <row r="117" customFormat="false" ht="12.75" hidden="false" customHeight="true" outlineLevel="0" collapsed="false">
      <c r="B117" s="184" t="s">
        <v>20</v>
      </c>
      <c r="C117" s="185" t="n">
        <v>2018</v>
      </c>
      <c r="D117" s="186" t="n">
        <v>46.5</v>
      </c>
      <c r="E117" s="186" t="n">
        <v>10.94</v>
      </c>
      <c r="F117" s="187" t="n">
        <v>3749</v>
      </c>
      <c r="G117" s="188" t="n">
        <v>8.3476</v>
      </c>
      <c r="H117" s="188" t="n">
        <v>6.9007</v>
      </c>
      <c r="I117" s="187" t="n">
        <v>17178</v>
      </c>
      <c r="J117" s="188" t="n">
        <v>9.7514</v>
      </c>
      <c r="K117" s="189" t="n">
        <v>11.4</v>
      </c>
      <c r="L117" s="190" t="n">
        <v>0</v>
      </c>
      <c r="M117" s="190" t="n">
        <v>0</v>
      </c>
      <c r="N117" s="188" t="n">
        <v>73.201</v>
      </c>
      <c r="O117" s="187" t="n">
        <v>9075649</v>
      </c>
    </row>
    <row r="118" customFormat="false" ht="12.75" hidden="false" customHeight="true" outlineLevel="0" collapsed="false">
      <c r="B118" s="191" t="s">
        <v>20</v>
      </c>
      <c r="C118" s="192" t="n">
        <v>2019</v>
      </c>
      <c r="D118" s="193" t="n">
        <v>20.64</v>
      </c>
      <c r="E118" s="193" t="n">
        <v>23.02</v>
      </c>
      <c r="F118" s="194" t="n">
        <v>5851</v>
      </c>
      <c r="G118" s="195" t="n">
        <v>7.5417</v>
      </c>
      <c r="H118" s="195" t="n">
        <v>7.6506</v>
      </c>
      <c r="I118" s="194" t="n">
        <v>17912</v>
      </c>
      <c r="J118" s="195" t="n">
        <v>9.7932</v>
      </c>
      <c r="K118" s="196" t="n">
        <v>11.1</v>
      </c>
      <c r="L118" s="197" t="n">
        <v>0</v>
      </c>
      <c r="M118" s="197" t="n">
        <v>0</v>
      </c>
      <c r="N118" s="195" t="n">
        <v>73.201</v>
      </c>
      <c r="O118" s="194" t="n">
        <v>9132078</v>
      </c>
    </row>
    <row r="119" customFormat="false" ht="12.75" hidden="false" customHeight="true" outlineLevel="0" collapsed="false">
      <c r="B119" s="184" t="s">
        <v>20</v>
      </c>
      <c r="C119" s="185" t="n">
        <v>2020</v>
      </c>
      <c r="D119" s="186" t="n">
        <v>37.38</v>
      </c>
      <c r="E119" s="186" t="n">
        <v>33.93</v>
      </c>
      <c r="F119" s="187" t="n">
        <v>8968</v>
      </c>
      <c r="G119" s="188" t="n">
        <v>8.1415</v>
      </c>
      <c r="H119" s="188" t="n">
        <v>8.0446</v>
      </c>
      <c r="I119" s="187" t="n">
        <v>18168</v>
      </c>
      <c r="J119" s="188" t="n">
        <v>9.8074</v>
      </c>
      <c r="K119" s="189" t="n">
        <v>13.3</v>
      </c>
      <c r="L119" s="190" t="n">
        <v>0</v>
      </c>
      <c r="M119" s="190" t="n">
        <v>1</v>
      </c>
      <c r="N119" s="188" t="n">
        <v>73.201</v>
      </c>
      <c r="O119" s="187" t="n">
        <v>9187103</v>
      </c>
    </row>
    <row r="120" customFormat="false" ht="12.75" hidden="false" customHeight="true" outlineLevel="0" collapsed="false">
      <c r="B120" s="191" t="s">
        <v>20</v>
      </c>
      <c r="C120" s="192" t="n">
        <v>2021</v>
      </c>
      <c r="D120" s="193" t="n">
        <v>32.1</v>
      </c>
      <c r="E120" s="193" t="n">
        <v>66.87</v>
      </c>
      <c r="F120" s="194" t="n">
        <v>15147</v>
      </c>
      <c r="G120" s="195" t="n">
        <v>7.995</v>
      </c>
      <c r="H120" s="195" t="n">
        <v>8.7289</v>
      </c>
      <c r="I120" s="194" t="n">
        <v>21090</v>
      </c>
      <c r="J120" s="195" t="n">
        <v>9.9566</v>
      </c>
      <c r="K120" s="196" t="n">
        <v>13.4</v>
      </c>
      <c r="L120" s="197" t="n">
        <v>0</v>
      </c>
      <c r="M120" s="197" t="n">
        <v>1</v>
      </c>
      <c r="N120" s="195" t="n">
        <v>73.201</v>
      </c>
      <c r="O120" s="194" t="n">
        <v>9240580</v>
      </c>
    </row>
    <row r="121" customFormat="false" ht="12.75" hidden="false" customHeight="true" outlineLevel="0" collapsed="false">
      <c r="B121" s="184" t="s">
        <v>20</v>
      </c>
      <c r="C121" s="185" t="n">
        <v>2022</v>
      </c>
      <c r="D121" s="186" t="n">
        <v>28.13</v>
      </c>
      <c r="E121" s="186" t="n">
        <v>73.2</v>
      </c>
      <c r="F121" s="187" t="n">
        <v>21585</v>
      </c>
      <c r="G121" s="188" t="n">
        <v>7.8136</v>
      </c>
      <c r="H121" s="188" t="n">
        <v>8.77</v>
      </c>
      <c r="I121" s="187" t="n">
        <v>24287</v>
      </c>
      <c r="J121" s="188" t="n">
        <v>10.0977</v>
      </c>
      <c r="K121" s="189" t="n">
        <v>9.5</v>
      </c>
      <c r="L121" s="190" t="n">
        <v>0</v>
      </c>
      <c r="M121" s="190" t="n">
        <v>0</v>
      </c>
      <c r="N121" s="188" t="n">
        <v>73.201</v>
      </c>
      <c r="O121" s="187" t="n">
        <v>8794957</v>
      </c>
    </row>
    <row r="122" customFormat="false" ht="12.75" hidden="false" customHeight="true" outlineLevel="0" collapsed="false">
      <c r="B122" s="191" t="s">
        <v>20</v>
      </c>
      <c r="C122" s="192" t="n">
        <v>2023</v>
      </c>
      <c r="D122" s="193" t="n">
        <v>28.57</v>
      </c>
      <c r="E122" s="193" t="n">
        <v>0.2</v>
      </c>
      <c r="F122" s="194" t="n">
        <v>21603</v>
      </c>
      <c r="G122" s="195" t="n">
        <v>7.8292</v>
      </c>
      <c r="H122" s="195" t="n">
        <v>2.8904</v>
      </c>
      <c r="I122" s="194" t="n">
        <v>26406</v>
      </c>
      <c r="J122" s="195" t="n">
        <v>10.1813</v>
      </c>
      <c r="K122" s="196" t="n">
        <v>9.1</v>
      </c>
      <c r="L122" s="197" t="n">
        <v>1</v>
      </c>
      <c r="M122" s="197" t="n">
        <v>0</v>
      </c>
      <c r="N122" s="195" t="n">
        <v>73.201</v>
      </c>
      <c r="O122" s="194" t="n">
        <v>8794957</v>
      </c>
    </row>
    <row r="123" customFormat="false" ht="12.75" hidden="false" customHeight="true" outlineLevel="0" collapsed="false">
      <c r="B123" s="184" t="s">
        <v>20</v>
      </c>
      <c r="C123" s="185" t="n">
        <v>2024</v>
      </c>
      <c r="D123" s="186" t="n">
        <v>29.3</v>
      </c>
      <c r="E123" s="186" t="n">
        <v>14.34</v>
      </c>
      <c r="F123" s="187" t="n">
        <v>22927</v>
      </c>
      <c r="G123" s="188" t="n">
        <v>7.9029</v>
      </c>
      <c r="H123" s="188" t="n">
        <v>7.1884</v>
      </c>
      <c r="I123" s="187" t="n">
        <v>27101</v>
      </c>
      <c r="J123" s="188" t="n">
        <v>10.2073</v>
      </c>
      <c r="K123" s="189" t="n">
        <v>7.3</v>
      </c>
      <c r="L123" s="190" t="n">
        <v>1</v>
      </c>
      <c r="M123" s="190" t="n">
        <v>0</v>
      </c>
      <c r="N123" s="188" t="n">
        <v>73.201</v>
      </c>
      <c r="O123" s="187" t="n">
        <v>9233656</v>
      </c>
    </row>
    <row r="124" customFormat="false" ht="12.75" hidden="false" customHeight="true" outlineLevel="0" collapsed="false">
      <c r="B124" s="170" t="s">
        <v>21</v>
      </c>
      <c r="C124" s="171" t="n">
        <v>2005</v>
      </c>
      <c r="D124" s="172" t="n">
        <v>21.94</v>
      </c>
      <c r="E124" s="172" t="n">
        <v>3.21</v>
      </c>
      <c r="F124" s="173" t="n">
        <v>75</v>
      </c>
      <c r="G124" s="174" t="n">
        <v>6.2383</v>
      </c>
      <c r="H124" s="174" t="n">
        <v>4.3175</v>
      </c>
      <c r="I124" s="173" t="n">
        <v>34515</v>
      </c>
      <c r="J124" s="174" t="n">
        <v>10.4491</v>
      </c>
      <c r="K124" s="175" t="n">
        <v>13.51</v>
      </c>
      <c r="L124" s="176" t="n">
        <v>0</v>
      </c>
      <c r="M124" s="176" t="n">
        <v>0</v>
      </c>
      <c r="N124" s="174" t="n">
        <v>385.4999</v>
      </c>
      <c r="O124" s="173" t="n">
        <v>2333108</v>
      </c>
    </row>
    <row r="125" customFormat="false" ht="12.75" hidden="false" customHeight="true" outlineLevel="0" collapsed="false">
      <c r="B125" s="177" t="s">
        <v>21</v>
      </c>
      <c r="C125" s="178" t="n">
        <v>2006</v>
      </c>
      <c r="D125" s="179" t="n">
        <v>21.06</v>
      </c>
      <c r="E125" s="179" t="n">
        <v>2.64</v>
      </c>
      <c r="F125" s="180" t="n">
        <v>138</v>
      </c>
      <c r="G125" s="181" t="n">
        <v>6.2186</v>
      </c>
      <c r="H125" s="181" t="n">
        <v>4.1431</v>
      </c>
      <c r="I125" s="180" t="n">
        <v>37599</v>
      </c>
      <c r="J125" s="181" t="n">
        <v>10.5347</v>
      </c>
      <c r="K125" s="182" t="n">
        <v>11.63</v>
      </c>
      <c r="L125" s="183" t="n">
        <v>0</v>
      </c>
      <c r="M125" s="183" t="n">
        <v>0</v>
      </c>
      <c r="N125" s="181" t="n">
        <v>385.4999</v>
      </c>
      <c r="O125" s="180" t="n">
        <v>2383784</v>
      </c>
    </row>
    <row r="126" customFormat="false" ht="12.75" hidden="false" customHeight="true" outlineLevel="0" collapsed="false">
      <c r="B126" s="170" t="s">
        <v>21</v>
      </c>
      <c r="C126" s="171" t="n">
        <v>2007</v>
      </c>
      <c r="D126" s="172" t="n">
        <v>24.06</v>
      </c>
      <c r="E126" s="172" t="n">
        <v>2.16</v>
      </c>
      <c r="F126" s="173" t="n">
        <v>191</v>
      </c>
      <c r="G126" s="174" t="n">
        <v>6.3818</v>
      </c>
      <c r="H126" s="174" t="n">
        <v>3.9703</v>
      </c>
      <c r="I126" s="173" t="n">
        <v>40696</v>
      </c>
      <c r="J126" s="174" t="n">
        <v>10.6139</v>
      </c>
      <c r="K126" s="175" t="n">
        <v>11.95</v>
      </c>
      <c r="L126" s="176" t="n">
        <v>0</v>
      </c>
      <c r="M126" s="176" t="n">
        <v>0</v>
      </c>
      <c r="N126" s="174" t="n">
        <v>385.4999</v>
      </c>
      <c r="O126" s="173" t="n">
        <v>2455903</v>
      </c>
    </row>
    <row r="127" customFormat="false" ht="12.75" hidden="false" customHeight="true" outlineLevel="0" collapsed="false">
      <c r="B127" s="177" t="s">
        <v>21</v>
      </c>
      <c r="C127" s="178" t="n">
        <v>2008</v>
      </c>
      <c r="D127" s="179" t="n">
        <v>24.13</v>
      </c>
      <c r="E127" s="179" t="n">
        <v>2.54</v>
      </c>
      <c r="F127" s="180" t="n">
        <v>256</v>
      </c>
      <c r="G127" s="181" t="n">
        <v>6.4249</v>
      </c>
      <c r="H127" s="181" t="n">
        <v>4.1744</v>
      </c>
      <c r="I127" s="180" t="n">
        <v>45978</v>
      </c>
      <c r="J127" s="181" t="n">
        <v>10.7359</v>
      </c>
      <c r="K127" s="182" t="n">
        <v>11.24</v>
      </c>
      <c r="L127" s="183" t="n">
        <v>0</v>
      </c>
      <c r="M127" s="183" t="n">
        <v>0</v>
      </c>
      <c r="N127" s="181" t="n">
        <v>385.4999</v>
      </c>
      <c r="O127" s="180" t="n">
        <v>2557159</v>
      </c>
    </row>
    <row r="128" customFormat="false" ht="12.75" hidden="false" customHeight="true" outlineLevel="0" collapsed="false">
      <c r="B128" s="170" t="s">
        <v>21</v>
      </c>
      <c r="C128" s="171" t="n">
        <v>2009</v>
      </c>
      <c r="D128" s="172" t="n">
        <v>28.58</v>
      </c>
      <c r="E128" s="172" t="n">
        <v>2.49</v>
      </c>
      <c r="F128" s="173" t="n">
        <v>321</v>
      </c>
      <c r="G128" s="174" t="n">
        <v>6.6134</v>
      </c>
      <c r="H128" s="174" t="n">
        <v>4.1744</v>
      </c>
      <c r="I128" s="173" t="n">
        <v>50438</v>
      </c>
      <c r="J128" s="174" t="n">
        <v>10.8285</v>
      </c>
      <c r="K128" s="175" t="n">
        <v>11.46</v>
      </c>
      <c r="L128" s="176" t="n">
        <v>0</v>
      </c>
      <c r="M128" s="176" t="n">
        <v>0</v>
      </c>
      <c r="N128" s="174" t="n">
        <v>385.4999</v>
      </c>
      <c r="O128" s="173" t="n">
        <v>2606885</v>
      </c>
    </row>
    <row r="129" customFormat="false" ht="12.75" hidden="false" customHeight="true" outlineLevel="0" collapsed="false">
      <c r="B129" s="177" t="s">
        <v>21</v>
      </c>
      <c r="C129" s="178" t="n">
        <v>2010</v>
      </c>
      <c r="D129" s="179" t="n">
        <v>24.51</v>
      </c>
      <c r="E129" s="179" t="n">
        <v>2.33</v>
      </c>
      <c r="F129" s="180" t="n">
        <v>381</v>
      </c>
      <c r="G129" s="181" t="n">
        <v>6.4457</v>
      </c>
      <c r="H129" s="181" t="n">
        <v>4.0943</v>
      </c>
      <c r="I129" s="180" t="n">
        <v>56095</v>
      </c>
      <c r="J129" s="181" t="n">
        <v>10.9348</v>
      </c>
      <c r="K129" s="182" t="n">
        <v>9.67</v>
      </c>
      <c r="L129" s="183" t="n">
        <v>0</v>
      </c>
      <c r="M129" s="183" t="n">
        <v>0</v>
      </c>
      <c r="N129" s="181" t="n">
        <v>385.4999</v>
      </c>
      <c r="O129" s="180" t="n">
        <v>2570160</v>
      </c>
    </row>
    <row r="130" customFormat="false" ht="12.75" hidden="false" customHeight="true" outlineLevel="0" collapsed="false">
      <c r="B130" s="170" t="s">
        <v>21</v>
      </c>
      <c r="C130" s="171" t="n">
        <v>2011</v>
      </c>
      <c r="D130" s="172" t="n">
        <v>27.2</v>
      </c>
      <c r="E130" s="172" t="n">
        <v>6.02</v>
      </c>
      <c r="F130" s="173" t="n">
        <v>538</v>
      </c>
      <c r="G130" s="174" t="n">
        <v>6.5653</v>
      </c>
      <c r="H130" s="174" t="n">
        <v>5.0562</v>
      </c>
      <c r="I130" s="173" t="n">
        <v>59222</v>
      </c>
      <c r="J130" s="174" t="n">
        <v>10.989</v>
      </c>
      <c r="K130" s="175" t="n">
        <v>7.88</v>
      </c>
      <c r="L130" s="176" t="n">
        <v>0</v>
      </c>
      <c r="M130" s="176" t="n">
        <v>0</v>
      </c>
      <c r="N130" s="174" t="n">
        <v>385.4999</v>
      </c>
      <c r="O130" s="173" t="n">
        <v>2609998</v>
      </c>
    </row>
    <row r="131" customFormat="false" ht="12.75" hidden="false" customHeight="true" outlineLevel="0" collapsed="false">
      <c r="B131" s="177" t="s">
        <v>21</v>
      </c>
      <c r="C131" s="178" t="n">
        <v>2012</v>
      </c>
      <c r="D131" s="179" t="n">
        <v>29.68</v>
      </c>
      <c r="E131" s="179" t="n">
        <v>4.15</v>
      </c>
      <c r="F131" s="180" t="n">
        <v>648</v>
      </c>
      <c r="G131" s="181" t="n">
        <v>6.667</v>
      </c>
      <c r="H131" s="181" t="n">
        <v>4.7005</v>
      </c>
      <c r="I131" s="180" t="n">
        <v>61959</v>
      </c>
      <c r="J131" s="181" t="n">
        <v>11.0342</v>
      </c>
      <c r="K131" s="182" t="n">
        <v>8.39</v>
      </c>
      <c r="L131" s="183" t="n">
        <v>0</v>
      </c>
      <c r="M131" s="183" t="n">
        <v>0</v>
      </c>
      <c r="N131" s="181" t="n">
        <v>385.4999</v>
      </c>
      <c r="O131" s="180" t="n">
        <v>2648532</v>
      </c>
    </row>
    <row r="132" customFormat="false" ht="12.75" hidden="false" customHeight="true" outlineLevel="0" collapsed="false">
      <c r="B132" s="170" t="s">
        <v>21</v>
      </c>
      <c r="C132" s="171" t="n">
        <v>2013</v>
      </c>
      <c r="D132" s="172" t="n">
        <v>23.51</v>
      </c>
      <c r="E132" s="172" t="n">
        <v>2.47</v>
      </c>
      <c r="F132" s="173" t="n">
        <v>717</v>
      </c>
      <c r="G132" s="174" t="n">
        <v>6.4862</v>
      </c>
      <c r="H132" s="174" t="n">
        <v>4.2341</v>
      </c>
      <c r="I132" s="173" t="n">
        <v>63054</v>
      </c>
      <c r="J132" s="174" t="n">
        <v>11.0517</v>
      </c>
      <c r="K132" s="175" t="n">
        <v>9.32</v>
      </c>
      <c r="L132" s="176" t="n">
        <v>0</v>
      </c>
      <c r="M132" s="176" t="n">
        <v>0</v>
      </c>
      <c r="N132" s="174" t="n">
        <v>385.4999</v>
      </c>
      <c r="O132" s="173" t="n">
        <v>2789761</v>
      </c>
    </row>
    <row r="133" customFormat="false" ht="12.75" hidden="false" customHeight="true" outlineLevel="0" collapsed="false">
      <c r="B133" s="177" t="s">
        <v>21</v>
      </c>
      <c r="C133" s="178" t="n">
        <v>2014</v>
      </c>
      <c r="D133" s="179" t="n">
        <v>24.75</v>
      </c>
      <c r="E133" s="179" t="n">
        <v>1.65</v>
      </c>
      <c r="F133" s="180" t="n">
        <v>764</v>
      </c>
      <c r="G133" s="181" t="n">
        <v>6.5596</v>
      </c>
      <c r="H133" s="181" t="n">
        <v>3.8501</v>
      </c>
      <c r="I133" s="180" t="n">
        <v>69217</v>
      </c>
      <c r="J133" s="181" t="n">
        <v>11.145</v>
      </c>
      <c r="K133" s="182" t="n">
        <v>9.48</v>
      </c>
      <c r="L133" s="183" t="n">
        <v>0</v>
      </c>
      <c r="M133" s="183" t="n">
        <v>0</v>
      </c>
      <c r="N133" s="181" t="n">
        <v>385.4999</v>
      </c>
      <c r="O133" s="180" t="n">
        <v>2852372</v>
      </c>
    </row>
    <row r="134" customFormat="false" ht="12.75" hidden="false" customHeight="true" outlineLevel="0" collapsed="false">
      <c r="B134" s="170" t="s">
        <v>21</v>
      </c>
      <c r="C134" s="171" t="n">
        <v>2015</v>
      </c>
      <c r="D134" s="172" t="n">
        <v>18.35</v>
      </c>
      <c r="E134" s="172" t="n">
        <v>1.65</v>
      </c>
      <c r="F134" s="173" t="n">
        <v>812</v>
      </c>
      <c r="G134" s="174" t="n">
        <v>6.2823</v>
      </c>
      <c r="H134" s="174" t="n">
        <v>3.8712</v>
      </c>
      <c r="I134" s="173" t="n">
        <v>73971</v>
      </c>
      <c r="J134" s="174" t="n">
        <v>11.2114</v>
      </c>
      <c r="K134" s="175" t="n">
        <v>10.2</v>
      </c>
      <c r="L134" s="176" t="n">
        <v>0</v>
      </c>
      <c r="M134" s="176" t="n">
        <v>0</v>
      </c>
      <c r="N134" s="174" t="n">
        <v>385.4999</v>
      </c>
      <c r="O134" s="173" t="n">
        <v>2914830</v>
      </c>
    </row>
    <row r="135" customFormat="false" ht="12.75" hidden="false" customHeight="true" outlineLevel="0" collapsed="false">
      <c r="B135" s="184" t="s">
        <v>21</v>
      </c>
      <c r="C135" s="185" t="n">
        <v>2016</v>
      </c>
      <c r="D135" s="186" t="n">
        <v>18.17</v>
      </c>
      <c r="E135" s="186" t="n">
        <v>6.35</v>
      </c>
      <c r="F135" s="187" t="n">
        <v>1001</v>
      </c>
      <c r="G135" s="188" t="n">
        <v>6.2934</v>
      </c>
      <c r="H135" s="188" t="n">
        <v>5.2417</v>
      </c>
      <c r="I135" s="187" t="n">
        <v>79114</v>
      </c>
      <c r="J135" s="188" t="n">
        <v>11.2786</v>
      </c>
      <c r="K135" s="189" t="n">
        <v>12.1</v>
      </c>
      <c r="L135" s="190" t="n">
        <v>0</v>
      </c>
      <c r="M135" s="190" t="n">
        <v>0</v>
      </c>
      <c r="N135" s="188" t="n">
        <v>385.4999</v>
      </c>
      <c r="O135" s="187" t="n">
        <v>2977216</v>
      </c>
    </row>
    <row r="136" customFormat="false" ht="12.75" hidden="false" customHeight="true" outlineLevel="0" collapsed="false">
      <c r="B136" s="191" t="s">
        <v>21</v>
      </c>
      <c r="C136" s="192" t="n">
        <v>2017</v>
      </c>
      <c r="D136" s="193" t="n">
        <v>13.32</v>
      </c>
      <c r="E136" s="193" t="n">
        <v>10.5</v>
      </c>
      <c r="F136" s="194" t="n">
        <v>1320</v>
      </c>
      <c r="G136" s="195" t="n">
        <v>6.0039</v>
      </c>
      <c r="H136" s="195" t="n">
        <v>5.7652</v>
      </c>
      <c r="I136" s="194" t="n">
        <v>80515</v>
      </c>
      <c r="J136" s="195" t="n">
        <v>11.2962</v>
      </c>
      <c r="K136" s="196" t="n">
        <v>13.3</v>
      </c>
      <c r="L136" s="197" t="n">
        <v>0</v>
      </c>
      <c r="M136" s="197" t="n">
        <v>0</v>
      </c>
      <c r="N136" s="195" t="n">
        <v>385.4999</v>
      </c>
      <c r="O136" s="194" t="n">
        <v>3039444</v>
      </c>
    </row>
    <row r="137" customFormat="false" ht="12.75" hidden="false" customHeight="true" outlineLevel="0" collapsed="false">
      <c r="B137" s="184" t="s">
        <v>21</v>
      </c>
      <c r="C137" s="185" t="n">
        <v>2018</v>
      </c>
      <c r="D137" s="186" t="n">
        <v>11.43</v>
      </c>
      <c r="E137" s="186" t="n">
        <v>16.81</v>
      </c>
      <c r="F137" s="187" t="n">
        <v>1820</v>
      </c>
      <c r="G137" s="188" t="n">
        <v>5.8289</v>
      </c>
      <c r="H137" s="188" t="n">
        <v>6.2146</v>
      </c>
      <c r="I137" s="187" t="n">
        <v>85661</v>
      </c>
      <c r="J137" s="188" t="n">
        <v>11.3582</v>
      </c>
      <c r="K137" s="189" t="n">
        <v>12.8</v>
      </c>
      <c r="L137" s="190" t="n">
        <v>0</v>
      </c>
      <c r="M137" s="190" t="n">
        <v>0</v>
      </c>
      <c r="N137" s="188" t="n">
        <v>385.4999</v>
      </c>
      <c r="O137" s="187" t="n">
        <v>2974703</v>
      </c>
    </row>
    <row r="138" customFormat="false" ht="12.75" hidden="false" customHeight="true" outlineLevel="0" collapsed="false">
      <c r="B138" s="191" t="s">
        <v>21</v>
      </c>
      <c r="C138" s="192" t="n">
        <v>2019</v>
      </c>
      <c r="D138" s="193" t="n">
        <v>8.85</v>
      </c>
      <c r="E138" s="193" t="n">
        <v>82.35</v>
      </c>
      <c r="F138" s="194" t="n">
        <v>4303</v>
      </c>
      <c r="G138" s="195" t="n">
        <v>5.5872</v>
      </c>
      <c r="H138" s="195" t="n">
        <v>7.8172</v>
      </c>
      <c r="I138" s="194" t="n">
        <v>90743</v>
      </c>
      <c r="J138" s="195" t="n">
        <v>11.4158</v>
      </c>
      <c r="K138" s="196" t="n">
        <v>13.4</v>
      </c>
      <c r="L138" s="197" t="n">
        <v>0</v>
      </c>
      <c r="M138" s="197" t="n">
        <v>0</v>
      </c>
      <c r="N138" s="195" t="n">
        <v>385.4999</v>
      </c>
      <c r="O138" s="194" t="n">
        <v>3015268</v>
      </c>
    </row>
    <row r="139" customFormat="false" ht="12.75" hidden="false" customHeight="true" outlineLevel="0" collapsed="false">
      <c r="B139" s="184" t="s">
        <v>21</v>
      </c>
      <c r="C139" s="185" t="n">
        <v>2020</v>
      </c>
      <c r="D139" s="186" t="n">
        <v>8.28</v>
      </c>
      <c r="E139" s="186" t="n">
        <v>165.13</v>
      </c>
      <c r="F139" s="187" t="n">
        <v>9348</v>
      </c>
      <c r="G139" s="188" t="n">
        <v>5.5334</v>
      </c>
      <c r="H139" s="188" t="n">
        <v>8.5262</v>
      </c>
      <c r="I139" s="187" t="n">
        <v>87016</v>
      </c>
      <c r="J139" s="188" t="n">
        <v>11.3738</v>
      </c>
      <c r="K139" s="189" t="n">
        <v>14.8</v>
      </c>
      <c r="L139" s="190" t="n">
        <v>0</v>
      </c>
      <c r="M139" s="190" t="n">
        <v>1</v>
      </c>
      <c r="N139" s="188" t="n">
        <v>385.4999</v>
      </c>
      <c r="O139" s="187" t="n">
        <v>3055149</v>
      </c>
    </row>
    <row r="140" customFormat="false" ht="12.75" hidden="false" customHeight="true" outlineLevel="0" collapsed="false">
      <c r="B140" s="191" t="s">
        <v>21</v>
      </c>
      <c r="C140" s="192" t="n">
        <v>2021</v>
      </c>
      <c r="D140" s="193" t="n">
        <v>6.24</v>
      </c>
      <c r="E140" s="193" t="n">
        <v>267.88</v>
      </c>
      <c r="F140" s="194" t="n">
        <v>17637</v>
      </c>
      <c r="G140" s="195" t="n">
        <v>5.2627</v>
      </c>
      <c r="H140" s="195" t="n">
        <v>9.0227</v>
      </c>
      <c r="I140" s="194" t="n">
        <v>92732</v>
      </c>
      <c r="J140" s="195" t="n">
        <v>11.4375</v>
      </c>
      <c r="K140" s="196" t="n">
        <v>14</v>
      </c>
      <c r="L140" s="197" t="n">
        <v>0</v>
      </c>
      <c r="M140" s="197" t="n">
        <v>1</v>
      </c>
      <c r="N140" s="195" t="n">
        <v>385.4999</v>
      </c>
      <c r="O140" s="194" t="n">
        <v>3094325</v>
      </c>
    </row>
    <row r="141" customFormat="false" ht="12.75" hidden="false" customHeight="true" outlineLevel="0" collapsed="false">
      <c r="B141" s="184" t="s">
        <v>21</v>
      </c>
      <c r="C141" s="185" t="n">
        <v>2022</v>
      </c>
      <c r="D141" s="186" t="n">
        <v>6.35</v>
      </c>
      <c r="E141" s="186" t="n">
        <v>385.5</v>
      </c>
      <c r="F141" s="187" t="n">
        <v>28498</v>
      </c>
      <c r="G141" s="188" t="n">
        <v>5.1874</v>
      </c>
      <c r="H141" s="188" t="n">
        <v>9.2929</v>
      </c>
      <c r="I141" s="187" t="n">
        <v>116700</v>
      </c>
      <c r="J141" s="188" t="n">
        <v>11.6674</v>
      </c>
      <c r="K141" s="189" t="n">
        <v>11.4</v>
      </c>
      <c r="L141" s="190" t="n">
        <v>0</v>
      </c>
      <c r="M141" s="190" t="n">
        <v>0</v>
      </c>
      <c r="N141" s="188" t="n">
        <v>385.4999</v>
      </c>
      <c r="O141" s="187" t="n">
        <v>2817381</v>
      </c>
    </row>
    <row r="142" customFormat="false" ht="12.75" hidden="false" customHeight="true" outlineLevel="0" collapsed="false">
      <c r="B142" s="191" t="s">
        <v>21</v>
      </c>
      <c r="C142" s="192" t="n">
        <v>2023</v>
      </c>
      <c r="D142" s="193" t="n">
        <v>4.69</v>
      </c>
      <c r="E142" s="193" t="n">
        <v>0.64</v>
      </c>
      <c r="F142" s="194" t="n">
        <v>28516</v>
      </c>
      <c r="G142" s="195" t="n">
        <v>4.8828</v>
      </c>
      <c r="H142" s="195" t="n">
        <v>2.8904</v>
      </c>
      <c r="I142" s="194" t="n">
        <v>129790</v>
      </c>
      <c r="J142" s="195" t="n">
        <v>11.7737</v>
      </c>
      <c r="K142" s="196" t="n">
        <v>9.8</v>
      </c>
      <c r="L142" s="197" t="n">
        <v>1</v>
      </c>
      <c r="M142" s="197" t="n">
        <v>0</v>
      </c>
      <c r="N142" s="195" t="n">
        <v>385.4999</v>
      </c>
      <c r="O142" s="194" t="n">
        <v>2817381</v>
      </c>
    </row>
    <row r="143" customFormat="false" ht="12.75" hidden="false" customHeight="true" outlineLevel="0" collapsed="false">
      <c r="B143" s="184" t="s">
        <v>21</v>
      </c>
      <c r="C143" s="185" t="n">
        <v>2024</v>
      </c>
      <c r="D143" s="186" t="n">
        <v>3.69</v>
      </c>
      <c r="E143" s="186" t="n">
        <v>38.49</v>
      </c>
      <c r="F143" s="187" t="n">
        <v>29664</v>
      </c>
      <c r="G143" s="188" t="n">
        <v>4.7005</v>
      </c>
      <c r="H143" s="188" t="n">
        <v>7.0458</v>
      </c>
      <c r="I143" s="187" t="n">
        <v>136149</v>
      </c>
      <c r="J143" s="188" t="n">
        <v>11.8215</v>
      </c>
      <c r="K143" s="189" t="n">
        <v>9.2</v>
      </c>
      <c r="L143" s="190" t="n">
        <v>1</v>
      </c>
      <c r="M143" s="190" t="n">
        <v>0</v>
      </c>
      <c r="N143" s="188" t="n">
        <v>385.4999</v>
      </c>
      <c r="O143" s="187" t="n">
        <v>2982818</v>
      </c>
    </row>
    <row r="144" customFormat="false" ht="12.75" hidden="false" customHeight="true" outlineLevel="0" collapsed="false">
      <c r="B144" s="170" t="s">
        <v>22</v>
      </c>
      <c r="C144" s="171" t="n">
        <v>2005</v>
      </c>
      <c r="D144" s="172" t="n">
        <v>34.86</v>
      </c>
      <c r="E144" s="172" t="n">
        <v>1.14</v>
      </c>
      <c r="F144" s="173" t="n">
        <v>39</v>
      </c>
      <c r="G144" s="174" t="n">
        <v>7.08</v>
      </c>
      <c r="H144" s="174" t="n">
        <v>3.6636</v>
      </c>
      <c r="I144" s="173" t="n">
        <v>13855</v>
      </c>
      <c r="J144" s="174" t="n">
        <v>9.5364</v>
      </c>
      <c r="K144" s="175" t="n">
        <v>10.33</v>
      </c>
      <c r="L144" s="176" t="n">
        <v>0</v>
      </c>
      <c r="M144" s="176" t="n">
        <v>0</v>
      </c>
      <c r="N144" s="174" t="n">
        <v>78.6444</v>
      </c>
      <c r="O144" s="173" t="n">
        <v>3408365</v>
      </c>
    </row>
    <row r="145" customFormat="false" ht="12.75" hidden="false" customHeight="true" outlineLevel="0" collapsed="false">
      <c r="B145" s="177" t="s">
        <v>22</v>
      </c>
      <c r="C145" s="178" t="n">
        <v>2006</v>
      </c>
      <c r="D145" s="179" t="n">
        <v>37.5</v>
      </c>
      <c r="E145" s="179" t="n">
        <v>0.84</v>
      </c>
      <c r="F145" s="180" t="n">
        <v>68</v>
      </c>
      <c r="G145" s="181" t="n">
        <v>7.1694</v>
      </c>
      <c r="H145" s="181" t="n">
        <v>3.3673</v>
      </c>
      <c r="I145" s="180" t="n">
        <v>15235</v>
      </c>
      <c r="J145" s="181" t="n">
        <v>9.6314</v>
      </c>
      <c r="K145" s="182" t="n">
        <v>7.5</v>
      </c>
      <c r="L145" s="183" t="n">
        <v>0</v>
      </c>
      <c r="M145" s="183" t="n">
        <v>0</v>
      </c>
      <c r="N145" s="181" t="n">
        <v>78.6444</v>
      </c>
      <c r="O145" s="180" t="n">
        <v>3464285</v>
      </c>
    </row>
    <row r="146" customFormat="false" ht="12.75" hidden="false" customHeight="true" outlineLevel="0" collapsed="false">
      <c r="B146" s="170" t="s">
        <v>22</v>
      </c>
      <c r="C146" s="171" t="n">
        <v>2007</v>
      </c>
      <c r="D146" s="172" t="n">
        <v>40.93</v>
      </c>
      <c r="E146" s="172" t="n">
        <v>0.39</v>
      </c>
      <c r="F146" s="173" t="n">
        <v>81</v>
      </c>
      <c r="G146" s="174" t="n">
        <v>7.224</v>
      </c>
      <c r="H146" s="174" t="n">
        <v>2.5649</v>
      </c>
      <c r="I146" s="173" t="n">
        <v>18003</v>
      </c>
      <c r="J146" s="174" t="n">
        <v>9.7983</v>
      </c>
      <c r="K146" s="175" t="n">
        <v>10.81</v>
      </c>
      <c r="L146" s="176" t="n">
        <v>0</v>
      </c>
      <c r="M146" s="176" t="n">
        <v>0</v>
      </c>
      <c r="N146" s="174" t="n">
        <v>78.6444</v>
      </c>
      <c r="O146" s="173" t="n">
        <v>3351669</v>
      </c>
    </row>
    <row r="147" customFormat="false" ht="12.75" hidden="false" customHeight="true" outlineLevel="0" collapsed="false">
      <c r="B147" s="177" t="s">
        <v>22</v>
      </c>
      <c r="C147" s="178" t="n">
        <v>2008</v>
      </c>
      <c r="D147" s="179" t="n">
        <v>43.26</v>
      </c>
      <c r="E147" s="179" t="n">
        <v>0.55</v>
      </c>
      <c r="F147" s="180" t="n">
        <v>100</v>
      </c>
      <c r="G147" s="181" t="n">
        <v>7.3092</v>
      </c>
      <c r="H147" s="181" t="n">
        <v>2.9444</v>
      </c>
      <c r="I147" s="180" t="n">
        <v>20231</v>
      </c>
      <c r="J147" s="181" t="n">
        <v>9.915</v>
      </c>
      <c r="K147" s="182" t="n">
        <v>6.24</v>
      </c>
      <c r="L147" s="183" t="n">
        <v>0</v>
      </c>
      <c r="M147" s="183" t="n">
        <v>0</v>
      </c>
      <c r="N147" s="181" t="n">
        <v>78.6444</v>
      </c>
      <c r="O147" s="180" t="n">
        <v>3453646</v>
      </c>
    </row>
    <row r="148" customFormat="false" ht="12.75" hidden="false" customHeight="true" outlineLevel="0" collapsed="false">
      <c r="B148" s="170" t="s">
        <v>22</v>
      </c>
      <c r="C148" s="171" t="n">
        <v>2009</v>
      </c>
      <c r="D148" s="172" t="n">
        <v>44.65</v>
      </c>
      <c r="E148" s="172" t="n">
        <v>0.46</v>
      </c>
      <c r="F148" s="173" t="n">
        <v>116</v>
      </c>
      <c r="G148" s="174" t="n">
        <v>7.3505</v>
      </c>
      <c r="H148" s="174" t="n">
        <v>2.7726</v>
      </c>
      <c r="I148" s="173" t="n">
        <v>19145</v>
      </c>
      <c r="J148" s="174" t="n">
        <v>9.8598</v>
      </c>
      <c r="K148" s="175" t="n">
        <v>8.48</v>
      </c>
      <c r="L148" s="176" t="n">
        <v>0</v>
      </c>
      <c r="M148" s="176" t="n">
        <v>0</v>
      </c>
      <c r="N148" s="174" t="n">
        <v>78.6444</v>
      </c>
      <c r="O148" s="173" t="n">
        <v>3487199</v>
      </c>
    </row>
    <row r="149" customFormat="false" ht="12.75" hidden="false" customHeight="true" outlineLevel="0" collapsed="false">
      <c r="B149" s="177" t="s">
        <v>22</v>
      </c>
      <c r="C149" s="178" t="n">
        <v>2010</v>
      </c>
      <c r="D149" s="179" t="n">
        <v>38.66</v>
      </c>
      <c r="E149" s="179" t="n">
        <v>0.54</v>
      </c>
      <c r="F149" s="180" t="n">
        <v>135</v>
      </c>
      <c r="G149" s="181" t="n">
        <v>7.2145</v>
      </c>
      <c r="H149" s="181" t="n">
        <v>2.9444</v>
      </c>
      <c r="I149" s="180" t="n">
        <v>24271</v>
      </c>
      <c r="J149" s="181" t="n">
        <v>10.097</v>
      </c>
      <c r="K149" s="182" t="n">
        <v>8.22</v>
      </c>
      <c r="L149" s="183" t="n">
        <v>0</v>
      </c>
      <c r="M149" s="183" t="n">
        <v>0</v>
      </c>
      <c r="N149" s="181" t="n">
        <v>78.6444</v>
      </c>
      <c r="O149" s="180" t="n">
        <v>3514952</v>
      </c>
    </row>
    <row r="150" customFormat="false" ht="12.75" hidden="false" customHeight="true" outlineLevel="0" collapsed="false">
      <c r="B150" s="170" t="s">
        <v>22</v>
      </c>
      <c r="C150" s="171" t="n">
        <v>2011</v>
      </c>
      <c r="D150" s="172" t="n">
        <v>38.29</v>
      </c>
      <c r="E150" s="172" t="n">
        <v>1.3</v>
      </c>
      <c r="F150" s="173" t="n">
        <v>181</v>
      </c>
      <c r="G150" s="174" t="n">
        <v>7.2138</v>
      </c>
      <c r="H150" s="174" t="n">
        <v>3.8286</v>
      </c>
      <c r="I150" s="173" t="n">
        <v>29877</v>
      </c>
      <c r="J150" s="174" t="n">
        <v>10.3048</v>
      </c>
      <c r="K150" s="175" t="n">
        <v>7.97</v>
      </c>
      <c r="L150" s="176" t="n">
        <v>0</v>
      </c>
      <c r="M150" s="176" t="n">
        <v>0</v>
      </c>
      <c r="N150" s="174" t="n">
        <v>78.6444</v>
      </c>
      <c r="O150" s="173" t="n">
        <v>3547055</v>
      </c>
    </row>
    <row r="151" customFormat="false" ht="12.75" hidden="false" customHeight="true" outlineLevel="0" collapsed="false">
      <c r="B151" s="177" t="s">
        <v>22</v>
      </c>
      <c r="C151" s="178" t="n">
        <v>2012</v>
      </c>
      <c r="D151" s="179" t="n">
        <v>37.73</v>
      </c>
      <c r="E151" s="179" t="n">
        <v>1.03</v>
      </c>
      <c r="F151" s="180" t="n">
        <v>218</v>
      </c>
      <c r="G151" s="181" t="n">
        <v>7.2079</v>
      </c>
      <c r="H151" s="181" t="n">
        <v>3.6109</v>
      </c>
      <c r="I151" s="180" t="n">
        <v>32657</v>
      </c>
      <c r="J151" s="181" t="n">
        <v>10.3938</v>
      </c>
      <c r="K151" s="182" t="n">
        <v>5.78</v>
      </c>
      <c r="L151" s="183" t="n">
        <v>0</v>
      </c>
      <c r="M151" s="183" t="n">
        <v>0</v>
      </c>
      <c r="N151" s="181" t="n">
        <v>78.6444</v>
      </c>
      <c r="O151" s="180" t="n">
        <v>3578067</v>
      </c>
    </row>
    <row r="152" customFormat="false" ht="12.75" hidden="false" customHeight="true" outlineLevel="0" collapsed="false">
      <c r="B152" s="170" t="s">
        <v>22</v>
      </c>
      <c r="C152" s="171" t="n">
        <v>2013</v>
      </c>
      <c r="D152" s="172" t="n">
        <v>33.57</v>
      </c>
      <c r="E152" s="172" t="n">
        <v>0.63</v>
      </c>
      <c r="F152" s="173" t="n">
        <v>242</v>
      </c>
      <c r="G152" s="174" t="n">
        <v>7.1616</v>
      </c>
      <c r="H152" s="174" t="n">
        <v>3.1781</v>
      </c>
      <c r="I152" s="173" t="n">
        <v>30545</v>
      </c>
      <c r="J152" s="174" t="n">
        <v>10.327</v>
      </c>
      <c r="K152" s="175" t="n">
        <v>6.19</v>
      </c>
      <c r="L152" s="176" t="n">
        <v>0</v>
      </c>
      <c r="M152" s="176" t="n">
        <v>0</v>
      </c>
      <c r="N152" s="174" t="n">
        <v>78.6444</v>
      </c>
      <c r="O152" s="173" t="n">
        <v>3839366</v>
      </c>
    </row>
    <row r="153" customFormat="false" ht="12.75" hidden="false" customHeight="true" outlineLevel="0" collapsed="false">
      <c r="B153" s="177" t="s">
        <v>22</v>
      </c>
      <c r="C153" s="178" t="n">
        <v>2014</v>
      </c>
      <c r="D153" s="179" t="n">
        <v>33.23</v>
      </c>
      <c r="E153" s="179" t="n">
        <v>0.21</v>
      </c>
      <c r="F153" s="180" t="n">
        <v>250</v>
      </c>
      <c r="G153" s="181" t="n">
        <v>7.1632</v>
      </c>
      <c r="H153" s="181" t="n">
        <v>2.0794</v>
      </c>
      <c r="I153" s="180" t="n">
        <v>33149</v>
      </c>
      <c r="J153" s="181" t="n">
        <v>10.4088</v>
      </c>
      <c r="K153" s="182" t="n">
        <v>7.14</v>
      </c>
      <c r="L153" s="183" t="n">
        <v>0</v>
      </c>
      <c r="M153" s="183" t="n">
        <v>0</v>
      </c>
      <c r="N153" s="181" t="n">
        <v>78.6444</v>
      </c>
      <c r="O153" s="180" t="n">
        <v>3885049</v>
      </c>
    </row>
    <row r="154" customFormat="false" ht="12.75" hidden="false" customHeight="true" outlineLevel="0" collapsed="false">
      <c r="B154" s="170" t="s">
        <v>22</v>
      </c>
      <c r="C154" s="171" t="n">
        <v>2015</v>
      </c>
      <c r="D154" s="172" t="n">
        <v>27.99</v>
      </c>
      <c r="E154" s="172" t="n">
        <v>0.61</v>
      </c>
      <c r="F154" s="173" t="n">
        <v>274</v>
      </c>
      <c r="G154" s="174" t="n">
        <v>7.0031</v>
      </c>
      <c r="H154" s="174" t="n">
        <v>3.1781</v>
      </c>
      <c r="I154" s="173" t="n">
        <v>30628</v>
      </c>
      <c r="J154" s="174" t="n">
        <v>10.3297</v>
      </c>
      <c r="K154" s="175" t="n">
        <v>7.8</v>
      </c>
      <c r="L154" s="176" t="n">
        <v>0</v>
      </c>
      <c r="M154" s="176" t="n">
        <v>0</v>
      </c>
      <c r="N154" s="174" t="n">
        <v>78.6444</v>
      </c>
      <c r="O154" s="173" t="n">
        <v>3929911</v>
      </c>
    </row>
    <row r="155" customFormat="false" ht="12.75" hidden="false" customHeight="true" outlineLevel="0" collapsed="false">
      <c r="B155" s="184" t="s">
        <v>22</v>
      </c>
      <c r="C155" s="185" t="n">
        <v>2016</v>
      </c>
      <c r="D155" s="186" t="n">
        <v>24.28</v>
      </c>
      <c r="E155" s="186" t="n">
        <v>1.01</v>
      </c>
      <c r="F155" s="187" t="n">
        <v>314</v>
      </c>
      <c r="G155" s="188" t="n">
        <v>6.8721</v>
      </c>
      <c r="H155" s="188" t="n">
        <v>3.6889</v>
      </c>
      <c r="I155" s="187" t="n">
        <v>27497</v>
      </c>
      <c r="J155" s="188" t="n">
        <v>10.2218</v>
      </c>
      <c r="K155" s="189" t="n">
        <v>12.4</v>
      </c>
      <c r="L155" s="190" t="n">
        <v>0</v>
      </c>
      <c r="M155" s="190" t="n">
        <v>0</v>
      </c>
      <c r="N155" s="188" t="n">
        <v>78.6444</v>
      </c>
      <c r="O155" s="187" t="n">
        <v>3973697</v>
      </c>
    </row>
    <row r="156" customFormat="false" ht="12.75" hidden="false" customHeight="true" outlineLevel="0" collapsed="false">
      <c r="B156" s="191" t="s">
        <v>22</v>
      </c>
      <c r="C156" s="192" t="n">
        <v>2017</v>
      </c>
      <c r="D156" s="193" t="n">
        <v>30.72</v>
      </c>
      <c r="E156" s="193" t="n">
        <v>3.36</v>
      </c>
      <c r="F156" s="194" t="n">
        <v>449</v>
      </c>
      <c r="G156" s="195" t="n">
        <v>7.118</v>
      </c>
      <c r="H156" s="195" t="n">
        <v>4.9053</v>
      </c>
      <c r="I156" s="194" t="n">
        <v>28235</v>
      </c>
      <c r="J156" s="195" t="n">
        <v>10.2483</v>
      </c>
      <c r="K156" s="196" t="n">
        <v>13.3</v>
      </c>
      <c r="L156" s="197" t="n">
        <v>0</v>
      </c>
      <c r="M156" s="197" t="n">
        <v>0</v>
      </c>
      <c r="N156" s="195" t="n">
        <v>78.6444</v>
      </c>
      <c r="O156" s="194" t="n">
        <v>4016356</v>
      </c>
    </row>
    <row r="157" customFormat="false" ht="12.75" hidden="false" customHeight="true" outlineLevel="0" collapsed="false">
      <c r="B157" s="184" t="s">
        <v>22</v>
      </c>
      <c r="C157" s="185" t="n">
        <v>2018</v>
      </c>
      <c r="D157" s="186" t="n">
        <v>22.28</v>
      </c>
      <c r="E157" s="186" t="n">
        <v>8.08</v>
      </c>
      <c r="F157" s="187" t="n">
        <v>770</v>
      </c>
      <c r="G157" s="188" t="n">
        <v>6.7856</v>
      </c>
      <c r="H157" s="188" t="n">
        <v>5.7714</v>
      </c>
      <c r="I157" s="187" t="n">
        <v>34493</v>
      </c>
      <c r="J157" s="188" t="n">
        <v>10.4485</v>
      </c>
      <c r="K157" s="189" t="n">
        <v>11.7</v>
      </c>
      <c r="L157" s="190" t="n">
        <v>0</v>
      </c>
      <c r="M157" s="190" t="n">
        <v>0</v>
      </c>
      <c r="N157" s="188" t="n">
        <v>78.6444</v>
      </c>
      <c r="O157" s="187" t="n">
        <v>3972388</v>
      </c>
    </row>
    <row r="158" customFormat="false" ht="12.75" hidden="false" customHeight="true" outlineLevel="0" collapsed="false">
      <c r="B158" s="191" t="s">
        <v>22</v>
      </c>
      <c r="C158" s="192" t="n">
        <v>2019</v>
      </c>
      <c r="D158" s="193" t="n">
        <v>19.33</v>
      </c>
      <c r="E158" s="193" t="n">
        <v>16.37</v>
      </c>
      <c r="F158" s="194" t="n">
        <v>1428</v>
      </c>
      <c r="G158" s="195" t="n">
        <v>6.6554</v>
      </c>
      <c r="H158" s="195" t="n">
        <v>6.4892</v>
      </c>
      <c r="I158" s="194" t="n">
        <v>34177</v>
      </c>
      <c r="J158" s="195" t="n">
        <v>10.4393</v>
      </c>
      <c r="K158" s="196" t="n">
        <v>11.2</v>
      </c>
      <c r="L158" s="197" t="n">
        <v>0</v>
      </c>
      <c r="M158" s="197" t="n">
        <v>0</v>
      </c>
      <c r="N158" s="195" t="n">
        <v>78.6444</v>
      </c>
      <c r="O158" s="194" t="n">
        <v>4018650</v>
      </c>
    </row>
    <row r="159" customFormat="false" ht="12.75" hidden="false" customHeight="true" outlineLevel="0" collapsed="false">
      <c r="B159" s="184" t="s">
        <v>22</v>
      </c>
      <c r="C159" s="185" t="n">
        <v>2020</v>
      </c>
      <c r="D159" s="186" t="n">
        <v>22.98</v>
      </c>
      <c r="E159" s="186" t="n">
        <v>18.45</v>
      </c>
      <c r="F159" s="187" t="n">
        <v>2178</v>
      </c>
      <c r="G159" s="188" t="n">
        <v>6.8395</v>
      </c>
      <c r="H159" s="188" t="n">
        <v>6.6201</v>
      </c>
      <c r="I159" s="187" t="n">
        <v>34066</v>
      </c>
      <c r="J159" s="188" t="n">
        <v>10.4361</v>
      </c>
      <c r="K159" s="189" t="n">
        <v>12.9</v>
      </c>
      <c r="L159" s="190" t="n">
        <v>0</v>
      </c>
      <c r="M159" s="190" t="n">
        <v>1</v>
      </c>
      <c r="N159" s="188" t="n">
        <v>78.6444</v>
      </c>
      <c r="O159" s="187" t="n">
        <v>4064052</v>
      </c>
    </row>
    <row r="160" customFormat="false" ht="12.75" hidden="false" customHeight="true" outlineLevel="0" collapsed="false">
      <c r="B160" s="191" t="s">
        <v>22</v>
      </c>
      <c r="C160" s="192" t="n">
        <v>2021</v>
      </c>
      <c r="D160" s="193" t="n">
        <v>22.1</v>
      </c>
      <c r="E160" s="193" t="n">
        <v>56.47</v>
      </c>
      <c r="F160" s="194" t="n">
        <v>4498</v>
      </c>
      <c r="G160" s="195" t="n">
        <v>6.8112</v>
      </c>
      <c r="H160" s="195" t="n">
        <v>7.7493</v>
      </c>
      <c r="I160" s="194" t="n">
        <v>45354</v>
      </c>
      <c r="J160" s="195" t="n">
        <v>10.7223</v>
      </c>
      <c r="K160" s="196" t="n">
        <v>11.2</v>
      </c>
      <c r="L160" s="197" t="n">
        <v>0</v>
      </c>
      <c r="M160" s="197" t="n">
        <v>1</v>
      </c>
      <c r="N160" s="195" t="n">
        <v>78.6444</v>
      </c>
      <c r="O160" s="194" t="n">
        <v>4108508</v>
      </c>
    </row>
    <row r="161" customFormat="false" ht="12.75" hidden="false" customHeight="true" outlineLevel="0" collapsed="false">
      <c r="B161" s="184" t="s">
        <v>22</v>
      </c>
      <c r="C161" s="185" t="n">
        <v>2022</v>
      </c>
      <c r="D161" s="186" t="n">
        <v>22.43</v>
      </c>
      <c r="E161" s="186" t="n">
        <v>78.64</v>
      </c>
      <c r="F161" s="187" t="n">
        <v>7513</v>
      </c>
      <c r="G161" s="188" t="n">
        <v>6.7569</v>
      </c>
      <c r="H161" s="188" t="n">
        <v>8.0114</v>
      </c>
      <c r="I161" s="187" t="n">
        <v>47617</v>
      </c>
      <c r="J161" s="188" t="n">
        <v>10.7709</v>
      </c>
      <c r="K161" s="189" t="n">
        <v>8</v>
      </c>
      <c r="L161" s="190" t="n">
        <v>0</v>
      </c>
      <c r="M161" s="190" t="n">
        <v>0</v>
      </c>
      <c r="N161" s="188" t="n">
        <v>78.6444</v>
      </c>
      <c r="O161" s="187" t="n">
        <v>3833712</v>
      </c>
    </row>
    <row r="162" customFormat="false" ht="12.75" hidden="false" customHeight="true" outlineLevel="0" collapsed="false">
      <c r="B162" s="191" t="s">
        <v>22</v>
      </c>
      <c r="C162" s="192" t="n">
        <v>2023</v>
      </c>
      <c r="D162" s="193" t="n">
        <v>21.96</v>
      </c>
      <c r="E162" s="193" t="n">
        <v>1.02</v>
      </c>
      <c r="F162" s="194" t="n">
        <v>7552</v>
      </c>
      <c r="G162" s="195" t="n">
        <v>6.7358</v>
      </c>
      <c r="H162" s="195" t="n">
        <v>3.6636</v>
      </c>
      <c r="I162" s="194" t="n">
        <v>54733</v>
      </c>
      <c r="J162" s="195" t="n">
        <v>10.9102</v>
      </c>
      <c r="K162" s="196" t="n">
        <v>6.1</v>
      </c>
      <c r="L162" s="197" t="n">
        <v>1</v>
      </c>
      <c r="M162" s="197" t="n">
        <v>0</v>
      </c>
      <c r="N162" s="195" t="n">
        <v>78.6444</v>
      </c>
      <c r="O162" s="194" t="n">
        <v>3833712</v>
      </c>
    </row>
    <row r="163" customFormat="false" ht="12.75" hidden="false" customHeight="true" outlineLevel="0" collapsed="false">
      <c r="B163" s="184" t="s">
        <v>22</v>
      </c>
      <c r="C163" s="185" t="n">
        <v>2024</v>
      </c>
      <c r="D163" s="186" t="n">
        <v>18.14</v>
      </c>
      <c r="E163" s="186" t="n">
        <v>12.55</v>
      </c>
      <c r="F163" s="187" t="n">
        <v>8067</v>
      </c>
      <c r="G163" s="188" t="n">
        <v>6.612</v>
      </c>
      <c r="H163" s="188" t="n">
        <v>6.2442</v>
      </c>
      <c r="I163" s="187" t="n">
        <v>53393</v>
      </c>
      <c r="J163" s="188" t="n">
        <v>10.8854</v>
      </c>
      <c r="K163" s="189" t="n">
        <v>4.7</v>
      </c>
      <c r="L163" s="190" t="n">
        <v>1</v>
      </c>
      <c r="M163" s="190" t="n">
        <v>0</v>
      </c>
      <c r="N163" s="188" t="n">
        <v>78.6444</v>
      </c>
      <c r="O163" s="187" t="n">
        <v>4102129</v>
      </c>
    </row>
    <row r="164" customFormat="false" ht="12.75" hidden="false" customHeight="true" outlineLevel="0" collapsed="false">
      <c r="B164" s="170" t="s">
        <v>23</v>
      </c>
      <c r="C164" s="171" t="n">
        <v>2005</v>
      </c>
      <c r="D164" s="172" t="n">
        <v>15.85</v>
      </c>
      <c r="E164" s="172" t="n">
        <v>0.8</v>
      </c>
      <c r="F164" s="173" t="n">
        <v>45</v>
      </c>
      <c r="G164" s="174" t="n">
        <v>6.7923</v>
      </c>
      <c r="H164" s="174" t="n">
        <v>3.8067</v>
      </c>
      <c r="I164" s="173" t="n">
        <v>8992</v>
      </c>
      <c r="J164" s="174" t="n">
        <v>9.1041</v>
      </c>
      <c r="K164" s="175" t="n">
        <v>9.81</v>
      </c>
      <c r="L164" s="176" t="n">
        <v>0</v>
      </c>
      <c r="M164" s="176" t="n">
        <v>0</v>
      </c>
      <c r="N164" s="174" t="n">
        <v>412.6553</v>
      </c>
      <c r="O164" s="173" t="n">
        <v>5619917</v>
      </c>
    </row>
    <row r="165" customFormat="false" ht="12.75" hidden="false" customHeight="true" outlineLevel="0" collapsed="false">
      <c r="B165" s="177" t="s">
        <v>23</v>
      </c>
      <c r="C165" s="178" t="n">
        <v>2006</v>
      </c>
      <c r="D165" s="179" t="n">
        <v>16.11</v>
      </c>
      <c r="E165" s="179" t="n">
        <v>0.54</v>
      </c>
      <c r="F165" s="180" t="n">
        <v>76</v>
      </c>
      <c r="G165" s="181" t="n">
        <v>6.8276</v>
      </c>
      <c r="H165" s="181" t="n">
        <v>3.434</v>
      </c>
      <c r="I165" s="180" t="n">
        <v>9956</v>
      </c>
      <c r="J165" s="181" t="n">
        <v>9.2059</v>
      </c>
      <c r="K165" s="182" t="n">
        <v>7.65</v>
      </c>
      <c r="L165" s="183" t="n">
        <v>0</v>
      </c>
      <c r="M165" s="183" t="n">
        <v>0</v>
      </c>
      <c r="N165" s="181" t="n">
        <v>412.6553</v>
      </c>
      <c r="O165" s="180" t="n">
        <v>5730753</v>
      </c>
    </row>
    <row r="166" customFormat="false" ht="12.75" hidden="false" customHeight="true" outlineLevel="0" collapsed="false">
      <c r="B166" s="170" t="s">
        <v>23</v>
      </c>
      <c r="C166" s="171" t="n">
        <v>2007</v>
      </c>
      <c r="D166" s="172" t="n">
        <v>16.73</v>
      </c>
      <c r="E166" s="172" t="n">
        <v>0.62</v>
      </c>
      <c r="F166" s="173" t="n">
        <v>111</v>
      </c>
      <c r="G166" s="174" t="n">
        <v>6.8512</v>
      </c>
      <c r="H166" s="174" t="n">
        <v>3.5553</v>
      </c>
      <c r="I166" s="173" t="n">
        <v>11548</v>
      </c>
      <c r="J166" s="174" t="n">
        <v>9.3543</v>
      </c>
      <c r="K166" s="175" t="n">
        <v>8.22</v>
      </c>
      <c r="L166" s="176" t="n">
        <v>0</v>
      </c>
      <c r="M166" s="176" t="n">
        <v>0</v>
      </c>
      <c r="N166" s="174" t="n">
        <v>412.6553</v>
      </c>
      <c r="O166" s="173" t="n">
        <v>5647035</v>
      </c>
    </row>
    <row r="167" customFormat="false" ht="12.75" hidden="false" customHeight="true" outlineLevel="0" collapsed="false">
      <c r="B167" s="177" t="s">
        <v>23</v>
      </c>
      <c r="C167" s="178" t="n">
        <v>2008</v>
      </c>
      <c r="D167" s="179" t="n">
        <v>20.15</v>
      </c>
      <c r="E167" s="179" t="n">
        <v>0.92</v>
      </c>
      <c r="F167" s="180" t="n">
        <v>165</v>
      </c>
      <c r="G167" s="181" t="n">
        <v>7.0716</v>
      </c>
      <c r="H167" s="181" t="n">
        <v>3.989</v>
      </c>
      <c r="I167" s="180" t="n">
        <v>12878</v>
      </c>
      <c r="J167" s="181" t="n">
        <v>9.4633</v>
      </c>
      <c r="K167" s="182" t="n">
        <v>7.22</v>
      </c>
      <c r="L167" s="183" t="n">
        <v>0</v>
      </c>
      <c r="M167" s="183" t="n">
        <v>0</v>
      </c>
      <c r="N167" s="181" t="n">
        <v>412.6553</v>
      </c>
      <c r="O167" s="180" t="n">
        <v>5844995</v>
      </c>
    </row>
    <row r="168" customFormat="false" ht="12.75" hidden="false" customHeight="true" outlineLevel="0" collapsed="false">
      <c r="B168" s="170" t="s">
        <v>23</v>
      </c>
      <c r="C168" s="171" t="n">
        <v>2009</v>
      </c>
      <c r="D168" s="172" t="n">
        <v>20.11</v>
      </c>
      <c r="E168" s="172" t="n">
        <v>0.84</v>
      </c>
      <c r="F168" s="173" t="n">
        <v>215</v>
      </c>
      <c r="G168" s="174" t="n">
        <v>7.0834</v>
      </c>
      <c r="H168" s="174" t="n">
        <v>3.912</v>
      </c>
      <c r="I168" s="173" t="n">
        <v>14447</v>
      </c>
      <c r="J168" s="174" t="n">
        <v>9.5782</v>
      </c>
      <c r="K168" s="175" t="n">
        <v>8.51</v>
      </c>
      <c r="L168" s="176" t="n">
        <v>0</v>
      </c>
      <c r="M168" s="176" t="n">
        <v>0</v>
      </c>
      <c r="N168" s="174" t="n">
        <v>412.6553</v>
      </c>
      <c r="O168" s="173" t="n">
        <v>5926300</v>
      </c>
    </row>
    <row r="169" customFormat="false" ht="12.75" hidden="false" customHeight="true" outlineLevel="0" collapsed="false">
      <c r="B169" s="177" t="s">
        <v>23</v>
      </c>
      <c r="C169" s="178" t="n">
        <v>2010</v>
      </c>
      <c r="D169" s="179" t="n">
        <v>21.15</v>
      </c>
      <c r="E169" s="179" t="n">
        <v>1.03</v>
      </c>
      <c r="F169" s="180" t="n">
        <v>277</v>
      </c>
      <c r="G169" s="181" t="n">
        <v>7.1468</v>
      </c>
      <c r="H169" s="181" t="n">
        <v>4.1271</v>
      </c>
      <c r="I169" s="180" t="n">
        <v>17784</v>
      </c>
      <c r="J169" s="181" t="n">
        <v>9.7861</v>
      </c>
      <c r="K169" s="182" t="n">
        <v>6.72</v>
      </c>
      <c r="L169" s="183" t="n">
        <v>0</v>
      </c>
      <c r="M169" s="183" t="n">
        <v>0</v>
      </c>
      <c r="N169" s="181" t="n">
        <v>412.6553</v>
      </c>
      <c r="O169" s="180" t="n">
        <v>6003788</v>
      </c>
    </row>
    <row r="170" customFormat="false" ht="12.75" hidden="false" customHeight="true" outlineLevel="0" collapsed="false">
      <c r="B170" s="170" t="s">
        <v>23</v>
      </c>
      <c r="C170" s="171" t="n">
        <v>2011</v>
      </c>
      <c r="D170" s="172" t="n">
        <v>25.26</v>
      </c>
      <c r="E170" s="172" t="n">
        <v>1.6</v>
      </c>
      <c r="F170" s="173" t="n">
        <v>374</v>
      </c>
      <c r="G170" s="174" t="n">
        <v>7.3369</v>
      </c>
      <c r="H170" s="174" t="n">
        <v>4.5747</v>
      </c>
      <c r="I170" s="173" t="n">
        <v>19948</v>
      </c>
      <c r="J170" s="174" t="n">
        <v>9.9009</v>
      </c>
      <c r="K170" s="175" t="n">
        <v>4.94</v>
      </c>
      <c r="L170" s="176" t="n">
        <v>0</v>
      </c>
      <c r="M170" s="176" t="n">
        <v>0</v>
      </c>
      <c r="N170" s="174" t="n">
        <v>412.6553</v>
      </c>
      <c r="O170" s="173" t="n">
        <v>6080716</v>
      </c>
    </row>
    <row r="171" customFormat="false" ht="12.75" hidden="false" customHeight="true" outlineLevel="0" collapsed="false">
      <c r="B171" s="177" t="s">
        <v>23</v>
      </c>
      <c r="C171" s="178" t="n">
        <v>2012</v>
      </c>
      <c r="D171" s="179" t="n">
        <v>30.9</v>
      </c>
      <c r="E171" s="179" t="n">
        <v>1.56</v>
      </c>
      <c r="F171" s="180" t="n">
        <v>470</v>
      </c>
      <c r="G171" s="181" t="n">
        <v>7.5507</v>
      </c>
      <c r="H171" s="181" t="n">
        <v>4.5643</v>
      </c>
      <c r="I171" s="180" t="n">
        <v>22544</v>
      </c>
      <c r="J171" s="181" t="n">
        <v>10.0232</v>
      </c>
      <c r="K171" s="182" t="n">
        <v>4.92</v>
      </c>
      <c r="L171" s="183" t="n">
        <v>0</v>
      </c>
      <c r="M171" s="183" t="n">
        <v>0</v>
      </c>
      <c r="N171" s="181" t="n">
        <v>412.6553</v>
      </c>
      <c r="O171" s="180" t="n">
        <v>6154996</v>
      </c>
    </row>
    <row r="172" customFormat="false" ht="12.75" hidden="false" customHeight="true" outlineLevel="0" collapsed="false">
      <c r="B172" s="170" t="s">
        <v>23</v>
      </c>
      <c r="C172" s="171" t="n">
        <v>2013</v>
      </c>
      <c r="D172" s="172" t="n">
        <v>32.58</v>
      </c>
      <c r="E172" s="172" t="n">
        <v>1.1</v>
      </c>
      <c r="F172" s="173" t="n">
        <v>541</v>
      </c>
      <c r="G172" s="174" t="n">
        <v>7.6478</v>
      </c>
      <c r="H172" s="174" t="n">
        <v>4.2627</v>
      </c>
      <c r="I172" s="173" t="n">
        <v>23516</v>
      </c>
      <c r="J172" s="174" t="n">
        <v>10.0654</v>
      </c>
      <c r="K172" s="175" t="n">
        <v>5.74</v>
      </c>
      <c r="L172" s="176" t="n">
        <v>0</v>
      </c>
      <c r="M172" s="176" t="n">
        <v>0</v>
      </c>
      <c r="N172" s="174" t="n">
        <v>412.6553</v>
      </c>
      <c r="O172" s="173" t="n">
        <v>6434048</v>
      </c>
    </row>
    <row r="173" customFormat="false" ht="12.75" hidden="false" customHeight="true" outlineLevel="0" collapsed="false">
      <c r="B173" s="177" t="s">
        <v>23</v>
      </c>
      <c r="C173" s="178" t="n">
        <v>2014</v>
      </c>
      <c r="D173" s="179" t="n">
        <v>30.55</v>
      </c>
      <c r="E173" s="179" t="n">
        <v>0.83</v>
      </c>
      <c r="F173" s="180" t="n">
        <v>595</v>
      </c>
      <c r="G173" s="181" t="n">
        <v>7.5974</v>
      </c>
      <c r="H173" s="181" t="n">
        <v>3.989</v>
      </c>
      <c r="I173" s="180" t="n">
        <v>25297</v>
      </c>
      <c r="J173" s="181" t="n">
        <v>10.1384</v>
      </c>
      <c r="K173" s="182" t="n">
        <v>5.17</v>
      </c>
      <c r="L173" s="183" t="n">
        <v>0</v>
      </c>
      <c r="M173" s="183" t="n">
        <v>0</v>
      </c>
      <c r="N173" s="181" t="n">
        <v>412.6553</v>
      </c>
      <c r="O173" s="180" t="n">
        <v>6523222</v>
      </c>
    </row>
    <row r="174" customFormat="false" ht="12.75" hidden="false" customHeight="true" outlineLevel="0" collapsed="false">
      <c r="B174" s="170" t="s">
        <v>23</v>
      </c>
      <c r="C174" s="171" t="n">
        <v>2015</v>
      </c>
      <c r="D174" s="172" t="n">
        <v>32.07</v>
      </c>
      <c r="E174" s="172" t="n">
        <v>0.26</v>
      </c>
      <c r="F174" s="173" t="n">
        <v>612</v>
      </c>
      <c r="G174" s="174" t="n">
        <v>7.6592</v>
      </c>
      <c r="H174" s="174" t="n">
        <v>2.8332</v>
      </c>
      <c r="I174" s="173" t="n">
        <v>26265</v>
      </c>
      <c r="J174" s="174" t="n">
        <v>10.176</v>
      </c>
      <c r="K174" s="175" t="n">
        <v>7.4</v>
      </c>
      <c r="L174" s="176" t="n">
        <v>0</v>
      </c>
      <c r="M174" s="176" t="n">
        <v>0</v>
      </c>
      <c r="N174" s="174" t="n">
        <v>412.6553</v>
      </c>
      <c r="O174" s="173" t="n">
        <v>6610681</v>
      </c>
    </row>
    <row r="175" customFormat="false" ht="12.75" hidden="false" customHeight="true" outlineLevel="0" collapsed="false">
      <c r="B175" s="184" t="s">
        <v>23</v>
      </c>
      <c r="C175" s="185" t="n">
        <v>2016</v>
      </c>
      <c r="D175" s="186" t="n">
        <v>31.86</v>
      </c>
      <c r="E175" s="186" t="n">
        <v>1.72</v>
      </c>
      <c r="F175" s="187" t="n">
        <v>727</v>
      </c>
      <c r="G175" s="188" t="n">
        <v>7.6653</v>
      </c>
      <c r="H175" s="188" t="n">
        <v>4.7449</v>
      </c>
      <c r="I175" s="187" t="n">
        <v>27145</v>
      </c>
      <c r="J175" s="188" t="n">
        <v>10.2089</v>
      </c>
      <c r="K175" s="189" t="n">
        <v>10.7</v>
      </c>
      <c r="L175" s="190" t="n">
        <v>0</v>
      </c>
      <c r="M175" s="190" t="n">
        <v>0</v>
      </c>
      <c r="N175" s="188" t="n">
        <v>412.6553</v>
      </c>
      <c r="O175" s="187" t="n">
        <v>6695855</v>
      </c>
    </row>
    <row r="176" customFormat="false" ht="12.75" hidden="false" customHeight="true" outlineLevel="0" collapsed="false">
      <c r="B176" s="191" t="s">
        <v>23</v>
      </c>
      <c r="C176" s="192" t="n">
        <v>2017</v>
      </c>
      <c r="D176" s="193" t="n">
        <v>30.39</v>
      </c>
      <c r="E176" s="193" t="n">
        <v>4.44</v>
      </c>
      <c r="F176" s="194" t="n">
        <v>1028</v>
      </c>
      <c r="G176" s="195" t="n">
        <v>7.6305</v>
      </c>
      <c r="H176" s="195" t="n">
        <v>5.7071</v>
      </c>
      <c r="I176" s="194" t="n">
        <v>28316</v>
      </c>
      <c r="J176" s="195" t="n">
        <v>10.2512</v>
      </c>
      <c r="K176" s="196" t="n">
        <v>10.7</v>
      </c>
      <c r="L176" s="197" t="n">
        <v>0</v>
      </c>
      <c r="M176" s="197" t="n">
        <v>0</v>
      </c>
      <c r="N176" s="195" t="n">
        <v>412.6553</v>
      </c>
      <c r="O176" s="194" t="n">
        <v>6778772</v>
      </c>
    </row>
    <row r="177" customFormat="false" ht="12.75" hidden="false" customHeight="true" outlineLevel="0" collapsed="false">
      <c r="B177" s="184" t="s">
        <v>23</v>
      </c>
      <c r="C177" s="185" t="n">
        <v>2018</v>
      </c>
      <c r="D177" s="186" t="n">
        <v>27.24</v>
      </c>
      <c r="E177" s="186" t="n">
        <v>8.58</v>
      </c>
      <c r="F177" s="187" t="n">
        <v>1622</v>
      </c>
      <c r="G177" s="188" t="n">
        <v>7.5417</v>
      </c>
      <c r="H177" s="188" t="n">
        <v>6.3869</v>
      </c>
      <c r="I177" s="187" t="n">
        <v>28273</v>
      </c>
      <c r="J177" s="188" t="n">
        <v>10.2497</v>
      </c>
      <c r="K177" s="189" t="n">
        <v>9.3</v>
      </c>
      <c r="L177" s="190" t="n">
        <v>0</v>
      </c>
      <c r="M177" s="190" t="n">
        <v>0</v>
      </c>
      <c r="N177" s="188" t="n">
        <v>412.6553</v>
      </c>
      <c r="O177" s="187" t="n">
        <v>6921161</v>
      </c>
    </row>
    <row r="178" customFormat="false" ht="12.75" hidden="false" customHeight="true" outlineLevel="0" collapsed="false">
      <c r="B178" s="191" t="s">
        <v>23</v>
      </c>
      <c r="C178" s="192" t="n">
        <v>2019</v>
      </c>
      <c r="D178" s="193" t="n">
        <v>21.03</v>
      </c>
      <c r="E178" s="193" t="n">
        <v>43.4</v>
      </c>
      <c r="F178" s="194" t="n">
        <v>4668</v>
      </c>
      <c r="G178" s="195" t="n">
        <v>7.2971</v>
      </c>
      <c r="H178" s="195" t="n">
        <v>8.0216</v>
      </c>
      <c r="I178" s="194" t="n">
        <v>29732</v>
      </c>
      <c r="J178" s="195" t="n">
        <v>10.3</v>
      </c>
      <c r="K178" s="196" t="n">
        <v>10.8</v>
      </c>
      <c r="L178" s="197" t="n">
        <v>0</v>
      </c>
      <c r="M178" s="197" t="n">
        <v>0</v>
      </c>
      <c r="N178" s="195" t="n">
        <v>412.6553</v>
      </c>
      <c r="O178" s="194" t="n">
        <v>7018354</v>
      </c>
    </row>
    <row r="179" customFormat="false" ht="12.75" hidden="false" customHeight="true" outlineLevel="0" collapsed="false">
      <c r="B179" s="184" t="s">
        <v>23</v>
      </c>
      <c r="C179" s="185" t="n">
        <v>2020</v>
      </c>
      <c r="D179" s="186" t="n">
        <v>19.86</v>
      </c>
      <c r="E179" s="186" t="n">
        <v>119.46</v>
      </c>
      <c r="F179" s="187" t="n">
        <v>13166</v>
      </c>
      <c r="G179" s="188" t="n">
        <v>7.2535</v>
      </c>
      <c r="H179" s="188" t="n">
        <v>9.0476</v>
      </c>
      <c r="I179" s="187" t="n">
        <v>31507</v>
      </c>
      <c r="J179" s="188" t="n">
        <v>10.358</v>
      </c>
      <c r="K179" s="189" t="n">
        <v>12.8</v>
      </c>
      <c r="L179" s="190" t="n">
        <v>0</v>
      </c>
      <c r="M179" s="190" t="n">
        <v>1</v>
      </c>
      <c r="N179" s="188" t="n">
        <v>412.6553</v>
      </c>
      <c r="O179" s="187" t="n">
        <v>7113540</v>
      </c>
    </row>
    <row r="180" customFormat="false" ht="12.75" hidden="false" customHeight="true" outlineLevel="0" collapsed="false">
      <c r="B180" s="191" t="s">
        <v>23</v>
      </c>
      <c r="C180" s="192" t="n">
        <v>2021</v>
      </c>
      <c r="D180" s="193" t="n">
        <v>14.11</v>
      </c>
      <c r="E180" s="193" t="n">
        <v>305.83</v>
      </c>
      <c r="F180" s="194" t="n">
        <v>35206</v>
      </c>
      <c r="G180" s="195" t="n">
        <v>6.9246</v>
      </c>
      <c r="H180" s="195" t="n">
        <v>10.0006</v>
      </c>
      <c r="I180" s="194" t="n">
        <v>37414</v>
      </c>
      <c r="J180" s="195" t="n">
        <v>10.5298</v>
      </c>
      <c r="K180" s="196" t="n">
        <v>11.3</v>
      </c>
      <c r="L180" s="197" t="n">
        <v>0</v>
      </c>
      <c r="M180" s="197" t="n">
        <v>1</v>
      </c>
      <c r="N180" s="195" t="n">
        <v>412.6553</v>
      </c>
      <c r="O180" s="194" t="n">
        <v>7206589</v>
      </c>
    </row>
    <row r="181" customFormat="false" ht="12.75" hidden="false" customHeight="true" outlineLevel="0" collapsed="false">
      <c r="B181" s="184" t="s">
        <v>23</v>
      </c>
      <c r="C181" s="185" t="n">
        <v>2022</v>
      </c>
      <c r="D181" s="186" t="n">
        <v>13.41</v>
      </c>
      <c r="E181" s="186" t="n">
        <v>412.66</v>
      </c>
      <c r="F181" s="187" t="n">
        <v>64325</v>
      </c>
      <c r="G181" s="188" t="n">
        <v>6.8522</v>
      </c>
      <c r="H181" s="188" t="n">
        <v>10.2791</v>
      </c>
      <c r="I181" s="187" t="n">
        <v>45148</v>
      </c>
      <c r="J181" s="188" t="n">
        <v>10.7177</v>
      </c>
      <c r="K181" s="189" t="n">
        <v>7.2</v>
      </c>
      <c r="L181" s="190" t="n">
        <v>0</v>
      </c>
      <c r="M181" s="190" t="n">
        <v>0</v>
      </c>
      <c r="N181" s="188" t="n">
        <v>412.6553</v>
      </c>
      <c r="O181" s="187" t="n">
        <v>7056495</v>
      </c>
    </row>
    <row r="182" customFormat="false" ht="12.75" hidden="false" customHeight="true" outlineLevel="0" collapsed="false">
      <c r="B182" s="191" t="s">
        <v>23</v>
      </c>
      <c r="C182" s="192" t="n">
        <v>2023</v>
      </c>
      <c r="D182" s="193" t="n">
        <v>11.9</v>
      </c>
      <c r="E182" s="193" t="n">
        <v>0.74</v>
      </c>
      <c r="F182" s="194" t="n">
        <v>64377</v>
      </c>
      <c r="G182" s="195" t="n">
        <v>6.7334</v>
      </c>
      <c r="H182" s="195" t="n">
        <v>3.9512</v>
      </c>
      <c r="I182" s="194" t="n">
        <v>47722</v>
      </c>
      <c r="J182" s="195" t="n">
        <v>10.7731</v>
      </c>
      <c r="K182" s="196" t="n">
        <v>6.2</v>
      </c>
      <c r="L182" s="197" t="n">
        <v>1</v>
      </c>
      <c r="M182" s="197" t="n">
        <v>0</v>
      </c>
      <c r="N182" s="195" t="n">
        <v>412.6553</v>
      </c>
      <c r="O182" s="194" t="n">
        <v>7056495</v>
      </c>
    </row>
    <row r="183" customFormat="false" ht="12.75" hidden="false" customHeight="true" outlineLevel="0" collapsed="false">
      <c r="B183" s="184" t="s">
        <v>23</v>
      </c>
      <c r="C183" s="185" t="n">
        <v>2024</v>
      </c>
      <c r="D183" s="186" t="n">
        <v>8.63</v>
      </c>
      <c r="E183" s="186" t="n">
        <v>68.7</v>
      </c>
      <c r="F183" s="187" t="n">
        <v>69427</v>
      </c>
      <c r="G183" s="188" t="n">
        <v>6.452</v>
      </c>
      <c r="H183" s="188" t="n">
        <v>8.5271</v>
      </c>
      <c r="I183" s="187" t="n">
        <v>50470</v>
      </c>
      <c r="J183" s="188" t="n">
        <v>10.8291</v>
      </c>
      <c r="K183" s="189" t="n">
        <v>5.4</v>
      </c>
      <c r="L183" s="190" t="n">
        <v>1</v>
      </c>
      <c r="M183" s="190" t="n">
        <v>0</v>
      </c>
      <c r="N183" s="188" t="n">
        <v>412.6553</v>
      </c>
      <c r="O183" s="187" t="n">
        <v>7350483</v>
      </c>
    </row>
    <row r="184" customFormat="false" ht="12.75" hidden="false" customHeight="true" outlineLevel="0" collapsed="false">
      <c r="B184" s="170" t="s">
        <v>24</v>
      </c>
      <c r="C184" s="171" t="n">
        <v>2005</v>
      </c>
      <c r="D184" s="172" t="n">
        <v>7.73</v>
      </c>
      <c r="E184" s="172" t="n">
        <v>0.1</v>
      </c>
      <c r="F184" s="173" t="n">
        <v>6</v>
      </c>
      <c r="G184" s="174" t="n">
        <v>6.157</v>
      </c>
      <c r="H184" s="174" t="n">
        <v>1.7918</v>
      </c>
      <c r="I184" s="173" t="n">
        <v>4151</v>
      </c>
      <c r="J184" s="174" t="n">
        <v>8.3311</v>
      </c>
      <c r="K184" s="175" t="n">
        <v>7.53</v>
      </c>
      <c r="L184" s="176" t="n">
        <v>0</v>
      </c>
      <c r="M184" s="176" t="n">
        <v>0</v>
      </c>
      <c r="N184" s="174" t="n">
        <v>73.5314</v>
      </c>
      <c r="O184" s="173" t="n">
        <v>6103327</v>
      </c>
    </row>
    <row r="185" customFormat="false" ht="12.75" hidden="false" customHeight="true" outlineLevel="0" collapsed="false">
      <c r="B185" s="177" t="s">
        <v>24</v>
      </c>
      <c r="C185" s="178" t="n">
        <v>2006</v>
      </c>
      <c r="D185" s="179" t="n">
        <v>7.45</v>
      </c>
      <c r="E185" s="179" t="n">
        <v>0.1</v>
      </c>
      <c r="F185" s="180" t="n">
        <v>12</v>
      </c>
      <c r="G185" s="181" t="n">
        <v>6.1334</v>
      </c>
      <c r="H185" s="181" t="n">
        <v>1.7918</v>
      </c>
      <c r="I185" s="180" t="n">
        <v>4628</v>
      </c>
      <c r="J185" s="181" t="n">
        <v>8.4399</v>
      </c>
      <c r="K185" s="182" t="n">
        <v>8.45</v>
      </c>
      <c r="L185" s="183" t="n">
        <v>0</v>
      </c>
      <c r="M185" s="183" t="n">
        <v>0</v>
      </c>
      <c r="N185" s="181" t="n">
        <v>73.5314</v>
      </c>
      <c r="O185" s="180" t="n">
        <v>6184538</v>
      </c>
    </row>
    <row r="186" customFormat="false" ht="12.75" hidden="false" customHeight="true" outlineLevel="0" collapsed="false">
      <c r="B186" s="170" t="s">
        <v>24</v>
      </c>
      <c r="C186" s="171" t="n">
        <v>2007</v>
      </c>
      <c r="D186" s="172" t="n">
        <v>9.56</v>
      </c>
      <c r="E186" s="172" t="n">
        <v>0.07</v>
      </c>
      <c r="F186" s="173" t="n">
        <v>16</v>
      </c>
      <c r="G186" s="174" t="n">
        <v>6.3716</v>
      </c>
      <c r="H186" s="174" t="n">
        <v>1.3863</v>
      </c>
      <c r="I186" s="173" t="n">
        <v>5165</v>
      </c>
      <c r="J186" s="174" t="n">
        <v>8.5497</v>
      </c>
      <c r="K186" s="175" t="n">
        <v>8.29</v>
      </c>
      <c r="L186" s="176" t="n">
        <v>0</v>
      </c>
      <c r="M186" s="176" t="n">
        <v>0</v>
      </c>
      <c r="N186" s="174" t="n">
        <v>73.5314</v>
      </c>
      <c r="O186" s="173" t="n">
        <v>6118995</v>
      </c>
    </row>
    <row r="187" customFormat="false" ht="12.75" hidden="false" customHeight="true" outlineLevel="0" collapsed="false">
      <c r="B187" s="177" t="s">
        <v>24</v>
      </c>
      <c r="C187" s="178" t="n">
        <v>2008</v>
      </c>
      <c r="D187" s="179" t="n">
        <v>10.93</v>
      </c>
      <c r="E187" s="179" t="n">
        <v>0.13</v>
      </c>
      <c r="F187" s="180" t="n">
        <v>24</v>
      </c>
      <c r="G187" s="181" t="n">
        <v>6.5352</v>
      </c>
      <c r="H187" s="181" t="n">
        <v>2.0794</v>
      </c>
      <c r="I187" s="180" t="n">
        <v>6104</v>
      </c>
      <c r="J187" s="181" t="n">
        <v>8.7167</v>
      </c>
      <c r="K187" s="182" t="n">
        <v>6.69</v>
      </c>
      <c r="L187" s="183" t="n">
        <v>0</v>
      </c>
      <c r="M187" s="183" t="n">
        <v>0</v>
      </c>
      <c r="N187" s="181" t="n">
        <v>73.5314</v>
      </c>
      <c r="O187" s="180" t="n">
        <v>6305537</v>
      </c>
    </row>
    <row r="188" customFormat="false" ht="12.75" hidden="false" customHeight="true" outlineLevel="0" collapsed="false">
      <c r="B188" s="170" t="s">
        <v>24</v>
      </c>
      <c r="C188" s="171" t="n">
        <v>2009</v>
      </c>
      <c r="D188" s="172" t="n">
        <v>12.31</v>
      </c>
      <c r="E188" s="172" t="n">
        <v>0.11</v>
      </c>
      <c r="F188" s="173" t="n">
        <v>31</v>
      </c>
      <c r="G188" s="174" t="n">
        <v>6.6644</v>
      </c>
      <c r="H188" s="174" t="n">
        <v>1.9459</v>
      </c>
      <c r="I188" s="173" t="n">
        <v>6259</v>
      </c>
      <c r="J188" s="174" t="n">
        <v>8.7418</v>
      </c>
      <c r="K188" s="175" t="n">
        <v>8.36</v>
      </c>
      <c r="L188" s="176" t="n">
        <v>0</v>
      </c>
      <c r="M188" s="176" t="n">
        <v>0</v>
      </c>
      <c r="N188" s="174" t="n">
        <v>73.5314</v>
      </c>
      <c r="O188" s="173" t="n">
        <v>6367138</v>
      </c>
    </row>
    <row r="189" customFormat="false" ht="12.75" hidden="false" customHeight="true" outlineLevel="0" collapsed="false">
      <c r="B189" s="177" t="s">
        <v>24</v>
      </c>
      <c r="C189" s="178" t="n">
        <v>2010</v>
      </c>
      <c r="D189" s="179" t="n">
        <v>12.35</v>
      </c>
      <c r="E189" s="179" t="n">
        <v>0.18</v>
      </c>
      <c r="F189" s="180" t="n">
        <v>43</v>
      </c>
      <c r="G189" s="181" t="n">
        <v>6.6995</v>
      </c>
      <c r="H189" s="181" t="n">
        <v>2.4849</v>
      </c>
      <c r="I189" s="180" t="n">
        <v>7044</v>
      </c>
      <c r="J189" s="181" t="n">
        <v>8.8599</v>
      </c>
      <c r="K189" s="182" t="n">
        <v>8.24</v>
      </c>
      <c r="L189" s="183" t="n">
        <v>0</v>
      </c>
      <c r="M189" s="183" t="n">
        <v>0</v>
      </c>
      <c r="N189" s="181" t="n">
        <v>73.5314</v>
      </c>
      <c r="O189" s="180" t="n">
        <v>6574789</v>
      </c>
    </row>
    <row r="190" customFormat="false" ht="12.75" hidden="false" customHeight="true" outlineLevel="0" collapsed="false">
      <c r="B190" s="170" t="s">
        <v>24</v>
      </c>
      <c r="C190" s="171" t="n">
        <v>2011</v>
      </c>
      <c r="D190" s="172" t="n">
        <v>14.13</v>
      </c>
      <c r="E190" s="172" t="n">
        <v>0.35</v>
      </c>
      <c r="F190" s="173" t="n">
        <v>66</v>
      </c>
      <c r="G190" s="174" t="n">
        <v>6.8448</v>
      </c>
      <c r="H190" s="174" t="n">
        <v>3.1355</v>
      </c>
      <c r="I190" s="173" t="n">
        <v>7846</v>
      </c>
      <c r="J190" s="174" t="n">
        <v>8.9678</v>
      </c>
      <c r="K190" s="175" t="n">
        <v>8.12</v>
      </c>
      <c r="L190" s="176" t="n">
        <v>0</v>
      </c>
      <c r="M190" s="176" t="n">
        <v>0</v>
      </c>
      <c r="N190" s="174" t="n">
        <v>73.5314</v>
      </c>
      <c r="O190" s="173" t="n">
        <v>6645761</v>
      </c>
    </row>
    <row r="191" customFormat="false" ht="12.75" hidden="false" customHeight="true" outlineLevel="0" collapsed="false">
      <c r="B191" s="177" t="s">
        <v>24</v>
      </c>
      <c r="C191" s="178" t="n">
        <v>2012</v>
      </c>
      <c r="D191" s="179" t="n">
        <v>17.01</v>
      </c>
      <c r="E191" s="179" t="n">
        <v>0.51</v>
      </c>
      <c r="F191" s="180" t="n">
        <v>100</v>
      </c>
      <c r="G191" s="181" t="n">
        <v>7.0405</v>
      </c>
      <c r="H191" s="181" t="n">
        <v>3.5264</v>
      </c>
      <c r="I191" s="180" t="n">
        <v>9009</v>
      </c>
      <c r="J191" s="181" t="n">
        <v>9.106</v>
      </c>
      <c r="K191" s="182" t="n">
        <v>6.83</v>
      </c>
      <c r="L191" s="183" t="n">
        <v>0</v>
      </c>
      <c r="M191" s="183" t="n">
        <v>0</v>
      </c>
      <c r="N191" s="181" t="n">
        <v>73.5314</v>
      </c>
      <c r="O191" s="180" t="n">
        <v>6714314</v>
      </c>
    </row>
    <row r="192" customFormat="false" ht="12.75" hidden="false" customHeight="true" outlineLevel="0" collapsed="false">
      <c r="B192" s="170" t="s">
        <v>24</v>
      </c>
      <c r="C192" s="171" t="n">
        <v>2013</v>
      </c>
      <c r="D192" s="172" t="n">
        <v>20.34</v>
      </c>
      <c r="E192" s="172" t="n">
        <v>0.74</v>
      </c>
      <c r="F192" s="173" t="n">
        <v>150</v>
      </c>
      <c r="G192" s="174" t="n">
        <v>7.2313</v>
      </c>
      <c r="H192" s="174" t="n">
        <v>3.912</v>
      </c>
      <c r="I192" s="173" t="n">
        <v>9963</v>
      </c>
      <c r="J192" s="174" t="n">
        <v>9.2066</v>
      </c>
      <c r="K192" s="175" t="n">
        <v>9.02</v>
      </c>
      <c r="L192" s="176" t="n">
        <v>0</v>
      </c>
      <c r="M192" s="176" t="n">
        <v>0</v>
      </c>
      <c r="N192" s="174" t="n">
        <v>73.5314</v>
      </c>
      <c r="O192" s="173" t="n">
        <v>6794301</v>
      </c>
    </row>
    <row r="193" customFormat="false" ht="12.75" hidden="false" customHeight="true" outlineLevel="0" collapsed="false">
      <c r="B193" s="177" t="s">
        <v>24</v>
      </c>
      <c r="C193" s="178" t="n">
        <v>2014</v>
      </c>
      <c r="D193" s="179" t="n">
        <v>24.45</v>
      </c>
      <c r="E193" s="179" t="n">
        <v>0.57</v>
      </c>
      <c r="F193" s="180" t="n">
        <v>189</v>
      </c>
      <c r="G193" s="181" t="n">
        <v>7.4236</v>
      </c>
      <c r="H193" s="181" t="n">
        <v>3.6636</v>
      </c>
      <c r="I193" s="180" t="n">
        <v>11216</v>
      </c>
      <c r="J193" s="181" t="n">
        <v>9.3251</v>
      </c>
      <c r="K193" s="182" t="n">
        <v>8.1</v>
      </c>
      <c r="L193" s="183" t="n">
        <v>0</v>
      </c>
      <c r="M193" s="183" t="n">
        <v>0</v>
      </c>
      <c r="N193" s="181" t="n">
        <v>73.5314</v>
      </c>
      <c r="O193" s="180" t="n">
        <v>6850884</v>
      </c>
    </row>
    <row r="194" customFormat="false" ht="12.75" hidden="false" customHeight="true" outlineLevel="0" collapsed="false">
      <c r="B194" s="170" t="s">
        <v>24</v>
      </c>
      <c r="C194" s="171" t="n">
        <v>2015</v>
      </c>
      <c r="D194" s="172" t="n">
        <v>24.94</v>
      </c>
      <c r="E194" s="172" t="n">
        <v>0.13</v>
      </c>
      <c r="F194" s="173" t="n">
        <v>198</v>
      </c>
      <c r="G194" s="174" t="n">
        <v>7.4512</v>
      </c>
      <c r="H194" s="174" t="n">
        <v>2.1972</v>
      </c>
      <c r="I194" s="173" t="n">
        <v>11366</v>
      </c>
      <c r="J194" s="174" t="n">
        <v>9.3384</v>
      </c>
      <c r="K194" s="175" t="n">
        <v>8.8</v>
      </c>
      <c r="L194" s="176" t="n">
        <v>0</v>
      </c>
      <c r="M194" s="176" t="n">
        <v>0</v>
      </c>
      <c r="N194" s="174" t="n">
        <v>73.5314</v>
      </c>
      <c r="O194" s="173" t="n">
        <v>6904241</v>
      </c>
    </row>
    <row r="195" customFormat="false" ht="12.75" hidden="false" customHeight="true" outlineLevel="0" collapsed="false">
      <c r="B195" s="184" t="s">
        <v>24</v>
      </c>
      <c r="C195" s="185" t="n">
        <v>2016</v>
      </c>
      <c r="D195" s="186" t="n">
        <v>23.37</v>
      </c>
      <c r="E195" s="186" t="n">
        <v>0.46</v>
      </c>
      <c r="F195" s="187" t="n">
        <v>230</v>
      </c>
      <c r="G195" s="188" t="n">
        <v>7.3933</v>
      </c>
      <c r="H195" s="188" t="n">
        <v>3.4657</v>
      </c>
      <c r="I195" s="187" t="n">
        <v>12268</v>
      </c>
      <c r="J195" s="188" t="n">
        <v>9.4147</v>
      </c>
      <c r="K195" s="189" t="n">
        <v>12.1</v>
      </c>
      <c r="L195" s="190" t="n">
        <v>0</v>
      </c>
      <c r="M195" s="190" t="n">
        <v>0</v>
      </c>
      <c r="N195" s="188" t="n">
        <v>73.5314</v>
      </c>
      <c r="O195" s="187" t="n">
        <v>6954036</v>
      </c>
    </row>
    <row r="196" customFormat="false" ht="12.75" hidden="false" customHeight="true" outlineLevel="0" collapsed="false">
      <c r="B196" s="191" t="s">
        <v>24</v>
      </c>
      <c r="C196" s="192" t="n">
        <v>2017</v>
      </c>
      <c r="D196" s="193" t="n">
        <v>21.06</v>
      </c>
      <c r="E196" s="193" t="n">
        <v>1.29</v>
      </c>
      <c r="F196" s="194" t="n">
        <v>320</v>
      </c>
      <c r="G196" s="195" t="n">
        <v>7.2957</v>
      </c>
      <c r="H196" s="195" t="n">
        <v>4.4998</v>
      </c>
      <c r="I196" s="194" t="n">
        <v>12791</v>
      </c>
      <c r="J196" s="195" t="n">
        <v>9.4565</v>
      </c>
      <c r="K196" s="196" t="n">
        <v>14.5</v>
      </c>
      <c r="L196" s="197" t="n">
        <v>0</v>
      </c>
      <c r="M196" s="197" t="n">
        <v>0</v>
      </c>
      <c r="N196" s="195" t="n">
        <v>73.5314</v>
      </c>
      <c r="O196" s="194" t="n">
        <v>7000229</v>
      </c>
    </row>
    <row r="197" customFormat="false" ht="12.75" hidden="false" customHeight="true" outlineLevel="0" collapsed="false">
      <c r="B197" s="184" t="s">
        <v>24</v>
      </c>
      <c r="C197" s="185" t="n">
        <v>2018</v>
      </c>
      <c r="D197" s="186" t="n">
        <v>17.87</v>
      </c>
      <c r="E197" s="186" t="n">
        <v>1.68</v>
      </c>
      <c r="F197" s="187" t="n">
        <v>438</v>
      </c>
      <c r="G197" s="188" t="n">
        <v>7.1365</v>
      </c>
      <c r="H197" s="188" t="n">
        <v>4.7707</v>
      </c>
      <c r="I197" s="187" t="n">
        <v>13956</v>
      </c>
      <c r="J197" s="188" t="n">
        <v>9.5437</v>
      </c>
      <c r="K197" s="189" t="n">
        <v>14.7</v>
      </c>
      <c r="L197" s="190" t="n">
        <v>0</v>
      </c>
      <c r="M197" s="190" t="n">
        <v>0</v>
      </c>
      <c r="N197" s="188" t="n">
        <v>73.5314</v>
      </c>
      <c r="O197" s="187" t="n">
        <v>7035055</v>
      </c>
    </row>
    <row r="198" customFormat="false" ht="12.75" hidden="false" customHeight="true" outlineLevel="0" collapsed="false">
      <c r="B198" s="191" t="s">
        <v>24</v>
      </c>
      <c r="C198" s="192" t="n">
        <v>2019</v>
      </c>
      <c r="D198" s="193" t="n">
        <v>15</v>
      </c>
      <c r="E198" s="193" t="n">
        <v>8.99</v>
      </c>
      <c r="F198" s="194" t="n">
        <v>1074</v>
      </c>
      <c r="G198" s="195" t="n">
        <v>6.967</v>
      </c>
      <c r="H198" s="195" t="n">
        <v>6.4552</v>
      </c>
      <c r="I198" s="194" t="n">
        <v>13758</v>
      </c>
      <c r="J198" s="195" t="n">
        <v>9.5294</v>
      </c>
      <c r="K198" s="196" t="n">
        <v>14.7</v>
      </c>
      <c r="L198" s="197" t="n">
        <v>0</v>
      </c>
      <c r="M198" s="197" t="n">
        <v>0</v>
      </c>
      <c r="N198" s="195" t="n">
        <v>73.5314</v>
      </c>
      <c r="O198" s="194" t="n">
        <v>7075181</v>
      </c>
    </row>
    <row r="199" customFormat="false" ht="12.75" hidden="false" customHeight="true" outlineLevel="0" collapsed="false">
      <c r="B199" s="184" t="s">
        <v>24</v>
      </c>
      <c r="C199" s="185" t="n">
        <v>2020</v>
      </c>
      <c r="D199" s="186" t="n">
        <v>20.04</v>
      </c>
      <c r="E199" s="186" t="n">
        <v>21.08</v>
      </c>
      <c r="F199" s="187" t="n">
        <v>2574</v>
      </c>
      <c r="G199" s="188" t="n">
        <v>7.2626</v>
      </c>
      <c r="H199" s="188" t="n">
        <v>7.3132</v>
      </c>
      <c r="I199" s="187" t="n">
        <v>15028</v>
      </c>
      <c r="J199" s="188" t="n">
        <v>9.6177</v>
      </c>
      <c r="K199" s="189" t="n">
        <v>16.4</v>
      </c>
      <c r="L199" s="190" t="n">
        <v>0</v>
      </c>
      <c r="M199" s="190" t="n">
        <v>1</v>
      </c>
      <c r="N199" s="188" t="n">
        <v>73.5314</v>
      </c>
      <c r="O199" s="187" t="n">
        <v>7114598</v>
      </c>
    </row>
    <row r="200" customFormat="false" ht="12.75" hidden="false" customHeight="true" outlineLevel="0" collapsed="false">
      <c r="B200" s="191" t="s">
        <v>24</v>
      </c>
      <c r="C200" s="192" t="n">
        <v>2021</v>
      </c>
      <c r="D200" s="193" t="n">
        <v>20.12</v>
      </c>
      <c r="E200" s="193" t="n">
        <v>39.87</v>
      </c>
      <c r="F200" s="194" t="n">
        <v>5426</v>
      </c>
      <c r="G200" s="195" t="n">
        <v>7.2717</v>
      </c>
      <c r="H200" s="195" t="n">
        <v>7.9558</v>
      </c>
      <c r="I200" s="194" t="n">
        <v>17472</v>
      </c>
      <c r="J200" s="195" t="n">
        <v>9.7684</v>
      </c>
      <c r="K200" s="196" t="n">
        <v>16.1</v>
      </c>
      <c r="L200" s="197" t="n">
        <v>0</v>
      </c>
      <c r="M200" s="197" t="n">
        <v>1</v>
      </c>
      <c r="N200" s="195" t="n">
        <v>73.5314</v>
      </c>
      <c r="O200" s="194" t="n">
        <v>7153262</v>
      </c>
    </row>
    <row r="201" customFormat="false" ht="12.75" hidden="false" customHeight="true" outlineLevel="0" collapsed="false">
      <c r="B201" s="184" t="s">
        <v>24</v>
      </c>
      <c r="C201" s="185" t="n">
        <v>2022</v>
      </c>
      <c r="D201" s="186" t="n">
        <v>19.51</v>
      </c>
      <c r="E201" s="186" t="n">
        <v>73.53</v>
      </c>
      <c r="F201" s="187" t="n">
        <v>10409</v>
      </c>
      <c r="G201" s="188" t="n">
        <v>7.1869</v>
      </c>
      <c r="H201" s="188" t="n">
        <v>8.5138</v>
      </c>
      <c r="I201" s="187" t="n">
        <v>20628</v>
      </c>
      <c r="J201" s="188" t="n">
        <v>9.9344</v>
      </c>
      <c r="K201" s="189" t="n">
        <v>10.5</v>
      </c>
      <c r="L201" s="190" t="n">
        <v>0</v>
      </c>
      <c r="M201" s="190" t="n">
        <v>0</v>
      </c>
      <c r="N201" s="188" t="n">
        <v>73.5314</v>
      </c>
      <c r="O201" s="187" t="n">
        <v>6776699</v>
      </c>
    </row>
    <row r="202" customFormat="false" ht="12.75" hidden="false" customHeight="true" outlineLevel="0" collapsed="false">
      <c r="B202" s="191" t="s">
        <v>24</v>
      </c>
      <c r="C202" s="192" t="n">
        <v>2023</v>
      </c>
      <c r="D202" s="193" t="n">
        <v>21.21</v>
      </c>
      <c r="E202" s="193" t="n">
        <v>0.03</v>
      </c>
      <c r="F202" s="194" t="n">
        <v>10411</v>
      </c>
      <c r="G202" s="195" t="n">
        <v>7.2703</v>
      </c>
      <c r="H202" s="195" t="n">
        <v>0.6931</v>
      </c>
      <c r="I202" s="194" t="n">
        <v>22021</v>
      </c>
      <c r="J202" s="195" t="n">
        <v>9.9998</v>
      </c>
      <c r="K202" s="196" t="n">
        <v>8.2</v>
      </c>
      <c r="L202" s="197" t="n">
        <v>1</v>
      </c>
      <c r="M202" s="197" t="n">
        <v>0</v>
      </c>
      <c r="N202" s="195" t="n">
        <v>73.5314</v>
      </c>
      <c r="O202" s="194" t="n">
        <v>6776699</v>
      </c>
    </row>
    <row r="203" customFormat="false" ht="12.75" hidden="false" customHeight="true" outlineLevel="0" collapsed="false">
      <c r="B203" s="184" t="s">
        <v>24</v>
      </c>
      <c r="C203" s="185" t="n">
        <v>2024</v>
      </c>
      <c r="D203" s="186" t="n">
        <v>22.42</v>
      </c>
      <c r="E203" s="186" t="n">
        <v>7.32</v>
      </c>
      <c r="F203" s="187" t="n">
        <v>10924</v>
      </c>
      <c r="G203" s="188" t="n">
        <v>7.3601</v>
      </c>
      <c r="H203" s="188" t="n">
        <v>6.2403</v>
      </c>
      <c r="I203" s="187" t="n">
        <v>22544</v>
      </c>
      <c r="J203" s="188" t="n">
        <v>10.0232</v>
      </c>
      <c r="K203" s="189" t="n">
        <v>7.7</v>
      </c>
      <c r="L203" s="190" t="n">
        <v>1</v>
      </c>
      <c r="M203" s="190" t="n">
        <v>0</v>
      </c>
      <c r="N203" s="188" t="n">
        <v>73.5314</v>
      </c>
      <c r="O203" s="187" t="n">
        <v>7010960</v>
      </c>
    </row>
    <row r="204" customFormat="false" ht="12.75" hidden="false" customHeight="true" outlineLevel="0" collapsed="false">
      <c r="B204" s="170" t="s">
        <v>25</v>
      </c>
      <c r="C204" s="171" t="n">
        <v>2005</v>
      </c>
      <c r="D204" s="172" t="n">
        <v>16.05</v>
      </c>
      <c r="E204" s="172" t="n">
        <v>0.59</v>
      </c>
      <c r="F204" s="173" t="n">
        <v>114</v>
      </c>
      <c r="G204" s="174" t="n">
        <v>8.0353</v>
      </c>
      <c r="H204" s="174" t="n">
        <v>4.7362</v>
      </c>
      <c r="I204" s="173" t="n">
        <v>10014</v>
      </c>
      <c r="J204" s="174" t="n">
        <v>9.2117</v>
      </c>
      <c r="K204" s="175" t="n">
        <v>9.39</v>
      </c>
      <c r="L204" s="176" t="n">
        <v>0</v>
      </c>
      <c r="M204" s="176" t="n">
        <v>0</v>
      </c>
      <c r="N204" s="174" t="n">
        <v>178.189</v>
      </c>
      <c r="O204" s="173" t="n">
        <v>19237450</v>
      </c>
    </row>
    <row r="205" customFormat="false" ht="12.75" hidden="false" customHeight="true" outlineLevel="0" collapsed="false">
      <c r="B205" s="177" t="s">
        <v>25</v>
      </c>
      <c r="C205" s="178" t="n">
        <v>2006</v>
      </c>
      <c r="D205" s="179" t="n">
        <v>15.76</v>
      </c>
      <c r="E205" s="179" t="n">
        <v>0.7</v>
      </c>
      <c r="F205" s="180" t="n">
        <v>250</v>
      </c>
      <c r="G205" s="181" t="n">
        <v>8.0291</v>
      </c>
      <c r="H205" s="181" t="n">
        <v>4.9127</v>
      </c>
      <c r="I205" s="180" t="n">
        <v>11025</v>
      </c>
      <c r="J205" s="181" t="n">
        <v>9.3079</v>
      </c>
      <c r="K205" s="182" t="n">
        <v>8.74</v>
      </c>
      <c r="L205" s="183" t="n">
        <v>0</v>
      </c>
      <c r="M205" s="183" t="n">
        <v>0</v>
      </c>
      <c r="N205" s="181" t="n">
        <v>178.189</v>
      </c>
      <c r="O205" s="180" t="n">
        <v>19479356</v>
      </c>
    </row>
    <row r="206" customFormat="false" ht="12.75" hidden="false" customHeight="true" outlineLevel="0" collapsed="false">
      <c r="B206" s="170" t="s">
        <v>25</v>
      </c>
      <c r="C206" s="171" t="n">
        <v>2007</v>
      </c>
      <c r="D206" s="172" t="n">
        <v>15.41</v>
      </c>
      <c r="E206" s="172" t="n">
        <v>0.46</v>
      </c>
      <c r="F206" s="173" t="n">
        <v>339</v>
      </c>
      <c r="G206" s="174" t="n">
        <v>7.9967</v>
      </c>
      <c r="H206" s="174" t="n">
        <v>4.4886</v>
      </c>
      <c r="I206" s="173" t="n">
        <v>12519</v>
      </c>
      <c r="J206" s="174" t="n">
        <v>9.435</v>
      </c>
      <c r="K206" s="175" t="n">
        <v>8.22</v>
      </c>
      <c r="L206" s="176" t="n">
        <v>0</v>
      </c>
      <c r="M206" s="176" t="n">
        <v>0</v>
      </c>
      <c r="N206" s="174" t="n">
        <v>178.189</v>
      </c>
      <c r="O206" s="173" t="n">
        <v>19273533</v>
      </c>
    </row>
    <row r="207" customFormat="false" ht="12.75" hidden="false" customHeight="true" outlineLevel="0" collapsed="false">
      <c r="B207" s="177" t="s">
        <v>25</v>
      </c>
      <c r="C207" s="178" t="n">
        <v>2008</v>
      </c>
      <c r="D207" s="179" t="n">
        <v>13.81</v>
      </c>
      <c r="E207" s="179" t="n">
        <v>0.46</v>
      </c>
      <c r="F207" s="180" t="n">
        <v>430</v>
      </c>
      <c r="G207" s="181" t="n">
        <v>7.9164</v>
      </c>
      <c r="H207" s="181" t="n">
        <v>4.5109</v>
      </c>
      <c r="I207" s="180" t="n">
        <v>14233</v>
      </c>
      <c r="J207" s="181" t="n">
        <v>9.5633</v>
      </c>
      <c r="K207" s="182" t="n">
        <v>6.72</v>
      </c>
      <c r="L207" s="183" t="n">
        <v>0</v>
      </c>
      <c r="M207" s="183" t="n">
        <v>0</v>
      </c>
      <c r="N207" s="181" t="n">
        <v>178.189</v>
      </c>
      <c r="O207" s="180" t="n">
        <v>19850060</v>
      </c>
    </row>
    <row r="208" customFormat="false" ht="12.75" hidden="false" customHeight="true" outlineLevel="0" collapsed="false">
      <c r="B208" s="170" t="s">
        <v>25</v>
      </c>
      <c r="C208" s="171" t="n">
        <v>2009</v>
      </c>
      <c r="D208" s="172" t="n">
        <v>12.92</v>
      </c>
      <c r="E208" s="172" t="n">
        <v>0.64</v>
      </c>
      <c r="F208" s="173" t="n">
        <v>558</v>
      </c>
      <c r="G208" s="174" t="n">
        <v>7.8586</v>
      </c>
      <c r="H208" s="174" t="n">
        <v>4.852</v>
      </c>
      <c r="I208" s="173" t="n">
        <v>14329</v>
      </c>
      <c r="J208" s="174" t="n">
        <v>9.57</v>
      </c>
      <c r="K208" s="175" t="n">
        <v>8.1</v>
      </c>
      <c r="L208" s="176" t="n">
        <v>0</v>
      </c>
      <c r="M208" s="176" t="n">
        <v>0</v>
      </c>
      <c r="N208" s="174" t="n">
        <v>178.189</v>
      </c>
      <c r="O208" s="173" t="n">
        <v>20033665</v>
      </c>
    </row>
    <row r="209" customFormat="false" ht="12.75" hidden="false" customHeight="true" outlineLevel="0" collapsed="false">
      <c r="B209" s="177" t="s">
        <v>25</v>
      </c>
      <c r="C209" s="178" t="n">
        <v>2010</v>
      </c>
      <c r="D209" s="179" t="n">
        <v>12.53</v>
      </c>
      <c r="E209" s="179" t="n">
        <v>0.35</v>
      </c>
      <c r="F209" s="180" t="n">
        <v>626</v>
      </c>
      <c r="G209" s="181" t="n">
        <v>7.8059</v>
      </c>
      <c r="H209" s="181" t="n">
        <v>4.2195</v>
      </c>
      <c r="I209" s="180" t="n">
        <v>17917</v>
      </c>
      <c r="J209" s="181" t="n">
        <v>9.7935</v>
      </c>
      <c r="K209" s="182" t="n">
        <v>7.26</v>
      </c>
      <c r="L209" s="183" t="n">
        <v>0</v>
      </c>
      <c r="M209" s="183" t="n">
        <v>0</v>
      </c>
      <c r="N209" s="181" t="n">
        <v>178.189</v>
      </c>
      <c r="O209" s="180" t="n">
        <v>19597330</v>
      </c>
    </row>
    <row r="210" customFormat="false" ht="12.75" hidden="false" customHeight="true" outlineLevel="0" collapsed="false">
      <c r="B210" s="170" t="s">
        <v>25</v>
      </c>
      <c r="C210" s="171" t="n">
        <v>2011</v>
      </c>
      <c r="D210" s="172" t="n">
        <v>15.13</v>
      </c>
      <c r="E210" s="172" t="n">
        <v>0.83</v>
      </c>
      <c r="F210" s="173" t="n">
        <v>789</v>
      </c>
      <c r="G210" s="174" t="n">
        <v>8.0014</v>
      </c>
      <c r="H210" s="174" t="n">
        <v>5.0938</v>
      </c>
      <c r="I210" s="173" t="n">
        <v>20281</v>
      </c>
      <c r="J210" s="174" t="n">
        <v>9.9174</v>
      </c>
      <c r="K210" s="175" t="n">
        <v>6.43</v>
      </c>
      <c r="L210" s="176" t="n">
        <v>0</v>
      </c>
      <c r="M210" s="176" t="n">
        <v>0</v>
      </c>
      <c r="N210" s="174" t="n">
        <v>178.189</v>
      </c>
      <c r="O210" s="173" t="n">
        <v>19728701</v>
      </c>
    </row>
    <row r="211" customFormat="false" ht="12.75" hidden="false" customHeight="true" outlineLevel="0" collapsed="false">
      <c r="B211" s="177" t="s">
        <v>25</v>
      </c>
      <c r="C211" s="178" t="n">
        <v>2012</v>
      </c>
      <c r="D211" s="179" t="n">
        <v>16.17</v>
      </c>
      <c r="E211" s="179" t="n">
        <v>0.9</v>
      </c>
      <c r="F211" s="180" t="n">
        <v>967</v>
      </c>
      <c r="G211" s="181" t="n">
        <v>8.074</v>
      </c>
      <c r="H211" s="181" t="n">
        <v>5.1818</v>
      </c>
      <c r="I211" s="180" t="n">
        <v>22275</v>
      </c>
      <c r="J211" s="181" t="n">
        <v>10.0112</v>
      </c>
      <c r="K211" s="182" t="n">
        <v>6.21</v>
      </c>
      <c r="L211" s="183" t="n">
        <v>0</v>
      </c>
      <c r="M211" s="183" t="n">
        <v>0</v>
      </c>
      <c r="N211" s="181" t="n">
        <v>178.189</v>
      </c>
      <c r="O211" s="180" t="n">
        <v>19855332</v>
      </c>
    </row>
    <row r="212" customFormat="false" ht="12.75" hidden="false" customHeight="true" outlineLevel="0" collapsed="false">
      <c r="B212" s="170" t="s">
        <v>25</v>
      </c>
      <c r="C212" s="171" t="n">
        <v>2013</v>
      </c>
      <c r="D212" s="172" t="n">
        <v>16.78</v>
      </c>
      <c r="E212" s="172" t="n">
        <v>0.61</v>
      </c>
      <c r="F212" s="173" t="n">
        <v>1093</v>
      </c>
      <c r="G212" s="174" t="n">
        <v>8.1476</v>
      </c>
      <c r="H212" s="174" t="n">
        <v>4.8363</v>
      </c>
      <c r="I212" s="173" t="n">
        <v>23697</v>
      </c>
      <c r="J212" s="174" t="n">
        <v>10.0731</v>
      </c>
      <c r="K212" s="175" t="n">
        <v>6.63</v>
      </c>
      <c r="L212" s="176" t="n">
        <v>0</v>
      </c>
      <c r="M212" s="176" t="n">
        <v>0</v>
      </c>
      <c r="N212" s="174" t="n">
        <v>178.189</v>
      </c>
      <c r="O212" s="173" t="n">
        <v>20593356</v>
      </c>
    </row>
    <row r="213" customFormat="false" ht="12.75" hidden="false" customHeight="true" outlineLevel="0" collapsed="false">
      <c r="B213" s="177" t="s">
        <v>25</v>
      </c>
      <c r="C213" s="178" t="n">
        <v>2014</v>
      </c>
      <c r="D213" s="179" t="n">
        <v>16.22</v>
      </c>
      <c r="E213" s="179" t="n">
        <v>0.54</v>
      </c>
      <c r="F213" s="180" t="n">
        <v>1204</v>
      </c>
      <c r="G213" s="181" t="n">
        <v>8.1206</v>
      </c>
      <c r="H213" s="181" t="n">
        <v>4.7095</v>
      </c>
      <c r="I213" s="180" t="n">
        <v>24917</v>
      </c>
      <c r="J213" s="181" t="n">
        <v>10.1233</v>
      </c>
      <c r="K213" s="182" t="n">
        <v>7.06</v>
      </c>
      <c r="L213" s="183" t="n">
        <v>0</v>
      </c>
      <c r="M213" s="183" t="n">
        <v>0</v>
      </c>
      <c r="N213" s="181" t="n">
        <v>178.189</v>
      </c>
      <c r="O213" s="180" t="n">
        <v>20734097</v>
      </c>
    </row>
    <row r="214" customFormat="false" ht="12.75" hidden="false" customHeight="true" outlineLevel="0" collapsed="false">
      <c r="B214" s="170" t="s">
        <v>25</v>
      </c>
      <c r="C214" s="171" t="n">
        <v>2015</v>
      </c>
      <c r="D214" s="172" t="n">
        <v>15.37</v>
      </c>
      <c r="E214" s="172" t="n">
        <v>0.31</v>
      </c>
      <c r="F214" s="173" t="n">
        <v>1269</v>
      </c>
      <c r="G214" s="174" t="n">
        <v>8.0734</v>
      </c>
      <c r="H214" s="174" t="n">
        <v>4.1744</v>
      </c>
      <c r="I214" s="173" t="n">
        <v>24885</v>
      </c>
      <c r="J214" s="174" t="n">
        <v>10.122</v>
      </c>
      <c r="K214" s="175" t="n">
        <v>8.6</v>
      </c>
      <c r="L214" s="176" t="n">
        <v>0</v>
      </c>
      <c r="M214" s="176" t="n">
        <v>0</v>
      </c>
      <c r="N214" s="174" t="n">
        <v>178.189</v>
      </c>
      <c r="O214" s="173" t="n">
        <v>20869101</v>
      </c>
    </row>
    <row r="215" customFormat="false" ht="12.75" hidden="false" customHeight="true" outlineLevel="0" collapsed="false">
      <c r="B215" s="184" t="s">
        <v>25</v>
      </c>
      <c r="C215" s="185" t="n">
        <v>2016</v>
      </c>
      <c r="D215" s="186" t="n">
        <v>15.76</v>
      </c>
      <c r="E215" s="186" t="n">
        <v>1.3</v>
      </c>
      <c r="F215" s="187" t="n">
        <v>1541</v>
      </c>
      <c r="G215" s="188" t="n">
        <v>8.1047</v>
      </c>
      <c r="H215" s="188" t="n">
        <v>5.6058</v>
      </c>
      <c r="I215" s="187" t="n">
        <v>25946</v>
      </c>
      <c r="J215" s="188" t="n">
        <v>10.1638</v>
      </c>
      <c r="K215" s="189" t="n">
        <v>11.2</v>
      </c>
      <c r="L215" s="190" t="n">
        <v>0</v>
      </c>
      <c r="M215" s="190" t="n">
        <v>0</v>
      </c>
      <c r="N215" s="188" t="n">
        <v>178.189</v>
      </c>
      <c r="O215" s="187" t="n">
        <v>20997560</v>
      </c>
    </row>
    <row r="216" customFormat="false" ht="12.75" hidden="false" customHeight="true" outlineLevel="0" collapsed="false">
      <c r="B216" s="191" t="s">
        <v>25</v>
      </c>
      <c r="C216" s="192" t="n">
        <v>2017</v>
      </c>
      <c r="D216" s="193" t="n">
        <v>14.49</v>
      </c>
      <c r="E216" s="193" t="n">
        <v>2.32</v>
      </c>
      <c r="F216" s="194" t="n">
        <v>2030</v>
      </c>
      <c r="G216" s="195" t="n">
        <v>8.0262</v>
      </c>
      <c r="H216" s="195" t="n">
        <v>6.1924</v>
      </c>
      <c r="I216" s="194" t="n">
        <v>27291</v>
      </c>
      <c r="J216" s="195" t="n">
        <v>10.2143</v>
      </c>
      <c r="K216" s="196" t="n">
        <v>12.2</v>
      </c>
      <c r="L216" s="197" t="n">
        <v>0</v>
      </c>
      <c r="M216" s="197" t="n">
        <v>0</v>
      </c>
      <c r="N216" s="195" t="n">
        <v>178.189</v>
      </c>
      <c r="O216" s="194" t="n">
        <v>21119536</v>
      </c>
    </row>
    <row r="217" customFormat="false" ht="12.75" hidden="false" customHeight="true" outlineLevel="0" collapsed="false">
      <c r="B217" s="184" t="s">
        <v>25</v>
      </c>
      <c r="C217" s="185" t="n">
        <v>2018</v>
      </c>
      <c r="D217" s="186" t="n">
        <v>10.62</v>
      </c>
      <c r="E217" s="186" t="n">
        <v>5.18</v>
      </c>
      <c r="F217" s="187" t="n">
        <v>3119</v>
      </c>
      <c r="G217" s="188" t="n">
        <v>7.7115</v>
      </c>
      <c r="H217" s="188" t="n">
        <v>6.993</v>
      </c>
      <c r="I217" s="187" t="n">
        <v>29223</v>
      </c>
      <c r="J217" s="188" t="n">
        <v>10.2827</v>
      </c>
      <c r="K217" s="189" t="n">
        <v>10.8</v>
      </c>
      <c r="L217" s="190" t="n">
        <v>0</v>
      </c>
      <c r="M217" s="190" t="n">
        <v>0</v>
      </c>
      <c r="N217" s="188" t="n">
        <v>178.189</v>
      </c>
      <c r="O217" s="187" t="n">
        <v>21040662</v>
      </c>
    </row>
    <row r="218" customFormat="false" ht="12.75" hidden="false" customHeight="true" outlineLevel="0" collapsed="false">
      <c r="B218" s="191" t="s">
        <v>25</v>
      </c>
      <c r="C218" s="192" t="n">
        <v>2019</v>
      </c>
      <c r="D218" s="193" t="n">
        <v>8.83</v>
      </c>
      <c r="E218" s="193" t="n">
        <v>31.14</v>
      </c>
      <c r="F218" s="194" t="n">
        <v>9710</v>
      </c>
      <c r="G218" s="195" t="n">
        <v>7.5332</v>
      </c>
      <c r="H218" s="195" t="n">
        <v>8.7935</v>
      </c>
      <c r="I218" s="194" t="n">
        <v>30794</v>
      </c>
      <c r="J218" s="195" t="n">
        <v>10.3351</v>
      </c>
      <c r="K218" s="196" t="n">
        <v>10.1</v>
      </c>
      <c r="L218" s="197" t="n">
        <v>0</v>
      </c>
      <c r="M218" s="197" t="n">
        <v>0</v>
      </c>
      <c r="N218" s="195" t="n">
        <v>178.189</v>
      </c>
      <c r="O218" s="194" t="n">
        <v>21168791</v>
      </c>
    </row>
    <row r="219" customFormat="false" ht="12.75" hidden="false" customHeight="true" outlineLevel="0" collapsed="false">
      <c r="B219" s="184" t="s">
        <v>25</v>
      </c>
      <c r="C219" s="185" t="n">
        <v>2020</v>
      </c>
      <c r="D219" s="186" t="n">
        <v>7.95</v>
      </c>
      <c r="E219" s="186" t="n">
        <v>47.49</v>
      </c>
      <c r="F219" s="187" t="n">
        <v>19821</v>
      </c>
      <c r="G219" s="188" t="n">
        <v>7.4337</v>
      </c>
      <c r="H219" s="188" t="n">
        <v>9.2214</v>
      </c>
      <c r="I219" s="187" t="n">
        <v>32067</v>
      </c>
      <c r="J219" s="188" t="n">
        <v>10.3756</v>
      </c>
      <c r="K219" s="189" t="n">
        <v>12.8</v>
      </c>
      <c r="L219" s="190" t="n">
        <v>0</v>
      </c>
      <c r="M219" s="190" t="n">
        <v>1</v>
      </c>
      <c r="N219" s="188" t="n">
        <v>178.189</v>
      </c>
      <c r="O219" s="187" t="n">
        <v>21292666</v>
      </c>
    </row>
    <row r="220" customFormat="false" ht="12.75" hidden="false" customHeight="true" outlineLevel="0" collapsed="false">
      <c r="B220" s="191" t="s">
        <v>25</v>
      </c>
      <c r="C220" s="192" t="n">
        <v>2021</v>
      </c>
      <c r="D220" s="193" t="n">
        <v>7.42</v>
      </c>
      <c r="E220" s="193" t="n">
        <v>111.51</v>
      </c>
      <c r="F220" s="194" t="n">
        <v>43697</v>
      </c>
      <c r="G220" s="195" t="n">
        <v>7.3702</v>
      </c>
      <c r="H220" s="195" t="n">
        <v>10.0806</v>
      </c>
      <c r="I220" s="194" t="n">
        <v>40052</v>
      </c>
      <c r="J220" s="195" t="n">
        <v>10.5979</v>
      </c>
      <c r="K220" s="196" t="n">
        <v>11.7</v>
      </c>
      <c r="L220" s="197" t="n">
        <v>0</v>
      </c>
      <c r="M220" s="197" t="n">
        <v>1</v>
      </c>
      <c r="N220" s="195" t="n">
        <v>178.189</v>
      </c>
      <c r="O220" s="194" t="n">
        <v>21411923</v>
      </c>
    </row>
    <row r="221" customFormat="false" ht="12.75" hidden="false" customHeight="true" outlineLevel="0" collapsed="false">
      <c r="B221" s="184" t="s">
        <v>25</v>
      </c>
      <c r="C221" s="185" t="n">
        <v>2022</v>
      </c>
      <c r="D221" s="186" t="n">
        <v>8.46</v>
      </c>
      <c r="E221" s="186" t="n">
        <v>178.19</v>
      </c>
      <c r="F221" s="187" t="n">
        <v>80297</v>
      </c>
      <c r="G221" s="188" t="n">
        <v>7.4599</v>
      </c>
      <c r="H221" s="188" t="n">
        <v>10.5078</v>
      </c>
      <c r="I221" s="187" t="n">
        <v>44145</v>
      </c>
      <c r="J221" s="188" t="n">
        <v>10.6952</v>
      </c>
      <c r="K221" s="189" t="n">
        <v>7.2</v>
      </c>
      <c r="L221" s="190" t="n">
        <v>0</v>
      </c>
      <c r="M221" s="190" t="n">
        <v>0</v>
      </c>
      <c r="N221" s="188" t="n">
        <v>178.189</v>
      </c>
      <c r="O221" s="187" t="n">
        <v>20539989</v>
      </c>
    </row>
    <row r="222" customFormat="false" ht="12.75" hidden="false" customHeight="true" outlineLevel="0" collapsed="false">
      <c r="B222" s="191" t="s">
        <v>25</v>
      </c>
      <c r="C222" s="192" t="n">
        <v>2023</v>
      </c>
      <c r="D222" s="193" t="n">
        <v>8.52</v>
      </c>
      <c r="E222" s="193" t="n">
        <v>0.49</v>
      </c>
      <c r="F222" s="194" t="n">
        <v>80398</v>
      </c>
      <c r="G222" s="195" t="n">
        <v>7.4668</v>
      </c>
      <c r="H222" s="195" t="n">
        <v>4.6151</v>
      </c>
      <c r="I222" s="194" t="n">
        <v>47321</v>
      </c>
      <c r="J222" s="195" t="n">
        <v>10.7647</v>
      </c>
      <c r="K222" s="196" t="n">
        <v>6.1</v>
      </c>
      <c r="L222" s="197" t="n">
        <v>1</v>
      </c>
      <c r="M222" s="197" t="n">
        <v>0</v>
      </c>
      <c r="N222" s="195" t="n">
        <v>178.189</v>
      </c>
      <c r="O222" s="194" t="n">
        <v>20539989</v>
      </c>
    </row>
    <row r="223" customFormat="false" ht="12.75" hidden="false" customHeight="true" outlineLevel="0" collapsed="false">
      <c r="B223" s="184" t="s">
        <v>25</v>
      </c>
      <c r="C223" s="185" t="n">
        <v>2024</v>
      </c>
      <c r="D223" s="186" t="n">
        <v>7.89</v>
      </c>
      <c r="E223" s="186" t="n">
        <v>36.42</v>
      </c>
      <c r="F223" s="187" t="n">
        <v>88164</v>
      </c>
      <c r="G223" s="188" t="n">
        <v>7.4277</v>
      </c>
      <c r="H223" s="188" t="n">
        <v>8.9575</v>
      </c>
      <c r="I223" s="187" t="n">
        <v>48462</v>
      </c>
      <c r="J223" s="188" t="n">
        <v>10.7885</v>
      </c>
      <c r="K223" s="189" t="n">
        <v>5.2</v>
      </c>
      <c r="L223" s="190" t="n">
        <v>1</v>
      </c>
      <c r="M223" s="190" t="n">
        <v>0</v>
      </c>
      <c r="N223" s="188" t="n">
        <v>178.189</v>
      </c>
      <c r="O223" s="187" t="n">
        <v>21322691</v>
      </c>
    </row>
    <row r="224" customFormat="false" ht="12.75" hidden="false" customHeight="true" outlineLevel="0" collapsed="false">
      <c r="B224" s="170" t="s">
        <v>26</v>
      </c>
      <c r="C224" s="171" t="n">
        <v>2005</v>
      </c>
      <c r="D224" s="172" t="n">
        <v>15.28</v>
      </c>
      <c r="E224" s="172" t="n">
        <v>0.35</v>
      </c>
      <c r="F224" s="173" t="n">
        <v>8</v>
      </c>
      <c r="G224" s="174" t="n">
        <v>5.8464</v>
      </c>
      <c r="H224" s="174" t="n">
        <v>2.0794</v>
      </c>
      <c r="I224" s="173" t="n">
        <v>9561</v>
      </c>
      <c r="J224" s="174" t="n">
        <v>9.1654</v>
      </c>
      <c r="K224" s="175" t="n">
        <v>9.2</v>
      </c>
      <c r="L224" s="176" t="n">
        <v>0</v>
      </c>
      <c r="M224" s="176" t="n">
        <v>0</v>
      </c>
      <c r="N224" s="174" t="n">
        <v>325.6786</v>
      </c>
      <c r="O224" s="173" t="n">
        <v>2264468</v>
      </c>
    </row>
    <row r="225" customFormat="false" ht="12.75" hidden="false" customHeight="true" outlineLevel="0" collapsed="false">
      <c r="B225" s="177" t="s">
        <v>26</v>
      </c>
      <c r="C225" s="178" t="n">
        <v>2006</v>
      </c>
      <c r="D225" s="179" t="n">
        <v>16.19</v>
      </c>
      <c r="E225" s="179" t="n">
        <v>0.65</v>
      </c>
      <c r="F225" s="180" t="n">
        <v>23</v>
      </c>
      <c r="G225" s="181" t="n">
        <v>5.9189</v>
      </c>
      <c r="H225" s="181" t="n">
        <v>2.7081</v>
      </c>
      <c r="I225" s="180" t="n">
        <v>10592</v>
      </c>
      <c r="J225" s="181" t="n">
        <v>9.2679</v>
      </c>
      <c r="K225" s="182" t="n">
        <v>8.47</v>
      </c>
      <c r="L225" s="183" t="n">
        <v>0</v>
      </c>
      <c r="M225" s="183" t="n">
        <v>0</v>
      </c>
      <c r="N225" s="181" t="n">
        <v>325.6786</v>
      </c>
      <c r="O225" s="180" t="n">
        <v>2297981</v>
      </c>
    </row>
    <row r="226" customFormat="false" ht="12.75" hidden="false" customHeight="true" outlineLevel="0" collapsed="false">
      <c r="B226" s="170" t="s">
        <v>26</v>
      </c>
      <c r="C226" s="171" t="n">
        <v>2007</v>
      </c>
      <c r="D226" s="172" t="n">
        <v>17.7</v>
      </c>
      <c r="E226" s="172" t="n">
        <v>0.35</v>
      </c>
      <c r="F226" s="173" t="n">
        <v>31</v>
      </c>
      <c r="G226" s="174" t="n">
        <v>5.994</v>
      </c>
      <c r="H226" s="174" t="n">
        <v>2.0794</v>
      </c>
      <c r="I226" s="173" t="n">
        <v>12411</v>
      </c>
      <c r="J226" s="174" t="n">
        <v>9.4263</v>
      </c>
      <c r="K226" s="175" t="n">
        <v>6.48</v>
      </c>
      <c r="L226" s="176" t="n">
        <v>0</v>
      </c>
      <c r="M226" s="176" t="n">
        <v>0</v>
      </c>
      <c r="N226" s="174" t="n">
        <v>325.6786</v>
      </c>
      <c r="O226" s="173" t="n">
        <v>2265813</v>
      </c>
    </row>
    <row r="227" customFormat="false" ht="12.75" hidden="false" customHeight="true" outlineLevel="0" collapsed="false">
      <c r="B227" s="177" t="s">
        <v>26</v>
      </c>
      <c r="C227" s="178" t="n">
        <v>2008</v>
      </c>
      <c r="D227" s="179" t="n">
        <v>16.65</v>
      </c>
      <c r="E227" s="179" t="n">
        <v>0.43</v>
      </c>
      <c r="F227" s="180" t="n">
        <v>41</v>
      </c>
      <c r="G227" s="181" t="n">
        <v>5.9636</v>
      </c>
      <c r="H227" s="181" t="n">
        <v>2.3026</v>
      </c>
      <c r="I227" s="180" t="n">
        <v>14188</v>
      </c>
      <c r="J227" s="181" t="n">
        <v>9.5602</v>
      </c>
      <c r="K227" s="182" t="n">
        <v>7.87</v>
      </c>
      <c r="L227" s="183" t="n">
        <v>0</v>
      </c>
      <c r="M227" s="183" t="n">
        <v>0</v>
      </c>
      <c r="N227" s="181" t="n">
        <v>325.6786</v>
      </c>
      <c r="O227" s="180" t="n">
        <v>2336060</v>
      </c>
    </row>
    <row r="228" customFormat="false" ht="12.75" hidden="false" customHeight="true" outlineLevel="0" collapsed="false">
      <c r="B228" s="170" t="s">
        <v>26</v>
      </c>
      <c r="C228" s="171" t="n">
        <v>2009</v>
      </c>
      <c r="D228" s="172" t="n">
        <v>18.34</v>
      </c>
      <c r="E228" s="172" t="n">
        <v>1.14</v>
      </c>
      <c r="F228" s="173" t="n">
        <v>68</v>
      </c>
      <c r="G228" s="174" t="n">
        <v>6.0707</v>
      </c>
      <c r="H228" s="174" t="n">
        <v>3.2958</v>
      </c>
      <c r="I228" s="173" t="n">
        <v>15407</v>
      </c>
      <c r="J228" s="174" t="n">
        <v>9.6426</v>
      </c>
      <c r="K228" s="175" t="n">
        <v>7.21</v>
      </c>
      <c r="L228" s="176" t="n">
        <v>0</v>
      </c>
      <c r="M228" s="176" t="n">
        <v>0</v>
      </c>
      <c r="N228" s="174" t="n">
        <v>325.6786</v>
      </c>
      <c r="O228" s="173" t="n">
        <v>2360498</v>
      </c>
    </row>
    <row r="229" customFormat="false" ht="12.75" hidden="false" customHeight="true" outlineLevel="0" collapsed="false">
      <c r="B229" s="177" t="s">
        <v>26</v>
      </c>
      <c r="C229" s="178" t="n">
        <v>2010</v>
      </c>
      <c r="D229" s="179" t="n">
        <v>13.84</v>
      </c>
      <c r="E229" s="179" t="n">
        <v>0.78</v>
      </c>
      <c r="F229" s="180" t="n">
        <v>87</v>
      </c>
      <c r="G229" s="181" t="n">
        <v>5.826</v>
      </c>
      <c r="H229" s="181" t="n">
        <v>2.9444</v>
      </c>
      <c r="I229" s="180" t="n">
        <v>19302</v>
      </c>
      <c r="J229" s="181" t="n">
        <v>9.868</v>
      </c>
      <c r="K229" s="182" t="n">
        <v>6.04</v>
      </c>
      <c r="L229" s="183" t="n">
        <v>0</v>
      </c>
      <c r="M229" s="183" t="n">
        <v>0</v>
      </c>
      <c r="N229" s="181" t="n">
        <v>325.6786</v>
      </c>
      <c r="O229" s="180" t="n">
        <v>2449024</v>
      </c>
    </row>
    <row r="230" customFormat="false" ht="12.75" hidden="false" customHeight="true" outlineLevel="0" collapsed="false">
      <c r="B230" s="170" t="s">
        <v>26</v>
      </c>
      <c r="C230" s="171" t="n">
        <v>2011</v>
      </c>
      <c r="D230" s="172" t="n">
        <v>14.69</v>
      </c>
      <c r="E230" s="172" t="n">
        <v>2.18</v>
      </c>
      <c r="F230" s="173" t="n">
        <v>141</v>
      </c>
      <c r="G230" s="174" t="n">
        <v>5.8972</v>
      </c>
      <c r="H230" s="174" t="n">
        <v>3.989</v>
      </c>
      <c r="I230" s="173" t="n">
        <v>22253</v>
      </c>
      <c r="J230" s="174" t="n">
        <v>10.0102</v>
      </c>
      <c r="K230" s="175" t="n">
        <v>4.86</v>
      </c>
      <c r="L230" s="176" t="n">
        <v>0</v>
      </c>
      <c r="M230" s="176" t="n">
        <v>0</v>
      </c>
      <c r="N230" s="174" t="n">
        <v>325.6786</v>
      </c>
      <c r="O230" s="173" t="n">
        <v>2477542</v>
      </c>
    </row>
    <row r="231" customFormat="false" ht="12.75" hidden="false" customHeight="true" outlineLevel="0" collapsed="false">
      <c r="B231" s="177" t="s">
        <v>26</v>
      </c>
      <c r="C231" s="178" t="n">
        <v>2012</v>
      </c>
      <c r="D231" s="179" t="n">
        <v>13.4</v>
      </c>
      <c r="E231" s="179" t="n">
        <v>1.48</v>
      </c>
      <c r="F231" s="180" t="n">
        <v>178</v>
      </c>
      <c r="G231" s="181" t="n">
        <v>5.8141</v>
      </c>
      <c r="H231" s="181" t="n">
        <v>3.6109</v>
      </c>
      <c r="I231" s="180" t="n">
        <v>24802</v>
      </c>
      <c r="J231" s="181" t="n">
        <v>10.1187</v>
      </c>
      <c r="K231" s="182" t="n">
        <v>3.73</v>
      </c>
      <c r="L231" s="183" t="n">
        <v>0</v>
      </c>
      <c r="M231" s="183" t="n">
        <v>0</v>
      </c>
      <c r="N231" s="181" t="n">
        <v>325.6786</v>
      </c>
      <c r="O231" s="180" t="n">
        <v>2500365</v>
      </c>
    </row>
    <row r="232" customFormat="false" ht="12.75" hidden="false" customHeight="true" outlineLevel="0" collapsed="false">
      <c r="B232" s="170" t="s">
        <v>26</v>
      </c>
      <c r="C232" s="171" t="n">
        <v>2013</v>
      </c>
      <c r="D232" s="172" t="n">
        <v>12.14</v>
      </c>
      <c r="E232" s="172" t="n">
        <v>0.5</v>
      </c>
      <c r="F232" s="173" t="n">
        <v>191</v>
      </c>
      <c r="G232" s="174" t="n">
        <v>5.7494</v>
      </c>
      <c r="H232" s="174" t="n">
        <v>2.5649</v>
      </c>
      <c r="I232" s="173" t="n">
        <v>26748</v>
      </c>
      <c r="J232" s="174" t="n">
        <v>10.1942</v>
      </c>
      <c r="K232" s="175" t="n">
        <v>3.87</v>
      </c>
      <c r="L232" s="176" t="n">
        <v>0</v>
      </c>
      <c r="M232" s="176" t="n">
        <v>0</v>
      </c>
      <c r="N232" s="174" t="n">
        <v>325.6786</v>
      </c>
      <c r="O232" s="173" t="n">
        <v>2587269</v>
      </c>
    </row>
    <row r="233" customFormat="false" ht="12.75" hidden="false" customHeight="true" outlineLevel="0" collapsed="false">
      <c r="B233" s="177" t="s">
        <v>26</v>
      </c>
      <c r="C233" s="178" t="n">
        <v>2014</v>
      </c>
      <c r="D233" s="179" t="n">
        <v>13.55</v>
      </c>
      <c r="E233" s="179" t="n">
        <v>0.92</v>
      </c>
      <c r="F233" s="180" t="n">
        <v>215</v>
      </c>
      <c r="G233" s="181" t="n">
        <v>5.8721</v>
      </c>
      <c r="H233" s="181" t="n">
        <v>3.1781</v>
      </c>
      <c r="I233" s="180" t="n">
        <v>30138</v>
      </c>
      <c r="J233" s="181" t="n">
        <v>10.3135</v>
      </c>
      <c r="K233" s="182" t="n">
        <v>4.49</v>
      </c>
      <c r="L233" s="183" t="n">
        <v>0</v>
      </c>
      <c r="M233" s="183" t="n">
        <v>0</v>
      </c>
      <c r="N233" s="181" t="n">
        <v>325.6786</v>
      </c>
      <c r="O233" s="180" t="n">
        <v>2619657</v>
      </c>
    </row>
    <row r="234" customFormat="false" ht="12.75" hidden="false" customHeight="true" outlineLevel="0" collapsed="false">
      <c r="B234" s="170" t="s">
        <v>26</v>
      </c>
      <c r="C234" s="171" t="n">
        <v>2015</v>
      </c>
      <c r="D234" s="172" t="n">
        <v>11.96</v>
      </c>
      <c r="E234" s="172" t="n">
        <v>0.57</v>
      </c>
      <c r="F234" s="173" t="n">
        <v>230</v>
      </c>
      <c r="G234" s="174" t="n">
        <v>5.7589</v>
      </c>
      <c r="H234" s="174" t="n">
        <v>2.7081</v>
      </c>
      <c r="I234" s="173" t="n">
        <v>31337</v>
      </c>
      <c r="J234" s="174" t="n">
        <v>10.3526</v>
      </c>
      <c r="K234" s="175" t="n">
        <v>6.2</v>
      </c>
      <c r="L234" s="176" t="n">
        <v>0</v>
      </c>
      <c r="M234" s="176" t="n">
        <v>0</v>
      </c>
      <c r="N234" s="174" t="n">
        <v>325.6786</v>
      </c>
      <c r="O234" s="173" t="n">
        <v>2651235</v>
      </c>
    </row>
    <row r="235" customFormat="false" ht="12.75" hidden="false" customHeight="true" outlineLevel="0" collapsed="false">
      <c r="B235" s="184" t="s">
        <v>26</v>
      </c>
      <c r="C235" s="185" t="n">
        <v>2016</v>
      </c>
      <c r="D235" s="186" t="n">
        <v>12.23</v>
      </c>
      <c r="E235" s="186" t="n">
        <v>4.36</v>
      </c>
      <c r="F235" s="187" t="n">
        <v>347</v>
      </c>
      <c r="G235" s="188" t="n">
        <v>5.793</v>
      </c>
      <c r="H235" s="188" t="n">
        <v>4.7622</v>
      </c>
      <c r="I235" s="187" t="n">
        <v>34258</v>
      </c>
      <c r="J235" s="188" t="n">
        <v>10.4417</v>
      </c>
      <c r="K235" s="189" t="n">
        <v>7.7</v>
      </c>
      <c r="L235" s="190" t="n">
        <v>0</v>
      </c>
      <c r="M235" s="190" t="n">
        <v>0</v>
      </c>
      <c r="N235" s="188" t="n">
        <v>325.6786</v>
      </c>
      <c r="O235" s="187" t="n">
        <v>2682386</v>
      </c>
    </row>
    <row r="236" customFormat="false" ht="12.75" hidden="false" customHeight="true" outlineLevel="0" collapsed="false">
      <c r="B236" s="191" t="s">
        <v>26</v>
      </c>
      <c r="C236" s="192" t="n">
        <v>2017</v>
      </c>
      <c r="D236" s="193" t="n">
        <v>11.72</v>
      </c>
      <c r="E236" s="193" t="n">
        <v>7</v>
      </c>
      <c r="F236" s="194" t="n">
        <v>537</v>
      </c>
      <c r="G236" s="195" t="n">
        <v>5.7621</v>
      </c>
      <c r="H236" s="195" t="n">
        <v>5.247</v>
      </c>
      <c r="I236" s="194" t="n">
        <v>35529</v>
      </c>
      <c r="J236" s="195" t="n">
        <v>10.4781</v>
      </c>
      <c r="K236" s="196" t="n">
        <v>8.6</v>
      </c>
      <c r="L236" s="197" t="n">
        <v>0</v>
      </c>
      <c r="M236" s="197" t="n">
        <v>0</v>
      </c>
      <c r="N236" s="195" t="n">
        <v>325.6786</v>
      </c>
      <c r="O236" s="194" t="n">
        <v>2713147</v>
      </c>
    </row>
    <row r="237" customFormat="false" ht="12.75" hidden="false" customHeight="true" outlineLevel="0" collapsed="false">
      <c r="B237" s="184" t="s">
        <v>26</v>
      </c>
      <c r="C237" s="185" t="n">
        <v>2018</v>
      </c>
      <c r="D237" s="186" t="n">
        <v>8.95</v>
      </c>
      <c r="E237" s="186" t="n">
        <v>6.8</v>
      </c>
      <c r="F237" s="187" t="n">
        <v>724</v>
      </c>
      <c r="G237" s="188" t="n">
        <v>5.5053</v>
      </c>
      <c r="H237" s="188" t="n">
        <v>5.2311</v>
      </c>
      <c r="I237" s="187" t="n">
        <v>38926</v>
      </c>
      <c r="J237" s="188" t="n">
        <v>10.5694</v>
      </c>
      <c r="K237" s="189" t="n">
        <v>7.6</v>
      </c>
      <c r="L237" s="190" t="n">
        <v>0</v>
      </c>
      <c r="M237" s="190" t="n">
        <v>0</v>
      </c>
      <c r="N237" s="188" t="n">
        <v>325.6786</v>
      </c>
      <c r="O237" s="187" t="n">
        <v>2748023</v>
      </c>
    </row>
    <row r="238" customFormat="false" ht="12.75" hidden="false" customHeight="true" outlineLevel="0" collapsed="false">
      <c r="B238" s="191" t="s">
        <v>26</v>
      </c>
      <c r="C238" s="192" t="n">
        <v>2019</v>
      </c>
      <c r="D238" s="193" t="n">
        <v>8.31</v>
      </c>
      <c r="E238" s="193" t="n">
        <v>37.89</v>
      </c>
      <c r="F238" s="194" t="n">
        <v>1777</v>
      </c>
      <c r="G238" s="195" t="n">
        <v>5.4424</v>
      </c>
      <c r="H238" s="195" t="n">
        <v>6.9594</v>
      </c>
      <c r="I238" s="194" t="n">
        <v>38483</v>
      </c>
      <c r="J238" s="195" t="n">
        <v>10.558</v>
      </c>
      <c r="K238" s="196" t="n">
        <v>8.1</v>
      </c>
      <c r="L238" s="197" t="n">
        <v>0</v>
      </c>
      <c r="M238" s="197" t="n">
        <v>0</v>
      </c>
      <c r="N238" s="195" t="n">
        <v>325.6786</v>
      </c>
      <c r="O238" s="194" t="n">
        <v>2778986</v>
      </c>
    </row>
    <row r="239" customFormat="false" ht="12.75" hidden="false" customHeight="true" outlineLevel="0" collapsed="false">
      <c r="B239" s="184" t="s">
        <v>26</v>
      </c>
      <c r="C239" s="185" t="n">
        <v>2020</v>
      </c>
      <c r="D239" s="186" t="n">
        <v>7.65</v>
      </c>
      <c r="E239" s="186" t="n">
        <v>84.15</v>
      </c>
      <c r="F239" s="187" t="n">
        <v>4141</v>
      </c>
      <c r="G239" s="188" t="n">
        <v>5.3706</v>
      </c>
      <c r="H239" s="188" t="n">
        <v>7.7681</v>
      </c>
      <c r="I239" s="187" t="n">
        <v>43649</v>
      </c>
      <c r="J239" s="188" t="n">
        <v>10.6839</v>
      </c>
      <c r="K239" s="189" t="n">
        <v>10.2</v>
      </c>
      <c r="L239" s="190" t="n">
        <v>0</v>
      </c>
      <c r="M239" s="190" t="n">
        <v>1</v>
      </c>
      <c r="N239" s="188" t="n">
        <v>325.6786</v>
      </c>
      <c r="O239" s="187" t="n">
        <v>2809394</v>
      </c>
    </row>
    <row r="240" customFormat="false" ht="12.75" hidden="false" customHeight="true" outlineLevel="0" collapsed="false">
      <c r="B240" s="191" t="s">
        <v>26</v>
      </c>
      <c r="C240" s="192" t="n">
        <v>2021</v>
      </c>
      <c r="D240" s="193" t="n">
        <v>9.47</v>
      </c>
      <c r="E240" s="193" t="n">
        <v>167.3</v>
      </c>
      <c r="F240" s="194" t="n">
        <v>8891</v>
      </c>
      <c r="G240" s="195" t="n">
        <v>5.5947</v>
      </c>
      <c r="H240" s="195" t="n">
        <v>8.4659</v>
      </c>
      <c r="I240" s="194" t="n">
        <v>50086</v>
      </c>
      <c r="J240" s="195" t="n">
        <v>10.8215</v>
      </c>
      <c r="K240" s="196" t="n">
        <v>8.7</v>
      </c>
      <c r="L240" s="197" t="n">
        <v>0</v>
      </c>
      <c r="M240" s="197" t="n">
        <v>1</v>
      </c>
      <c r="N240" s="195" t="n">
        <v>325.6786</v>
      </c>
      <c r="O240" s="194" t="n">
        <v>2839188</v>
      </c>
    </row>
    <row r="241" customFormat="false" ht="12.75" hidden="false" customHeight="true" outlineLevel="0" collapsed="false">
      <c r="B241" s="184" t="s">
        <v>26</v>
      </c>
      <c r="C241" s="185" t="n">
        <v>2022</v>
      </c>
      <c r="D241" s="186" t="n">
        <v>9.03</v>
      </c>
      <c r="E241" s="186" t="n">
        <v>325.68</v>
      </c>
      <c r="F241" s="187" t="n">
        <v>17870</v>
      </c>
      <c r="G241" s="188" t="n">
        <v>5.5175</v>
      </c>
      <c r="H241" s="188" t="n">
        <v>9.1026</v>
      </c>
      <c r="I241" s="187" t="n">
        <v>60358</v>
      </c>
      <c r="J241" s="188" t="n">
        <v>11.008</v>
      </c>
      <c r="K241" s="189" t="n">
        <v>5</v>
      </c>
      <c r="L241" s="190" t="n">
        <v>0</v>
      </c>
      <c r="M241" s="190" t="n">
        <v>0</v>
      </c>
      <c r="N241" s="188" t="n">
        <v>325.6786</v>
      </c>
      <c r="O241" s="187" t="n">
        <v>2757013</v>
      </c>
    </row>
    <row r="242" customFormat="false" ht="12.75" hidden="false" customHeight="true" outlineLevel="0" collapsed="false">
      <c r="B242" s="191" t="s">
        <v>26</v>
      </c>
      <c r="C242" s="192" t="n">
        <v>2023</v>
      </c>
      <c r="D242" s="193" t="n">
        <v>8.23</v>
      </c>
      <c r="E242" s="193" t="n">
        <v>0.65</v>
      </c>
      <c r="F242" s="194" t="n">
        <v>17888</v>
      </c>
      <c r="G242" s="195" t="n">
        <v>5.425</v>
      </c>
      <c r="H242" s="195" t="n">
        <v>2.8904</v>
      </c>
      <c r="I242" s="194" t="n">
        <v>66885</v>
      </c>
      <c r="J242" s="195" t="n">
        <v>11.1107</v>
      </c>
      <c r="K242" s="196" t="n">
        <v>4.2</v>
      </c>
      <c r="L242" s="197" t="n">
        <v>1</v>
      </c>
      <c r="M242" s="197" t="n">
        <v>0</v>
      </c>
      <c r="N242" s="195" t="n">
        <v>325.6786</v>
      </c>
      <c r="O242" s="194" t="n">
        <v>2757013</v>
      </c>
    </row>
    <row r="243" customFormat="false" ht="12.75" hidden="false" customHeight="true" outlineLevel="0" collapsed="false">
      <c r="B243" s="184" t="s">
        <v>26</v>
      </c>
      <c r="C243" s="185" t="n">
        <v>2024</v>
      </c>
      <c r="D243" s="186" t="n">
        <v>7.48</v>
      </c>
      <c r="E243" s="186" t="n">
        <v>40.66</v>
      </c>
      <c r="F243" s="187" t="n">
        <v>19068</v>
      </c>
      <c r="G243" s="188" t="n">
        <v>5.3799</v>
      </c>
      <c r="H243" s="188" t="n">
        <v>7.0733</v>
      </c>
      <c r="I243" s="187" t="n">
        <v>69436</v>
      </c>
      <c r="J243" s="188" t="n">
        <v>11.1482</v>
      </c>
      <c r="K243" s="189" t="n">
        <v>4</v>
      </c>
      <c r="L243" s="190" t="n">
        <v>1</v>
      </c>
      <c r="M243" s="190" t="n">
        <v>0</v>
      </c>
      <c r="N243" s="188" t="n">
        <v>325.6786</v>
      </c>
      <c r="O243" s="187" t="n">
        <v>2901895</v>
      </c>
    </row>
    <row r="244" customFormat="false" ht="12.75" hidden="false" customHeight="true" outlineLevel="0" collapsed="false">
      <c r="B244" s="170" t="s">
        <v>27</v>
      </c>
      <c r="C244" s="171" t="n">
        <v>2005</v>
      </c>
      <c r="D244" s="172" t="n">
        <v>17.27</v>
      </c>
      <c r="E244" s="172" t="n">
        <v>0.18</v>
      </c>
      <c r="F244" s="173" t="n">
        <v>5</v>
      </c>
      <c r="G244" s="174" t="n">
        <v>6.1821</v>
      </c>
      <c r="H244" s="174" t="n">
        <v>1.6094</v>
      </c>
      <c r="I244" s="173" t="n">
        <v>13365</v>
      </c>
      <c r="J244" s="174" t="n">
        <v>9.5004</v>
      </c>
      <c r="K244" s="175" t="n">
        <v>8.69</v>
      </c>
      <c r="L244" s="176" t="n">
        <v>0</v>
      </c>
      <c r="M244" s="176" t="n">
        <v>0</v>
      </c>
      <c r="N244" s="174" t="n">
        <v>362.7569</v>
      </c>
      <c r="O244" s="173" t="n">
        <v>2803274</v>
      </c>
    </row>
    <row r="245" customFormat="false" ht="12.75" hidden="false" customHeight="true" outlineLevel="0" collapsed="false">
      <c r="B245" s="177" t="s">
        <v>27</v>
      </c>
      <c r="C245" s="178" t="n">
        <v>2006</v>
      </c>
      <c r="D245" s="179" t="n">
        <v>17.47</v>
      </c>
      <c r="E245" s="179" t="n">
        <v>0</v>
      </c>
      <c r="F245" s="180" t="n">
        <v>5</v>
      </c>
      <c r="G245" s="181" t="n">
        <v>6.2126</v>
      </c>
      <c r="H245" s="181"/>
      <c r="I245" s="180" t="n">
        <v>12341</v>
      </c>
      <c r="J245" s="181" t="n">
        <v>9.4207</v>
      </c>
      <c r="K245" s="182" t="n">
        <v>9.1</v>
      </c>
      <c r="L245" s="183" t="n">
        <v>0</v>
      </c>
      <c r="M245" s="183" t="n">
        <v>0</v>
      </c>
      <c r="N245" s="181" t="n">
        <v>362.7569</v>
      </c>
      <c r="O245" s="180" t="n">
        <v>2856999</v>
      </c>
    </row>
    <row r="246" customFormat="false" ht="12.75" hidden="false" customHeight="true" outlineLevel="0" collapsed="false">
      <c r="B246" s="170" t="s">
        <v>27</v>
      </c>
      <c r="C246" s="171" t="n">
        <v>2007</v>
      </c>
      <c r="D246" s="172" t="n">
        <v>18.99</v>
      </c>
      <c r="E246" s="172" t="n">
        <v>0.21</v>
      </c>
      <c r="F246" s="173" t="n">
        <v>11</v>
      </c>
      <c r="G246" s="174" t="n">
        <v>6.2953</v>
      </c>
      <c r="H246" s="174" t="n">
        <v>1.7918</v>
      </c>
      <c r="I246" s="173" t="n">
        <v>14954</v>
      </c>
      <c r="J246" s="174" t="n">
        <v>9.6127</v>
      </c>
      <c r="K246" s="175" t="n">
        <v>8.42</v>
      </c>
      <c r="L246" s="176" t="n">
        <v>0</v>
      </c>
      <c r="M246" s="176" t="n">
        <v>0</v>
      </c>
      <c r="N246" s="174" t="n">
        <v>362.7569</v>
      </c>
      <c r="O246" s="173" t="n">
        <v>2854642</v>
      </c>
    </row>
    <row r="247" customFormat="false" ht="12.75" hidden="false" customHeight="true" outlineLevel="0" collapsed="false">
      <c r="B247" s="177" t="s">
        <v>27</v>
      </c>
      <c r="C247" s="178" t="n">
        <v>2008</v>
      </c>
      <c r="D247" s="179" t="n">
        <v>19.58</v>
      </c>
      <c r="E247" s="179" t="n">
        <v>0.51</v>
      </c>
      <c r="F247" s="180" t="n">
        <v>26</v>
      </c>
      <c r="G247" s="181" t="n">
        <v>6.3613</v>
      </c>
      <c r="H247" s="181" t="n">
        <v>2.7081</v>
      </c>
      <c r="I247" s="180" t="n">
        <v>18050</v>
      </c>
      <c r="J247" s="181" t="n">
        <v>9.8009</v>
      </c>
      <c r="K247" s="182" t="n">
        <v>6.22</v>
      </c>
      <c r="L247" s="183" t="n">
        <v>0</v>
      </c>
      <c r="M247" s="183" t="n">
        <v>0</v>
      </c>
      <c r="N247" s="181" t="n">
        <v>362.7569</v>
      </c>
      <c r="O247" s="180" t="n">
        <v>2957735</v>
      </c>
    </row>
    <row r="248" customFormat="false" ht="12.75" hidden="false" customHeight="true" outlineLevel="0" collapsed="false">
      <c r="B248" s="170" t="s">
        <v>27</v>
      </c>
      <c r="C248" s="171" t="n">
        <v>2009</v>
      </c>
      <c r="D248" s="172" t="n">
        <v>19.16</v>
      </c>
      <c r="E248" s="172" t="n">
        <v>1.07</v>
      </c>
      <c r="F248" s="173" t="n">
        <v>58</v>
      </c>
      <c r="G248" s="174" t="n">
        <v>6.3544</v>
      </c>
      <c r="H248" s="174" t="n">
        <v>3.4657</v>
      </c>
      <c r="I248" s="173" t="n">
        <v>19087</v>
      </c>
      <c r="J248" s="174" t="n">
        <v>9.8568</v>
      </c>
      <c r="K248" s="175" t="n">
        <v>6.87</v>
      </c>
      <c r="L248" s="176" t="n">
        <v>0</v>
      </c>
      <c r="M248" s="176" t="n">
        <v>0</v>
      </c>
      <c r="N248" s="174" t="n">
        <v>362.7569</v>
      </c>
      <c r="O248" s="173" t="n">
        <v>3001692</v>
      </c>
    </row>
    <row r="249" customFormat="false" ht="12.75" hidden="false" customHeight="true" outlineLevel="0" collapsed="false">
      <c r="B249" s="177" t="s">
        <v>27</v>
      </c>
      <c r="C249" s="178" t="n">
        <v>2010</v>
      </c>
      <c r="D249" s="179" t="n">
        <v>18.71</v>
      </c>
      <c r="E249" s="179" t="n">
        <v>1.61</v>
      </c>
      <c r="F249" s="180" t="n">
        <v>107</v>
      </c>
      <c r="G249" s="181" t="n">
        <v>6.3421</v>
      </c>
      <c r="H249" s="181" t="n">
        <v>3.8918</v>
      </c>
      <c r="I249" s="180" t="n">
        <v>18649</v>
      </c>
      <c r="J249" s="181" t="n">
        <v>9.8335</v>
      </c>
      <c r="K249" s="182" t="n">
        <v>7.25</v>
      </c>
      <c r="L249" s="183" t="n">
        <v>0</v>
      </c>
      <c r="M249" s="183" t="n">
        <v>0</v>
      </c>
      <c r="N249" s="181" t="n">
        <v>362.7569</v>
      </c>
      <c r="O249" s="180" t="n">
        <v>3035122</v>
      </c>
    </row>
    <row r="250" customFormat="false" ht="12.75" hidden="false" customHeight="true" outlineLevel="0" collapsed="false">
      <c r="B250" s="170" t="s">
        <v>27</v>
      </c>
      <c r="C250" s="171" t="n">
        <v>2011</v>
      </c>
      <c r="D250" s="172" t="n">
        <v>19.67</v>
      </c>
      <c r="E250" s="172" t="n">
        <v>1.89</v>
      </c>
      <c r="F250" s="173" t="n">
        <v>165</v>
      </c>
      <c r="G250" s="174" t="n">
        <v>6.4052</v>
      </c>
      <c r="H250" s="174" t="n">
        <v>4.0604</v>
      </c>
      <c r="I250" s="173" t="n">
        <v>22482</v>
      </c>
      <c r="J250" s="174" t="n">
        <v>10.0205</v>
      </c>
      <c r="K250" s="175" t="n">
        <v>7.63</v>
      </c>
      <c r="L250" s="176" t="n">
        <v>0</v>
      </c>
      <c r="M250" s="176" t="n">
        <v>0</v>
      </c>
      <c r="N250" s="174" t="n">
        <v>362.7569</v>
      </c>
      <c r="O250" s="173" t="n">
        <v>3075936</v>
      </c>
    </row>
    <row r="251" customFormat="false" ht="12.75" hidden="false" customHeight="true" outlineLevel="0" collapsed="false">
      <c r="B251" s="177" t="s">
        <v>27</v>
      </c>
      <c r="C251" s="178" t="n">
        <v>2012</v>
      </c>
      <c r="D251" s="179" t="n">
        <v>20.83</v>
      </c>
      <c r="E251" s="179" t="n">
        <v>3.31</v>
      </c>
      <c r="F251" s="180" t="n">
        <v>268</v>
      </c>
      <c r="G251" s="181" t="n">
        <v>6.4754</v>
      </c>
      <c r="H251" s="181" t="n">
        <v>4.6347</v>
      </c>
      <c r="I251" s="180" t="n">
        <v>25572</v>
      </c>
      <c r="J251" s="181" t="n">
        <v>10.1493</v>
      </c>
      <c r="K251" s="182" t="n">
        <v>5.26</v>
      </c>
      <c r="L251" s="183" t="n">
        <v>0</v>
      </c>
      <c r="M251" s="183" t="n">
        <v>0</v>
      </c>
      <c r="N251" s="181" t="n">
        <v>362.7569</v>
      </c>
      <c r="O251" s="180" t="n">
        <v>3115336</v>
      </c>
    </row>
    <row r="252" customFormat="false" ht="12.75" hidden="false" customHeight="true" outlineLevel="0" collapsed="false">
      <c r="B252" s="170" t="s">
        <v>27</v>
      </c>
      <c r="C252" s="171" t="n">
        <v>2013</v>
      </c>
      <c r="D252" s="172" t="n">
        <v>23.57</v>
      </c>
      <c r="E252" s="172" t="n">
        <v>0.91</v>
      </c>
      <c r="F252" s="173" t="n">
        <v>297</v>
      </c>
      <c r="G252" s="174" t="n">
        <v>6.6201</v>
      </c>
      <c r="H252" s="174" t="n">
        <v>3.3673</v>
      </c>
      <c r="I252" s="173" t="n">
        <v>28036</v>
      </c>
      <c r="J252" s="174" t="n">
        <v>10.2412</v>
      </c>
      <c r="K252" s="175" t="n">
        <v>4.9</v>
      </c>
      <c r="L252" s="176" t="n">
        <v>0</v>
      </c>
      <c r="M252" s="176" t="n">
        <v>0</v>
      </c>
      <c r="N252" s="174" t="n">
        <v>362.7569</v>
      </c>
      <c r="O252" s="173" t="n">
        <v>3182113</v>
      </c>
    </row>
    <row r="253" customFormat="false" ht="12.75" hidden="false" customHeight="true" outlineLevel="0" collapsed="false">
      <c r="B253" s="177" t="s">
        <v>27</v>
      </c>
      <c r="C253" s="178" t="n">
        <v>2014</v>
      </c>
      <c r="D253" s="179" t="n">
        <v>26.55</v>
      </c>
      <c r="E253" s="179" t="n">
        <v>2.02</v>
      </c>
      <c r="F253" s="180" t="n">
        <v>362</v>
      </c>
      <c r="G253" s="181" t="n">
        <v>6.7523</v>
      </c>
      <c r="H253" s="181" t="n">
        <v>4.1744</v>
      </c>
      <c r="I253" s="180" t="n">
        <v>31397</v>
      </c>
      <c r="J253" s="181" t="n">
        <v>10.3545</v>
      </c>
      <c r="K253" s="182" t="n">
        <v>4.81</v>
      </c>
      <c r="L253" s="183" t="n">
        <v>0</v>
      </c>
      <c r="M253" s="183" t="n">
        <v>0</v>
      </c>
      <c r="N253" s="181" t="n">
        <v>362.7569</v>
      </c>
      <c r="O253" s="180" t="n">
        <v>3224357</v>
      </c>
    </row>
    <row r="254" customFormat="false" ht="12.75" hidden="false" customHeight="true" outlineLevel="0" collapsed="false">
      <c r="B254" s="170" t="s">
        <v>27</v>
      </c>
      <c r="C254" s="171" t="n">
        <v>2015</v>
      </c>
      <c r="D254" s="172" t="n">
        <v>23.89</v>
      </c>
      <c r="E254" s="172" t="n">
        <v>0.73</v>
      </c>
      <c r="F254" s="173" t="n">
        <v>386</v>
      </c>
      <c r="G254" s="174" t="n">
        <v>6.6593</v>
      </c>
      <c r="H254" s="174" t="n">
        <v>3.1781</v>
      </c>
      <c r="I254" s="173" t="n">
        <v>32895</v>
      </c>
      <c r="J254" s="174" t="n">
        <v>10.4011</v>
      </c>
      <c r="K254" s="175" t="n">
        <v>6.2</v>
      </c>
      <c r="L254" s="176" t="n">
        <v>0</v>
      </c>
      <c r="M254" s="176" t="n">
        <v>0</v>
      </c>
      <c r="N254" s="174" t="n">
        <v>362.7569</v>
      </c>
      <c r="O254" s="173" t="n">
        <v>3265486</v>
      </c>
    </row>
    <row r="255" customFormat="false" ht="12.75" hidden="false" customHeight="true" outlineLevel="0" collapsed="false">
      <c r="B255" s="184" t="s">
        <v>27</v>
      </c>
      <c r="C255" s="185" t="n">
        <v>2016</v>
      </c>
      <c r="D255" s="186" t="n">
        <v>22.9</v>
      </c>
      <c r="E255" s="186" t="n">
        <v>4.33</v>
      </c>
      <c r="F255" s="187" t="n">
        <v>529</v>
      </c>
      <c r="G255" s="188" t="n">
        <v>6.6294</v>
      </c>
      <c r="H255" s="188" t="n">
        <v>4.9628</v>
      </c>
      <c r="I255" s="187" t="n">
        <v>37477</v>
      </c>
      <c r="J255" s="188" t="n">
        <v>10.5315</v>
      </c>
      <c r="K255" s="189" t="n">
        <v>9.5</v>
      </c>
      <c r="L255" s="190" t="n">
        <v>0</v>
      </c>
      <c r="M255" s="190" t="n">
        <v>0</v>
      </c>
      <c r="N255" s="188" t="n">
        <v>362.7569</v>
      </c>
      <c r="O255" s="187" t="n">
        <v>3305531</v>
      </c>
    </row>
    <row r="256" customFormat="false" ht="12.75" hidden="false" customHeight="true" outlineLevel="0" collapsed="false">
      <c r="B256" s="191" t="s">
        <v>27</v>
      </c>
      <c r="C256" s="192" t="n">
        <v>2017</v>
      </c>
      <c r="D256" s="193" t="n">
        <v>20.18</v>
      </c>
      <c r="E256" s="193" t="n">
        <v>6.76</v>
      </c>
      <c r="F256" s="194" t="n">
        <v>755</v>
      </c>
      <c r="G256" s="195" t="n">
        <v>6.5147</v>
      </c>
      <c r="H256" s="195" t="n">
        <v>5.4205</v>
      </c>
      <c r="I256" s="194" t="n">
        <v>37926</v>
      </c>
      <c r="J256" s="195" t="n">
        <v>10.5434</v>
      </c>
      <c r="K256" s="196" t="n">
        <v>9.1</v>
      </c>
      <c r="L256" s="197" t="n">
        <v>0</v>
      </c>
      <c r="M256" s="197" t="n">
        <v>0</v>
      </c>
      <c r="N256" s="195" t="n">
        <v>362.7569</v>
      </c>
      <c r="O256" s="194" t="n">
        <v>3344544</v>
      </c>
    </row>
    <row r="257" customFormat="false" ht="12.75" hidden="false" customHeight="true" outlineLevel="0" collapsed="false">
      <c r="B257" s="184" t="s">
        <v>27</v>
      </c>
      <c r="C257" s="185" t="n">
        <v>2018</v>
      </c>
      <c r="D257" s="186" t="n">
        <v>16.33</v>
      </c>
      <c r="E257" s="186" t="n">
        <v>9.44</v>
      </c>
      <c r="F257" s="187" t="n">
        <v>1080</v>
      </c>
      <c r="G257" s="188" t="n">
        <v>6.3315</v>
      </c>
      <c r="H257" s="188" t="n">
        <v>5.7838</v>
      </c>
      <c r="I257" s="187" t="n">
        <v>39931</v>
      </c>
      <c r="J257" s="188" t="n">
        <v>10.5949</v>
      </c>
      <c r="K257" s="189" t="n">
        <v>8</v>
      </c>
      <c r="L257" s="190" t="n">
        <v>0</v>
      </c>
      <c r="M257" s="190" t="n">
        <v>0</v>
      </c>
      <c r="N257" s="188" t="n">
        <v>362.7569</v>
      </c>
      <c r="O257" s="187" t="n">
        <v>3441998</v>
      </c>
    </row>
    <row r="258" customFormat="false" ht="12.75" hidden="false" customHeight="true" outlineLevel="0" collapsed="false">
      <c r="B258" s="191" t="s">
        <v>27</v>
      </c>
      <c r="C258" s="192" t="n">
        <v>2019</v>
      </c>
      <c r="D258" s="193" t="n">
        <v>14.52</v>
      </c>
      <c r="E258" s="193" t="n">
        <v>47.47</v>
      </c>
      <c r="F258" s="194" t="n">
        <v>2734</v>
      </c>
      <c r="G258" s="195" t="n">
        <v>6.2265</v>
      </c>
      <c r="H258" s="195" t="n">
        <v>7.411</v>
      </c>
      <c r="I258" s="194" t="n">
        <v>40787</v>
      </c>
      <c r="J258" s="195" t="n">
        <v>10.6161</v>
      </c>
      <c r="K258" s="196" t="n">
        <v>8</v>
      </c>
      <c r="L258" s="197" t="n">
        <v>0</v>
      </c>
      <c r="M258" s="197" t="n">
        <v>0</v>
      </c>
      <c r="N258" s="195" t="n">
        <v>362.7569</v>
      </c>
      <c r="O258" s="194" t="n">
        <v>3484466</v>
      </c>
    </row>
    <row r="259" customFormat="false" ht="12.75" hidden="false" customHeight="true" outlineLevel="0" collapsed="false">
      <c r="B259" s="184" t="s">
        <v>27</v>
      </c>
      <c r="C259" s="185" t="n">
        <v>2020</v>
      </c>
      <c r="D259" s="186" t="n">
        <v>16.85</v>
      </c>
      <c r="E259" s="186" t="n">
        <v>64.35</v>
      </c>
      <c r="F259" s="187" t="n">
        <v>5003</v>
      </c>
      <c r="G259" s="188" t="n">
        <v>6.3869</v>
      </c>
      <c r="H259" s="188" t="n">
        <v>7.7271</v>
      </c>
      <c r="I259" s="187" t="n">
        <v>50663</v>
      </c>
      <c r="J259" s="188" t="n">
        <v>10.833</v>
      </c>
      <c r="K259" s="189" t="n">
        <v>9.9</v>
      </c>
      <c r="L259" s="190" t="n">
        <v>0</v>
      </c>
      <c r="M259" s="190" t="n">
        <v>1</v>
      </c>
      <c r="N259" s="188" t="n">
        <v>362.7569</v>
      </c>
      <c r="O259" s="187" t="n">
        <v>3526220</v>
      </c>
    </row>
    <row r="260" customFormat="false" ht="12.75" hidden="false" customHeight="true" outlineLevel="0" collapsed="false">
      <c r="B260" s="191" t="s">
        <v>27</v>
      </c>
      <c r="C260" s="192" t="n">
        <v>2021</v>
      </c>
      <c r="D260" s="193" t="n">
        <v>15.59</v>
      </c>
      <c r="E260" s="193" t="n">
        <v>169.43</v>
      </c>
      <c r="F260" s="194" t="n">
        <v>11047</v>
      </c>
      <c r="G260" s="195" t="n">
        <v>6.3208</v>
      </c>
      <c r="H260" s="195" t="n">
        <v>8.7068</v>
      </c>
      <c r="I260" s="194" t="n">
        <v>65426</v>
      </c>
      <c r="J260" s="195" t="n">
        <v>11.0887</v>
      </c>
      <c r="K260" s="196" t="n">
        <v>8</v>
      </c>
      <c r="L260" s="197" t="n">
        <v>0</v>
      </c>
      <c r="M260" s="197" t="n">
        <v>1</v>
      </c>
      <c r="N260" s="195" t="n">
        <v>362.7569</v>
      </c>
      <c r="O260" s="194" t="n">
        <v>3567234</v>
      </c>
    </row>
    <row r="261" customFormat="false" ht="12.75" hidden="false" customHeight="true" outlineLevel="0" collapsed="false">
      <c r="B261" s="184" t="s">
        <v>27</v>
      </c>
      <c r="C261" s="185" t="n">
        <v>2022</v>
      </c>
      <c r="D261" s="186" t="n">
        <v>18.48</v>
      </c>
      <c r="E261" s="186" t="n">
        <v>362.76</v>
      </c>
      <c r="F261" s="187" t="n">
        <v>24319</v>
      </c>
      <c r="G261" s="188" t="n">
        <v>6.5162</v>
      </c>
      <c r="H261" s="188" t="n">
        <v>9.4934</v>
      </c>
      <c r="I261" s="187" t="n">
        <v>69842</v>
      </c>
      <c r="J261" s="188" t="n">
        <v>11.154</v>
      </c>
      <c r="K261" s="189" t="n">
        <v>4.3</v>
      </c>
      <c r="L261" s="190" t="n">
        <v>0</v>
      </c>
      <c r="M261" s="190" t="n">
        <v>0</v>
      </c>
      <c r="N261" s="188" t="n">
        <v>362.7569</v>
      </c>
      <c r="O261" s="187" t="n">
        <v>3658649</v>
      </c>
    </row>
    <row r="262" customFormat="false" ht="12.75" hidden="false" customHeight="true" outlineLevel="0" collapsed="false">
      <c r="B262" s="191" t="s">
        <v>27</v>
      </c>
      <c r="C262" s="192" t="n">
        <v>2023</v>
      </c>
      <c r="D262" s="193" t="n">
        <v>20.91</v>
      </c>
      <c r="E262" s="193" t="n">
        <v>1.01</v>
      </c>
      <c r="F262" s="194" t="n">
        <v>24356</v>
      </c>
      <c r="G262" s="195" t="n">
        <v>6.6399</v>
      </c>
      <c r="H262" s="195" t="n">
        <v>3.6109</v>
      </c>
      <c r="I262" s="194" t="n">
        <v>74620</v>
      </c>
      <c r="J262" s="195" t="n">
        <v>11.2202</v>
      </c>
      <c r="K262" s="196" t="n">
        <v>3.5</v>
      </c>
      <c r="L262" s="197" t="n">
        <v>1</v>
      </c>
      <c r="M262" s="197" t="n">
        <v>0</v>
      </c>
      <c r="N262" s="195" t="n">
        <v>362.7569</v>
      </c>
      <c r="O262" s="194" t="n">
        <v>3658649</v>
      </c>
    </row>
    <row r="263" customFormat="false" ht="12.75" hidden="false" customHeight="true" outlineLevel="0" collapsed="false">
      <c r="B263" s="184" t="s">
        <v>27</v>
      </c>
      <c r="C263" s="185" t="n">
        <v>2024</v>
      </c>
      <c r="D263" s="186" t="n">
        <v>18.06</v>
      </c>
      <c r="E263" s="186" t="n">
        <v>58.75</v>
      </c>
      <c r="F263" s="187" t="n">
        <v>26610</v>
      </c>
      <c r="G263" s="188" t="n">
        <v>6.541</v>
      </c>
      <c r="H263" s="188" t="n">
        <v>7.7205</v>
      </c>
      <c r="I263" s="187" t="n">
        <v>75843</v>
      </c>
      <c r="J263" s="188" t="n">
        <v>11.2364</v>
      </c>
      <c r="K263" s="189" t="n">
        <v>2.9</v>
      </c>
      <c r="L263" s="190" t="n">
        <v>1</v>
      </c>
      <c r="M263" s="190" t="n">
        <v>0</v>
      </c>
      <c r="N263" s="188" t="n">
        <v>362.7569</v>
      </c>
      <c r="O263" s="187" t="n">
        <v>3836399</v>
      </c>
    </row>
    <row r="264" customFormat="false" ht="12.75" hidden="false" customHeight="true" outlineLevel="0" collapsed="false">
      <c r="B264" s="170" t="s">
        <v>28</v>
      </c>
      <c r="C264" s="171" t="n">
        <v>2005</v>
      </c>
      <c r="D264" s="172" t="n">
        <v>17.2</v>
      </c>
      <c r="E264" s="172" t="n">
        <v>0.09</v>
      </c>
      <c r="F264" s="173" t="n">
        <v>6</v>
      </c>
      <c r="G264" s="174" t="n">
        <v>7.0892</v>
      </c>
      <c r="H264" s="174" t="n">
        <v>1.7918</v>
      </c>
      <c r="I264" s="173" t="n">
        <v>5612</v>
      </c>
      <c r="J264" s="174" t="n">
        <v>8.6327</v>
      </c>
      <c r="K264" s="175" t="n">
        <v>9.7</v>
      </c>
      <c r="L264" s="176" t="n">
        <v>0</v>
      </c>
      <c r="M264" s="176" t="n">
        <v>0</v>
      </c>
      <c r="N264" s="174" t="n">
        <v>75.4668</v>
      </c>
      <c r="O264" s="173" t="n">
        <v>6970586</v>
      </c>
    </row>
    <row r="265" customFormat="false" ht="12.75" hidden="false" customHeight="true" outlineLevel="0" collapsed="false">
      <c r="B265" s="177" t="s">
        <v>28</v>
      </c>
      <c r="C265" s="178" t="n">
        <v>2006</v>
      </c>
      <c r="D265" s="179" t="n">
        <v>18.23</v>
      </c>
      <c r="E265" s="179" t="n">
        <v>0.04</v>
      </c>
      <c r="F265" s="180" t="n">
        <v>9</v>
      </c>
      <c r="G265" s="181" t="n">
        <v>7.167</v>
      </c>
      <c r="H265" s="181" t="n">
        <v>1.0986</v>
      </c>
      <c r="I265" s="180" t="n">
        <v>6240</v>
      </c>
      <c r="J265" s="181" t="n">
        <v>8.7387</v>
      </c>
      <c r="K265" s="182" t="n">
        <v>9.26</v>
      </c>
      <c r="L265" s="183" t="n">
        <v>0</v>
      </c>
      <c r="M265" s="183" t="n">
        <v>0</v>
      </c>
      <c r="N265" s="181" t="n">
        <v>75.4668</v>
      </c>
      <c r="O265" s="180" t="n">
        <v>7110465</v>
      </c>
    </row>
    <row r="266" customFormat="false" ht="12.75" hidden="false" customHeight="true" outlineLevel="0" collapsed="false">
      <c r="B266" s="170" t="s">
        <v>28</v>
      </c>
      <c r="C266" s="171" t="n">
        <v>2007</v>
      </c>
      <c r="D266" s="172" t="n">
        <v>19.67</v>
      </c>
      <c r="E266" s="172" t="n">
        <v>0.11</v>
      </c>
      <c r="F266" s="173" t="n">
        <v>17</v>
      </c>
      <c r="G266" s="174" t="n">
        <v>7.2371</v>
      </c>
      <c r="H266" s="174" t="n">
        <v>2.0794</v>
      </c>
      <c r="I266" s="173" t="n">
        <v>7007</v>
      </c>
      <c r="J266" s="174" t="n">
        <v>8.8547</v>
      </c>
      <c r="K266" s="175" t="n">
        <v>8.72</v>
      </c>
      <c r="L266" s="176" t="n">
        <v>0</v>
      </c>
      <c r="M266" s="176" t="n">
        <v>0</v>
      </c>
      <c r="N266" s="174" t="n">
        <v>75.4668</v>
      </c>
      <c r="O266" s="173" t="n">
        <v>7065573</v>
      </c>
    </row>
    <row r="267" customFormat="false" ht="12.75" hidden="false" customHeight="true" outlineLevel="0" collapsed="false">
      <c r="B267" s="177" t="s">
        <v>28</v>
      </c>
      <c r="C267" s="178" t="n">
        <v>2008</v>
      </c>
      <c r="D267" s="179" t="n">
        <v>26.43</v>
      </c>
      <c r="E267" s="179" t="n">
        <v>0.29</v>
      </c>
      <c r="F267" s="180" t="n">
        <v>38</v>
      </c>
      <c r="G267" s="181" t="n">
        <v>7.5679</v>
      </c>
      <c r="H267" s="181" t="n">
        <v>3.0445</v>
      </c>
      <c r="I267" s="180" t="n">
        <v>7993</v>
      </c>
      <c r="J267" s="181" t="n">
        <v>8.9863</v>
      </c>
      <c r="K267" s="182" t="n">
        <v>6.78</v>
      </c>
      <c r="L267" s="183" t="n">
        <v>0</v>
      </c>
      <c r="M267" s="183" t="n">
        <v>0</v>
      </c>
      <c r="N267" s="181" t="n">
        <v>75.4668</v>
      </c>
      <c r="O267" s="180" t="n">
        <v>7321490</v>
      </c>
    </row>
    <row r="268" customFormat="false" ht="12.75" hidden="false" customHeight="true" outlineLevel="0" collapsed="false">
      <c r="B268" s="170" t="s">
        <v>28</v>
      </c>
      <c r="C268" s="171" t="n">
        <v>2009</v>
      </c>
      <c r="D268" s="172" t="n">
        <v>27.48</v>
      </c>
      <c r="E268" s="172" t="n">
        <v>0.35</v>
      </c>
      <c r="F268" s="173" t="n">
        <v>64</v>
      </c>
      <c r="G268" s="174" t="n">
        <v>7.6217</v>
      </c>
      <c r="H268" s="174" t="n">
        <v>3.2581</v>
      </c>
      <c r="I268" s="173" t="n">
        <v>7859</v>
      </c>
      <c r="J268" s="174" t="n">
        <v>8.9694</v>
      </c>
      <c r="K268" s="175" t="n">
        <v>10.24</v>
      </c>
      <c r="L268" s="176" t="n">
        <v>0</v>
      </c>
      <c r="M268" s="176" t="n">
        <v>0</v>
      </c>
      <c r="N268" s="174" t="n">
        <v>75.4668</v>
      </c>
      <c r="O268" s="173" t="n">
        <v>7431020</v>
      </c>
    </row>
    <row r="269" customFormat="false" ht="12.75" hidden="false" customHeight="true" outlineLevel="0" collapsed="false">
      <c r="B269" s="177" t="s">
        <v>28</v>
      </c>
      <c r="C269" s="178" t="n">
        <v>2010</v>
      </c>
      <c r="D269" s="179" t="n">
        <v>33.24</v>
      </c>
      <c r="E269" s="179" t="n">
        <v>0.16</v>
      </c>
      <c r="F269" s="180" t="n">
        <v>76</v>
      </c>
      <c r="G269" s="181" t="n">
        <v>7.832</v>
      </c>
      <c r="H269" s="181" t="n">
        <v>2.4849</v>
      </c>
      <c r="I269" s="180" t="n">
        <v>10907</v>
      </c>
      <c r="J269" s="181" t="n">
        <v>9.2972</v>
      </c>
      <c r="K269" s="182" t="n">
        <v>9.93</v>
      </c>
      <c r="L269" s="183" t="n">
        <v>0</v>
      </c>
      <c r="M269" s="183" t="n">
        <v>0</v>
      </c>
      <c r="N269" s="181" t="n">
        <v>75.4668</v>
      </c>
      <c r="O269" s="180" t="n">
        <v>7581051</v>
      </c>
    </row>
    <row r="270" customFormat="false" ht="12.75" hidden="false" customHeight="true" outlineLevel="0" collapsed="false">
      <c r="B270" s="170" t="s">
        <v>28</v>
      </c>
      <c r="C270" s="171" t="n">
        <v>2011</v>
      </c>
      <c r="D270" s="172" t="n">
        <v>27.08</v>
      </c>
      <c r="E270" s="172" t="n">
        <v>0.26</v>
      </c>
      <c r="F270" s="173" t="n">
        <v>96</v>
      </c>
      <c r="G270" s="174" t="n">
        <v>7.6411</v>
      </c>
      <c r="H270" s="174" t="n">
        <v>2.9957</v>
      </c>
      <c r="I270" s="173" t="n">
        <v>12839</v>
      </c>
      <c r="J270" s="174" t="n">
        <v>9.4602</v>
      </c>
      <c r="K270" s="175" t="n">
        <v>9.62</v>
      </c>
      <c r="L270" s="176" t="n">
        <v>0</v>
      </c>
      <c r="M270" s="176" t="n">
        <v>0</v>
      </c>
      <c r="N270" s="174" t="n">
        <v>75.4668</v>
      </c>
      <c r="O270" s="173" t="n">
        <v>7688593</v>
      </c>
    </row>
    <row r="271" customFormat="false" ht="12.75" hidden="false" customHeight="true" outlineLevel="0" collapsed="false">
      <c r="B271" s="177" t="s">
        <v>28</v>
      </c>
      <c r="C271" s="178" t="n">
        <v>2012</v>
      </c>
      <c r="D271" s="179" t="n">
        <v>27.64</v>
      </c>
      <c r="E271" s="179" t="n">
        <v>0.32</v>
      </c>
      <c r="F271" s="180" t="n">
        <v>121</v>
      </c>
      <c r="G271" s="181" t="n">
        <v>7.6732</v>
      </c>
      <c r="H271" s="181" t="n">
        <v>3.2189</v>
      </c>
      <c r="I271" s="180" t="n">
        <v>13768</v>
      </c>
      <c r="J271" s="181" t="n">
        <v>9.5301</v>
      </c>
      <c r="K271" s="182" t="n">
        <v>7.8</v>
      </c>
      <c r="L271" s="183" t="n">
        <v>0</v>
      </c>
      <c r="M271" s="183" t="n">
        <v>0</v>
      </c>
      <c r="N271" s="181" t="n">
        <v>75.4668</v>
      </c>
      <c r="O271" s="180" t="n">
        <v>7777543</v>
      </c>
    </row>
    <row r="272" customFormat="false" ht="12.75" hidden="false" customHeight="true" outlineLevel="0" collapsed="false">
      <c r="B272" s="170" t="s">
        <v>28</v>
      </c>
      <c r="C272" s="171" t="n">
        <v>2013</v>
      </c>
      <c r="D272" s="172" t="n">
        <v>28.28</v>
      </c>
      <c r="E272" s="172" t="n">
        <v>0.28</v>
      </c>
      <c r="F272" s="173" t="n">
        <v>143</v>
      </c>
      <c r="G272" s="174" t="n">
        <v>7.7205</v>
      </c>
      <c r="H272" s="174" t="n">
        <v>3.091</v>
      </c>
      <c r="I272" s="173" t="n">
        <v>15211</v>
      </c>
      <c r="J272" s="174" t="n">
        <v>9.6298</v>
      </c>
      <c r="K272" s="175" t="n">
        <v>9.59</v>
      </c>
      <c r="L272" s="176" t="n">
        <v>0</v>
      </c>
      <c r="M272" s="176" t="n">
        <v>0</v>
      </c>
      <c r="N272" s="174" t="n">
        <v>75.4668</v>
      </c>
      <c r="O272" s="173" t="n">
        <v>7969654</v>
      </c>
    </row>
    <row r="273" customFormat="false" ht="12.75" hidden="false" customHeight="true" outlineLevel="0" collapsed="false">
      <c r="B273" s="177" t="s">
        <v>28</v>
      </c>
      <c r="C273" s="178" t="n">
        <v>2014</v>
      </c>
      <c r="D273" s="179" t="n">
        <v>28.82</v>
      </c>
      <c r="E273" s="179" t="n">
        <v>0.25</v>
      </c>
      <c r="F273" s="180" t="n">
        <v>163</v>
      </c>
      <c r="G273" s="181" t="n">
        <v>7.7523</v>
      </c>
      <c r="H273" s="181" t="n">
        <v>2.9957</v>
      </c>
      <c r="I273" s="180" t="n">
        <v>15431</v>
      </c>
      <c r="J273" s="181" t="n">
        <v>9.6441</v>
      </c>
      <c r="K273" s="182" t="n">
        <v>9.71</v>
      </c>
      <c r="L273" s="183" t="n">
        <v>0</v>
      </c>
      <c r="M273" s="183" t="n">
        <v>0</v>
      </c>
      <c r="N273" s="181" t="n">
        <v>75.4668</v>
      </c>
      <c r="O273" s="180" t="n">
        <v>8073924</v>
      </c>
    </row>
    <row r="274" customFormat="false" ht="12.75" hidden="false" customHeight="true" outlineLevel="0" collapsed="false">
      <c r="B274" s="170" t="s">
        <v>28</v>
      </c>
      <c r="C274" s="171" t="n">
        <v>2015</v>
      </c>
      <c r="D274" s="172" t="n">
        <v>31.14</v>
      </c>
      <c r="E274" s="172" t="n">
        <v>0.21</v>
      </c>
      <c r="F274" s="173" t="n">
        <v>180</v>
      </c>
      <c r="G274" s="174" t="n">
        <v>7.8423</v>
      </c>
      <c r="H274" s="174" t="n">
        <v>2.8332</v>
      </c>
      <c r="I274" s="173" t="n">
        <v>16012</v>
      </c>
      <c r="J274" s="174" t="n">
        <v>9.6811</v>
      </c>
      <c r="K274" s="175" t="n">
        <v>8.9</v>
      </c>
      <c r="L274" s="176" t="n">
        <v>0</v>
      </c>
      <c r="M274" s="176" t="n">
        <v>0</v>
      </c>
      <c r="N274" s="174" t="n">
        <v>75.4668</v>
      </c>
      <c r="O274" s="173" t="n">
        <v>8175113</v>
      </c>
    </row>
    <row r="275" customFormat="false" ht="12.75" hidden="false" customHeight="true" outlineLevel="0" collapsed="false">
      <c r="B275" s="184" t="s">
        <v>28</v>
      </c>
      <c r="C275" s="185" t="n">
        <v>2016</v>
      </c>
      <c r="D275" s="186" t="n">
        <v>37</v>
      </c>
      <c r="E275" s="186" t="n">
        <v>0.62</v>
      </c>
      <c r="F275" s="187" t="n">
        <v>231</v>
      </c>
      <c r="G275" s="188" t="n">
        <v>8.0265</v>
      </c>
      <c r="H275" s="188" t="n">
        <v>3.9318</v>
      </c>
      <c r="I275" s="187" t="n">
        <v>16694</v>
      </c>
      <c r="J275" s="188" t="n">
        <v>9.7228</v>
      </c>
      <c r="K275" s="189" t="n">
        <v>11.2</v>
      </c>
      <c r="L275" s="190" t="n">
        <v>0</v>
      </c>
      <c r="M275" s="190" t="n">
        <v>0</v>
      </c>
      <c r="N275" s="188" t="n">
        <v>75.4668</v>
      </c>
      <c r="O275" s="187" t="n">
        <v>8272724</v>
      </c>
    </row>
    <row r="276" customFormat="false" ht="12.75" hidden="false" customHeight="true" outlineLevel="0" collapsed="false">
      <c r="B276" s="191" t="s">
        <v>28</v>
      </c>
      <c r="C276" s="192" t="n">
        <v>2017</v>
      </c>
      <c r="D276" s="193" t="n">
        <v>40.37</v>
      </c>
      <c r="E276" s="193" t="n">
        <v>0.81</v>
      </c>
      <c r="F276" s="194" t="n">
        <v>299</v>
      </c>
      <c r="G276" s="195" t="n">
        <v>8.125</v>
      </c>
      <c r="H276" s="195" t="n">
        <v>4.2195</v>
      </c>
      <c r="I276" s="194" t="n">
        <v>18554</v>
      </c>
      <c r="J276" s="195" t="n">
        <v>9.8284</v>
      </c>
      <c r="K276" s="196" t="n">
        <v>11.8</v>
      </c>
      <c r="L276" s="197" t="n">
        <v>0</v>
      </c>
      <c r="M276" s="197" t="n">
        <v>0</v>
      </c>
      <c r="N276" s="195" t="n">
        <v>75.4668</v>
      </c>
      <c r="O276" s="194" t="n">
        <v>8366628</v>
      </c>
    </row>
    <row r="277" customFormat="false" ht="12.75" hidden="false" customHeight="true" outlineLevel="0" collapsed="false">
      <c r="B277" s="184" t="s">
        <v>28</v>
      </c>
      <c r="C277" s="185" t="n">
        <v>2018</v>
      </c>
      <c r="D277" s="186" t="n">
        <v>40.65</v>
      </c>
      <c r="E277" s="186" t="n">
        <v>0.99</v>
      </c>
      <c r="F277" s="187" t="n">
        <v>383</v>
      </c>
      <c r="G277" s="188" t="n">
        <v>8.1493</v>
      </c>
      <c r="H277" s="188" t="n">
        <v>4.4308</v>
      </c>
      <c r="I277" s="187" t="n">
        <v>18952</v>
      </c>
      <c r="J277" s="188" t="n">
        <v>9.8497</v>
      </c>
      <c r="K277" s="189" t="n">
        <v>11.2</v>
      </c>
      <c r="L277" s="190" t="n">
        <v>0</v>
      </c>
      <c r="M277" s="190" t="n">
        <v>0</v>
      </c>
      <c r="N277" s="188" t="n">
        <v>75.4668</v>
      </c>
      <c r="O277" s="187" t="n">
        <v>8513497</v>
      </c>
    </row>
    <row r="278" customFormat="false" ht="12.75" hidden="false" customHeight="true" outlineLevel="0" collapsed="false">
      <c r="B278" s="191" t="s">
        <v>28</v>
      </c>
      <c r="C278" s="192" t="n">
        <v>2019</v>
      </c>
      <c r="D278" s="193" t="n">
        <v>27.39</v>
      </c>
      <c r="E278" s="193" t="n">
        <v>5.7</v>
      </c>
      <c r="F278" s="194" t="n">
        <v>873</v>
      </c>
      <c r="G278" s="195" t="n">
        <v>7.7647</v>
      </c>
      <c r="H278" s="195" t="n">
        <v>6.1944</v>
      </c>
      <c r="I278" s="194" t="n">
        <v>20735</v>
      </c>
      <c r="J278" s="195" t="n">
        <v>9.9396</v>
      </c>
      <c r="K278" s="196" t="n">
        <v>10.8</v>
      </c>
      <c r="L278" s="197" t="n">
        <v>0</v>
      </c>
      <c r="M278" s="197" t="n">
        <v>0</v>
      </c>
      <c r="N278" s="195" t="n">
        <v>75.4668</v>
      </c>
      <c r="O278" s="194" t="n">
        <v>8602865</v>
      </c>
    </row>
    <row r="279" customFormat="false" ht="12.75" hidden="false" customHeight="true" outlineLevel="0" collapsed="false">
      <c r="B279" s="184" t="s">
        <v>28</v>
      </c>
      <c r="C279" s="185" t="n">
        <v>2020</v>
      </c>
      <c r="D279" s="186" t="n">
        <v>21.85</v>
      </c>
      <c r="E279" s="186" t="n">
        <v>22.29</v>
      </c>
      <c r="F279" s="187" t="n">
        <v>2810</v>
      </c>
      <c r="G279" s="188" t="n">
        <v>7.5491</v>
      </c>
      <c r="H279" s="188" t="n">
        <v>7.5689</v>
      </c>
      <c r="I279" s="187" t="n">
        <v>24847</v>
      </c>
      <c r="J279" s="188" t="n">
        <v>10.1205</v>
      </c>
      <c r="K279" s="189" t="n">
        <v>10.5</v>
      </c>
      <c r="L279" s="190" t="n">
        <v>0</v>
      </c>
      <c r="M279" s="190" t="n">
        <v>1</v>
      </c>
      <c r="N279" s="188" t="n">
        <v>75.4668</v>
      </c>
      <c r="O279" s="187" t="n">
        <v>8690745</v>
      </c>
    </row>
    <row r="280" customFormat="false" ht="12.75" hidden="false" customHeight="true" outlineLevel="0" collapsed="false">
      <c r="B280" s="191" t="s">
        <v>28</v>
      </c>
      <c r="C280" s="192" t="n">
        <v>2021</v>
      </c>
      <c r="D280" s="193" t="n">
        <v>22.32</v>
      </c>
      <c r="E280" s="193" t="n">
        <v>46.17</v>
      </c>
      <c r="F280" s="194" t="n">
        <v>6862</v>
      </c>
      <c r="G280" s="195" t="n">
        <v>7.5802</v>
      </c>
      <c r="H280" s="195" t="n">
        <v>8.307</v>
      </c>
      <c r="I280" s="194" t="n">
        <v>29953</v>
      </c>
      <c r="J280" s="195" t="n">
        <v>10.3074</v>
      </c>
      <c r="K280" s="196" t="n">
        <v>12.5</v>
      </c>
      <c r="L280" s="197" t="n">
        <v>0</v>
      </c>
      <c r="M280" s="197" t="n">
        <v>1</v>
      </c>
      <c r="N280" s="195" t="n">
        <v>75.4668</v>
      </c>
      <c r="O280" s="194" t="n">
        <v>8777124</v>
      </c>
    </row>
    <row r="281" customFormat="false" ht="12.75" hidden="false" customHeight="true" outlineLevel="0" collapsed="false">
      <c r="B281" s="184" t="s">
        <v>28</v>
      </c>
      <c r="C281" s="185" t="n">
        <v>2022</v>
      </c>
      <c r="D281" s="186" t="n">
        <v>25.11</v>
      </c>
      <c r="E281" s="186" t="n">
        <v>75.47</v>
      </c>
      <c r="F281" s="187" t="n">
        <v>12990</v>
      </c>
      <c r="G281" s="188" t="n">
        <v>7.6202</v>
      </c>
      <c r="H281" s="188" t="n">
        <v>8.7206</v>
      </c>
      <c r="I281" s="187" t="n">
        <v>29081</v>
      </c>
      <c r="J281" s="188" t="n">
        <v>10.2778</v>
      </c>
      <c r="K281" s="189" t="n">
        <v>9.6</v>
      </c>
      <c r="L281" s="190" t="n">
        <v>0</v>
      </c>
      <c r="M281" s="190" t="n">
        <v>0</v>
      </c>
      <c r="N281" s="188" t="n">
        <v>75.4668</v>
      </c>
      <c r="O281" s="187" t="n">
        <v>8120131</v>
      </c>
    </row>
    <row r="282" customFormat="false" ht="12.75" hidden="false" customHeight="true" outlineLevel="0" collapsed="false">
      <c r="B282" s="191" t="s">
        <v>28</v>
      </c>
      <c r="C282" s="192" t="n">
        <v>2023</v>
      </c>
      <c r="D282" s="193" t="n">
        <v>21.74</v>
      </c>
      <c r="E282" s="193" t="n">
        <v>0.22</v>
      </c>
      <c r="F282" s="194" t="n">
        <v>13008</v>
      </c>
      <c r="G282" s="195" t="n">
        <v>7.4759</v>
      </c>
      <c r="H282" s="195" t="n">
        <v>2.8904</v>
      </c>
      <c r="I282" s="194" t="n">
        <v>31348</v>
      </c>
      <c r="J282" s="195" t="n">
        <v>10.3529</v>
      </c>
      <c r="K282" s="196" t="n">
        <v>8.5</v>
      </c>
      <c r="L282" s="197" t="n">
        <v>1</v>
      </c>
      <c r="M282" s="197" t="n">
        <v>0</v>
      </c>
      <c r="N282" s="195" t="n">
        <v>75.4668</v>
      </c>
      <c r="O282" s="194" t="n">
        <v>8120131</v>
      </c>
    </row>
    <row r="283" customFormat="false" ht="12.75" hidden="false" customHeight="true" outlineLevel="0" collapsed="false">
      <c r="B283" s="184" t="s">
        <v>28</v>
      </c>
      <c r="C283" s="185" t="n">
        <v>2024</v>
      </c>
      <c r="D283" s="186" t="n">
        <v>18</v>
      </c>
      <c r="E283" s="186" t="n">
        <v>11.15</v>
      </c>
      <c r="F283" s="187" t="n">
        <v>13974</v>
      </c>
      <c r="G283" s="188" t="n">
        <v>7.3524</v>
      </c>
      <c r="H283" s="188" t="n">
        <v>6.8732</v>
      </c>
      <c r="I283" s="187" t="n">
        <v>30179</v>
      </c>
      <c r="J283" s="188" t="n">
        <v>10.3149</v>
      </c>
      <c r="K283" s="189" t="n">
        <v>7.5</v>
      </c>
      <c r="L283" s="190" t="n">
        <v>1</v>
      </c>
      <c r="M283" s="190" t="n">
        <v>0</v>
      </c>
      <c r="N283" s="188" t="n">
        <v>75.4668</v>
      </c>
      <c r="O283" s="187" t="n">
        <v>8664306</v>
      </c>
    </row>
    <row r="284" customFormat="false" ht="12.75" hidden="false" customHeight="true" outlineLevel="0" collapsed="false">
      <c r="B284" s="170" t="s">
        <v>29</v>
      </c>
      <c r="C284" s="171" t="n">
        <v>2005</v>
      </c>
      <c r="D284" s="172" t="n">
        <v>15.04</v>
      </c>
      <c r="E284" s="172" t="n">
        <v>0.22</v>
      </c>
      <c r="F284" s="173" t="n">
        <v>8</v>
      </c>
      <c r="G284" s="174" t="n">
        <v>6.2934</v>
      </c>
      <c r="H284" s="174" t="n">
        <v>2.0794</v>
      </c>
      <c r="I284" s="173" t="n">
        <v>4691</v>
      </c>
      <c r="J284" s="174" t="n">
        <v>8.4534</v>
      </c>
      <c r="K284" s="175" t="n">
        <v>8.69</v>
      </c>
      <c r="L284" s="176" t="n">
        <v>0</v>
      </c>
      <c r="M284" s="176" t="n">
        <v>0</v>
      </c>
      <c r="N284" s="174" t="n">
        <v>93.391</v>
      </c>
      <c r="O284" s="173" t="n">
        <v>3595886</v>
      </c>
    </row>
    <row r="285" customFormat="false" ht="12.75" hidden="false" customHeight="true" outlineLevel="0" collapsed="false">
      <c r="B285" s="177" t="s">
        <v>29</v>
      </c>
      <c r="C285" s="178" t="n">
        <v>2006</v>
      </c>
      <c r="D285" s="179" t="n">
        <v>17.31</v>
      </c>
      <c r="E285" s="179" t="n">
        <v>0.06</v>
      </c>
      <c r="F285" s="180" t="n">
        <v>10</v>
      </c>
      <c r="G285" s="181" t="n">
        <v>6.4409</v>
      </c>
      <c r="H285" s="181" t="n">
        <v>0.6931</v>
      </c>
      <c r="I285" s="180" t="n">
        <v>5506</v>
      </c>
      <c r="J285" s="181" t="n">
        <v>8.6136</v>
      </c>
      <c r="K285" s="182" t="n">
        <v>8.69</v>
      </c>
      <c r="L285" s="183" t="n">
        <v>0</v>
      </c>
      <c r="M285" s="183" t="n">
        <v>0</v>
      </c>
      <c r="N285" s="181" t="n">
        <v>93.391</v>
      </c>
      <c r="O285" s="180" t="n">
        <v>3623215</v>
      </c>
    </row>
    <row r="286" customFormat="false" ht="12.75" hidden="false" customHeight="true" outlineLevel="0" collapsed="false">
      <c r="B286" s="170" t="s">
        <v>29</v>
      </c>
      <c r="C286" s="171" t="n">
        <v>2007</v>
      </c>
      <c r="D286" s="172" t="n">
        <v>18.1</v>
      </c>
      <c r="E286" s="172" t="n">
        <v>0.03</v>
      </c>
      <c r="F286" s="173" t="n">
        <v>11</v>
      </c>
      <c r="G286" s="174" t="n">
        <v>6.4907</v>
      </c>
      <c r="H286" s="174" t="n">
        <v>0</v>
      </c>
      <c r="I286" s="173" t="n">
        <v>6097</v>
      </c>
      <c r="J286" s="174" t="n">
        <v>8.7156</v>
      </c>
      <c r="K286" s="175" t="n">
        <v>8.5</v>
      </c>
      <c r="L286" s="176" t="n">
        <v>0</v>
      </c>
      <c r="M286" s="176" t="n">
        <v>0</v>
      </c>
      <c r="N286" s="174" t="n">
        <v>93.391</v>
      </c>
      <c r="O286" s="173" t="n">
        <v>3641397</v>
      </c>
    </row>
    <row r="287" customFormat="false" ht="12.75" hidden="false" customHeight="true" outlineLevel="0" collapsed="false">
      <c r="B287" s="177" t="s">
        <v>29</v>
      </c>
      <c r="C287" s="178" t="n">
        <v>2008</v>
      </c>
      <c r="D287" s="179" t="n">
        <v>19.91</v>
      </c>
      <c r="E287" s="179" t="n">
        <v>0.32</v>
      </c>
      <c r="F287" s="180" t="n">
        <v>23</v>
      </c>
      <c r="G287" s="181" t="n">
        <v>6.6134</v>
      </c>
      <c r="H287" s="181" t="n">
        <v>2.4849</v>
      </c>
      <c r="I287" s="180" t="n">
        <v>6866</v>
      </c>
      <c r="J287" s="181" t="n">
        <v>8.8343</v>
      </c>
      <c r="K287" s="182" t="n">
        <v>7.86</v>
      </c>
      <c r="L287" s="183" t="n">
        <v>0</v>
      </c>
      <c r="M287" s="183" t="n">
        <v>0</v>
      </c>
      <c r="N287" s="181" t="n">
        <v>93.391</v>
      </c>
      <c r="O287" s="180" t="n">
        <v>3742604</v>
      </c>
    </row>
    <row r="288" customFormat="false" ht="12.75" hidden="false" customHeight="true" outlineLevel="0" collapsed="false">
      <c r="B288" s="170" t="s">
        <v>29</v>
      </c>
      <c r="C288" s="171" t="n">
        <v>2009</v>
      </c>
      <c r="D288" s="172" t="n">
        <v>27.11</v>
      </c>
      <c r="E288" s="172" t="n">
        <v>0.45</v>
      </c>
      <c r="F288" s="173" t="n">
        <v>40</v>
      </c>
      <c r="G288" s="174" t="n">
        <v>6.9295</v>
      </c>
      <c r="H288" s="174" t="n">
        <v>2.8332</v>
      </c>
      <c r="I288" s="173" t="n">
        <v>7618</v>
      </c>
      <c r="J288" s="174" t="n">
        <v>8.9383</v>
      </c>
      <c r="K288" s="175" t="n">
        <v>9.84</v>
      </c>
      <c r="L288" s="176" t="n">
        <v>0</v>
      </c>
      <c r="M288" s="176" t="n">
        <v>0</v>
      </c>
      <c r="N288" s="174" t="n">
        <v>93.391</v>
      </c>
      <c r="O288" s="173" t="n">
        <v>3769977</v>
      </c>
    </row>
    <row r="289" customFormat="false" ht="12.75" hidden="false" customHeight="true" outlineLevel="0" collapsed="false">
      <c r="B289" s="177" t="s">
        <v>29</v>
      </c>
      <c r="C289" s="178" t="n">
        <v>2010</v>
      </c>
      <c r="D289" s="179" t="n">
        <v>32.26</v>
      </c>
      <c r="E289" s="179" t="n">
        <v>0.77</v>
      </c>
      <c r="F289" s="180" t="n">
        <v>69</v>
      </c>
      <c r="G289" s="181" t="n">
        <v>7.1025</v>
      </c>
      <c r="H289" s="181" t="n">
        <v>3.3673</v>
      </c>
      <c r="I289" s="180" t="n">
        <v>8900</v>
      </c>
      <c r="J289" s="181" t="n">
        <v>9.0938</v>
      </c>
      <c r="K289" s="182" t="n">
        <v>10.11</v>
      </c>
      <c r="L289" s="183" t="n">
        <v>0</v>
      </c>
      <c r="M289" s="183" t="n">
        <v>0</v>
      </c>
      <c r="N289" s="181" t="n">
        <v>93.391</v>
      </c>
      <c r="O289" s="180" t="n">
        <v>3766528</v>
      </c>
    </row>
    <row r="290" customFormat="false" ht="12.75" hidden="false" customHeight="true" outlineLevel="0" collapsed="false">
      <c r="B290" s="170" t="s">
        <v>29</v>
      </c>
      <c r="C290" s="171" t="n">
        <v>2011</v>
      </c>
      <c r="D290" s="172" t="n">
        <v>36.45</v>
      </c>
      <c r="E290" s="172" t="n">
        <v>0.42</v>
      </c>
      <c r="F290" s="173" t="n">
        <v>85</v>
      </c>
      <c r="G290" s="174" t="n">
        <v>7.2313</v>
      </c>
      <c r="H290" s="174" t="n">
        <v>2.7726</v>
      </c>
      <c r="I290" s="173" t="n">
        <v>9788</v>
      </c>
      <c r="J290" s="174" t="n">
        <v>9.1889</v>
      </c>
      <c r="K290" s="175" t="n">
        <v>10.37</v>
      </c>
      <c r="L290" s="176" t="n">
        <v>0</v>
      </c>
      <c r="M290" s="176" t="n">
        <v>0</v>
      </c>
      <c r="N290" s="174" t="n">
        <v>93.391</v>
      </c>
      <c r="O290" s="173" t="n">
        <v>3791315</v>
      </c>
    </row>
    <row r="291" customFormat="false" ht="12.75" hidden="false" customHeight="true" outlineLevel="0" collapsed="false">
      <c r="B291" s="177" t="s">
        <v>29</v>
      </c>
      <c r="C291" s="178" t="n">
        <v>2012</v>
      </c>
      <c r="D291" s="179" t="n">
        <v>32.24</v>
      </c>
      <c r="E291" s="179" t="n">
        <v>0.45</v>
      </c>
      <c r="F291" s="180" t="n">
        <v>102</v>
      </c>
      <c r="G291" s="181" t="n">
        <v>7.1148</v>
      </c>
      <c r="H291" s="181" t="n">
        <v>2.8332</v>
      </c>
      <c r="I291" s="180" t="n">
        <v>11137</v>
      </c>
      <c r="J291" s="181" t="n">
        <v>9.318</v>
      </c>
      <c r="K291" s="182" t="n">
        <v>8.98</v>
      </c>
      <c r="L291" s="183" t="n">
        <v>0</v>
      </c>
      <c r="M291" s="183" t="n">
        <v>0</v>
      </c>
      <c r="N291" s="181" t="n">
        <v>93.391</v>
      </c>
      <c r="O291" s="180" t="n">
        <v>3815171</v>
      </c>
    </row>
    <row r="292" customFormat="false" ht="12.75" hidden="false" customHeight="true" outlineLevel="0" collapsed="false">
      <c r="B292" s="170" t="s">
        <v>29</v>
      </c>
      <c r="C292" s="171" t="n">
        <v>2013</v>
      </c>
      <c r="D292" s="172" t="n">
        <v>31.96</v>
      </c>
      <c r="E292" s="172" t="n">
        <v>0.31</v>
      </c>
      <c r="F292" s="173" t="n">
        <v>114</v>
      </c>
      <c r="G292" s="174" t="n">
        <v>7.1317</v>
      </c>
      <c r="H292" s="174" t="n">
        <v>2.4849</v>
      </c>
      <c r="I292" s="173" t="n">
        <v>11848</v>
      </c>
      <c r="J292" s="174" t="n">
        <v>9.3799</v>
      </c>
      <c r="K292" s="175" t="n">
        <v>9.83</v>
      </c>
      <c r="L292" s="176" t="n">
        <v>0</v>
      </c>
      <c r="M292" s="176" t="n">
        <v>0</v>
      </c>
      <c r="N292" s="174" t="n">
        <v>93.391</v>
      </c>
      <c r="O292" s="173" t="n">
        <v>3914421</v>
      </c>
    </row>
    <row r="293" customFormat="false" ht="12.75" hidden="false" customHeight="true" outlineLevel="0" collapsed="false">
      <c r="B293" s="177" t="s">
        <v>29</v>
      </c>
      <c r="C293" s="178" t="n">
        <v>2014</v>
      </c>
      <c r="D293" s="179" t="n">
        <v>31.69</v>
      </c>
      <c r="E293" s="179" t="n">
        <v>0.15</v>
      </c>
      <c r="F293" s="180" t="n">
        <v>120</v>
      </c>
      <c r="G293" s="181" t="n">
        <v>7.1309</v>
      </c>
      <c r="H293" s="181" t="n">
        <v>1.7918</v>
      </c>
      <c r="I293" s="180" t="n">
        <v>13422</v>
      </c>
      <c r="J293" s="181" t="n">
        <v>9.5047</v>
      </c>
      <c r="K293" s="182" t="n">
        <v>8.5</v>
      </c>
      <c r="L293" s="183" t="n">
        <v>0</v>
      </c>
      <c r="M293" s="183" t="n">
        <v>0</v>
      </c>
      <c r="N293" s="181" t="n">
        <v>93.391</v>
      </c>
      <c r="O293" s="180" t="n">
        <v>3943885</v>
      </c>
    </row>
    <row r="294" customFormat="false" ht="12.75" hidden="false" customHeight="true" outlineLevel="0" collapsed="false">
      <c r="B294" s="170" t="s">
        <v>29</v>
      </c>
      <c r="C294" s="171" t="n">
        <v>2015</v>
      </c>
      <c r="D294" s="172" t="n">
        <v>31.85</v>
      </c>
      <c r="E294" s="172" t="n">
        <v>0.08</v>
      </c>
      <c r="F294" s="173" t="n">
        <v>123</v>
      </c>
      <c r="G294" s="174" t="n">
        <v>7.1428</v>
      </c>
      <c r="H294" s="174" t="n">
        <v>1.0986</v>
      </c>
      <c r="I294" s="173" t="n">
        <v>14134</v>
      </c>
      <c r="J294" s="174" t="n">
        <v>9.5563</v>
      </c>
      <c r="K294" s="175" t="n">
        <v>9.7</v>
      </c>
      <c r="L294" s="176" t="n">
        <v>0</v>
      </c>
      <c r="M294" s="176" t="n">
        <v>0</v>
      </c>
      <c r="N294" s="174" t="n">
        <v>93.391</v>
      </c>
      <c r="O294" s="173" t="n">
        <v>3972202</v>
      </c>
    </row>
    <row r="295" customFormat="false" ht="12.75" hidden="false" customHeight="true" outlineLevel="0" collapsed="false">
      <c r="B295" s="184" t="s">
        <v>29</v>
      </c>
      <c r="C295" s="185" t="n">
        <v>2016</v>
      </c>
      <c r="D295" s="186" t="n">
        <v>26.6</v>
      </c>
      <c r="E295" s="186" t="n">
        <v>1.5</v>
      </c>
      <c r="F295" s="187" t="n">
        <v>183</v>
      </c>
      <c r="G295" s="188" t="n">
        <v>6.9698</v>
      </c>
      <c r="H295" s="188" t="n">
        <v>4.0943</v>
      </c>
      <c r="I295" s="187" t="n">
        <v>14778</v>
      </c>
      <c r="J295" s="188" t="n">
        <v>9.6009</v>
      </c>
      <c r="K295" s="189" t="n">
        <v>11.6</v>
      </c>
      <c r="L295" s="190" t="n">
        <v>0</v>
      </c>
      <c r="M295" s="190" t="n">
        <v>0</v>
      </c>
      <c r="N295" s="188" t="n">
        <v>93.391</v>
      </c>
      <c r="O295" s="187" t="n">
        <v>3999415</v>
      </c>
    </row>
    <row r="296" customFormat="false" ht="12.75" hidden="false" customHeight="true" outlineLevel="0" collapsed="false">
      <c r="B296" s="191" t="s">
        <v>29</v>
      </c>
      <c r="C296" s="192" t="n">
        <v>2017</v>
      </c>
      <c r="D296" s="193" t="n">
        <v>25.79</v>
      </c>
      <c r="E296" s="193" t="n">
        <v>2.58</v>
      </c>
      <c r="F296" s="194" t="n">
        <v>287</v>
      </c>
      <c r="G296" s="195" t="n">
        <v>6.9451</v>
      </c>
      <c r="H296" s="195" t="n">
        <v>4.6444</v>
      </c>
      <c r="I296" s="194" t="n">
        <v>15500</v>
      </c>
      <c r="J296" s="195" t="n">
        <v>9.6486</v>
      </c>
      <c r="K296" s="196" t="n">
        <v>11.5</v>
      </c>
      <c r="L296" s="197" t="n">
        <v>0</v>
      </c>
      <c r="M296" s="197" t="n">
        <v>0</v>
      </c>
      <c r="N296" s="195" t="n">
        <v>93.391</v>
      </c>
      <c r="O296" s="194" t="n">
        <v>4025558</v>
      </c>
    </row>
    <row r="297" customFormat="false" ht="12.75" hidden="false" customHeight="true" outlineLevel="0" collapsed="false">
      <c r="B297" s="184" t="s">
        <v>29</v>
      </c>
      <c r="C297" s="185" t="n">
        <v>2018</v>
      </c>
      <c r="D297" s="186" t="n">
        <v>24.9</v>
      </c>
      <c r="E297" s="186" t="n">
        <v>15.99</v>
      </c>
      <c r="F297" s="187" t="n">
        <v>926</v>
      </c>
      <c r="G297" s="188" t="n">
        <v>6.9027</v>
      </c>
      <c r="H297" s="188" t="n">
        <v>6.4599</v>
      </c>
      <c r="I297" s="187" t="n">
        <v>16108</v>
      </c>
      <c r="J297" s="188" t="n">
        <v>9.6871</v>
      </c>
      <c r="K297" s="189" t="n">
        <v>11.3</v>
      </c>
      <c r="L297" s="190" t="n">
        <v>0</v>
      </c>
      <c r="M297" s="190" t="n">
        <v>0</v>
      </c>
      <c r="N297" s="188" t="n">
        <v>93.391</v>
      </c>
      <c r="O297" s="187" t="n">
        <v>3996496</v>
      </c>
    </row>
    <row r="298" customFormat="false" ht="12.75" hidden="false" customHeight="true" outlineLevel="0" collapsed="false">
      <c r="B298" s="191" t="s">
        <v>29</v>
      </c>
      <c r="C298" s="192" t="n">
        <v>2019</v>
      </c>
      <c r="D298" s="193" t="n">
        <v>17.87</v>
      </c>
      <c r="E298" s="193" t="n">
        <v>29.34</v>
      </c>
      <c r="F298" s="194" t="n">
        <v>2105</v>
      </c>
      <c r="G298" s="195" t="n">
        <v>6.5765</v>
      </c>
      <c r="H298" s="195" t="n">
        <v>7.0724</v>
      </c>
      <c r="I298" s="194" t="n">
        <v>16920</v>
      </c>
      <c r="J298" s="195" t="n">
        <v>9.7363</v>
      </c>
      <c r="K298" s="196" t="n">
        <v>11.8</v>
      </c>
      <c r="L298" s="197" t="n">
        <v>0</v>
      </c>
      <c r="M298" s="197" t="n">
        <v>0</v>
      </c>
      <c r="N298" s="195" t="n">
        <v>93.391</v>
      </c>
      <c r="O298" s="194" t="n">
        <v>4018127</v>
      </c>
    </row>
    <row r="299" customFormat="false" ht="12.75" hidden="false" customHeight="true" outlineLevel="0" collapsed="false">
      <c r="B299" s="184" t="s">
        <v>29</v>
      </c>
      <c r="C299" s="185" t="n">
        <v>2020</v>
      </c>
      <c r="D299" s="186" t="n">
        <v>22.85</v>
      </c>
      <c r="E299" s="186" t="n">
        <v>40.5</v>
      </c>
      <c r="F299" s="187" t="n">
        <v>3741</v>
      </c>
      <c r="G299" s="188" t="n">
        <v>6.8276</v>
      </c>
      <c r="H299" s="188" t="n">
        <v>7.4</v>
      </c>
      <c r="I299" s="187" t="n">
        <v>17402</v>
      </c>
      <c r="J299" s="188" t="n">
        <v>9.7643</v>
      </c>
      <c r="K299" s="189" t="n">
        <v>15</v>
      </c>
      <c r="L299" s="190" t="n">
        <v>0</v>
      </c>
      <c r="M299" s="190" t="n">
        <v>1</v>
      </c>
      <c r="N299" s="188" t="n">
        <v>93.391</v>
      </c>
      <c r="O299" s="187" t="n">
        <v>4039277</v>
      </c>
    </row>
    <row r="300" customFormat="false" ht="12.75" hidden="false" customHeight="true" outlineLevel="0" collapsed="false">
      <c r="B300" s="191" t="s">
        <v>29</v>
      </c>
      <c r="C300" s="192" t="n">
        <v>2021</v>
      </c>
      <c r="D300" s="193" t="n">
        <v>23.15</v>
      </c>
      <c r="E300" s="193" t="n">
        <v>71.75</v>
      </c>
      <c r="F300" s="194" t="n">
        <v>6654</v>
      </c>
      <c r="G300" s="195" t="n">
        <v>6.8459</v>
      </c>
      <c r="H300" s="195" t="n">
        <v>7.9769</v>
      </c>
      <c r="I300" s="194" t="n">
        <v>19082</v>
      </c>
      <c r="J300" s="195" t="n">
        <v>9.8565</v>
      </c>
      <c r="K300" s="196" t="n">
        <v>14.8</v>
      </c>
      <c r="L300" s="197" t="n">
        <v>0</v>
      </c>
      <c r="M300" s="197" t="n">
        <v>1</v>
      </c>
      <c r="N300" s="195" t="n">
        <v>93.391</v>
      </c>
      <c r="O300" s="194" t="n">
        <v>4059905</v>
      </c>
    </row>
    <row r="301" customFormat="false" ht="12.75" hidden="false" customHeight="true" outlineLevel="0" collapsed="false">
      <c r="B301" s="184" t="s">
        <v>29</v>
      </c>
      <c r="C301" s="185" t="n">
        <v>2022</v>
      </c>
      <c r="D301" s="186" t="n">
        <v>22.69</v>
      </c>
      <c r="E301" s="186" t="n">
        <v>93.39</v>
      </c>
      <c r="F301" s="187" t="n">
        <v>10366</v>
      </c>
      <c r="G301" s="188" t="n">
        <v>6.8046</v>
      </c>
      <c r="H301" s="188" t="n">
        <v>8.2193</v>
      </c>
      <c r="I301" s="187" t="n">
        <v>21661</v>
      </c>
      <c r="J301" s="188" t="n">
        <v>9.9833</v>
      </c>
      <c r="K301" s="189" t="n">
        <v>12</v>
      </c>
      <c r="L301" s="190" t="n">
        <v>0</v>
      </c>
      <c r="M301" s="190" t="n">
        <v>0</v>
      </c>
      <c r="N301" s="188" t="n">
        <v>93.391</v>
      </c>
      <c r="O301" s="187" t="n">
        <v>3974687</v>
      </c>
    </row>
    <row r="302" customFormat="false" ht="12.75" hidden="false" customHeight="true" outlineLevel="0" collapsed="false">
      <c r="B302" s="191" t="s">
        <v>29</v>
      </c>
      <c r="C302" s="192" t="n">
        <v>2023</v>
      </c>
      <c r="D302" s="193" t="n">
        <v>22.54</v>
      </c>
      <c r="E302" s="193" t="n">
        <v>0.1</v>
      </c>
      <c r="F302" s="194" t="n">
        <v>10370</v>
      </c>
      <c r="G302" s="195" t="n">
        <v>6.7979</v>
      </c>
      <c r="H302" s="195" t="n">
        <v>1.3863</v>
      </c>
      <c r="I302" s="194" t="n">
        <v>24395</v>
      </c>
      <c r="J302" s="195" t="n">
        <v>10.1021</v>
      </c>
      <c r="K302" s="196" t="n">
        <v>10.1</v>
      </c>
      <c r="L302" s="197" t="n">
        <v>1</v>
      </c>
      <c r="M302" s="197" t="n">
        <v>0</v>
      </c>
      <c r="N302" s="195" t="n">
        <v>93.391</v>
      </c>
      <c r="O302" s="194" t="n">
        <v>3974687</v>
      </c>
    </row>
    <row r="303" customFormat="false" ht="12.75" hidden="false" customHeight="true" outlineLevel="0" collapsed="false">
      <c r="B303" s="184" t="s">
        <v>29</v>
      </c>
      <c r="C303" s="185" t="n">
        <v>2024</v>
      </c>
      <c r="D303" s="186" t="n">
        <v>21.52</v>
      </c>
      <c r="E303" s="186" t="n">
        <v>13.05</v>
      </c>
      <c r="F303" s="187" t="n">
        <v>10911</v>
      </c>
      <c r="G303" s="188" t="n">
        <v>6.7935</v>
      </c>
      <c r="H303" s="188" t="n">
        <v>6.2934</v>
      </c>
      <c r="I303" s="187" t="n">
        <v>25683</v>
      </c>
      <c r="J303" s="188" t="n">
        <v>10.1536</v>
      </c>
      <c r="K303" s="189" t="n">
        <v>8.7</v>
      </c>
      <c r="L303" s="190" t="n">
        <v>1</v>
      </c>
      <c r="M303" s="190" t="n">
        <v>0</v>
      </c>
      <c r="N303" s="188" t="n">
        <v>93.391</v>
      </c>
      <c r="O303" s="187" t="n">
        <v>4145040</v>
      </c>
    </row>
    <row r="304" customFormat="false" ht="12.75" hidden="false" customHeight="true" outlineLevel="0" collapsed="false">
      <c r="B304" s="170" t="s">
        <v>30</v>
      </c>
      <c r="C304" s="171" t="n">
        <v>2005</v>
      </c>
      <c r="D304" s="172" t="n">
        <v>41.5</v>
      </c>
      <c r="E304" s="172" t="n">
        <v>0.4</v>
      </c>
      <c r="F304" s="173" t="n">
        <v>34</v>
      </c>
      <c r="G304" s="174" t="n">
        <v>8.1582</v>
      </c>
      <c r="H304" s="174" t="n">
        <v>3.5264</v>
      </c>
      <c r="I304" s="173" t="n">
        <v>5933</v>
      </c>
      <c r="J304" s="174" t="n">
        <v>8.6883</v>
      </c>
      <c r="K304" s="175" t="n">
        <v>12.69</v>
      </c>
      <c r="L304" s="176" t="n">
        <v>0</v>
      </c>
      <c r="M304" s="176" t="n">
        <v>0</v>
      </c>
      <c r="N304" s="174" t="n">
        <v>91.6996</v>
      </c>
      <c r="O304" s="173" t="n">
        <v>8413593</v>
      </c>
    </row>
    <row r="305" customFormat="false" ht="12.75" hidden="false" customHeight="true" outlineLevel="0" collapsed="false">
      <c r="B305" s="177" t="s">
        <v>30</v>
      </c>
      <c r="C305" s="178" t="n">
        <v>2006</v>
      </c>
      <c r="D305" s="179" t="n">
        <v>42.27</v>
      </c>
      <c r="E305" s="179" t="n">
        <v>0.07</v>
      </c>
      <c r="F305" s="180" t="n">
        <v>40</v>
      </c>
      <c r="G305" s="181" t="n">
        <v>8.187</v>
      </c>
      <c r="H305" s="181" t="n">
        <v>1.7918</v>
      </c>
      <c r="I305" s="180" t="n">
        <v>6527</v>
      </c>
      <c r="J305" s="181" t="n">
        <v>8.7837</v>
      </c>
      <c r="K305" s="182" t="n">
        <v>11.3</v>
      </c>
      <c r="L305" s="183" t="n">
        <v>0</v>
      </c>
      <c r="M305" s="183" t="n">
        <v>0</v>
      </c>
      <c r="N305" s="181" t="n">
        <v>91.6996</v>
      </c>
      <c r="O305" s="180" t="n">
        <v>8502603</v>
      </c>
    </row>
    <row r="306" customFormat="false" ht="12.75" hidden="false" customHeight="true" outlineLevel="0" collapsed="false">
      <c r="B306" s="170" t="s">
        <v>30</v>
      </c>
      <c r="C306" s="171" t="n">
        <v>2007</v>
      </c>
      <c r="D306" s="172" t="n">
        <v>43.68</v>
      </c>
      <c r="E306" s="172" t="n">
        <v>0.06</v>
      </c>
      <c r="F306" s="173" t="n">
        <v>45</v>
      </c>
      <c r="G306" s="174" t="n">
        <v>8.218</v>
      </c>
      <c r="H306" s="174" t="n">
        <v>1.6094</v>
      </c>
      <c r="I306" s="173" t="n">
        <v>7336</v>
      </c>
      <c r="J306" s="174" t="n">
        <v>8.9005</v>
      </c>
      <c r="K306" s="175" t="n">
        <v>12.98</v>
      </c>
      <c r="L306" s="176" t="n">
        <v>0</v>
      </c>
      <c r="M306" s="176" t="n">
        <v>0</v>
      </c>
      <c r="N306" s="174" t="n">
        <v>91.6996</v>
      </c>
      <c r="O306" s="173" t="n">
        <v>8486638</v>
      </c>
    </row>
    <row r="307" customFormat="false" ht="12.75" hidden="false" customHeight="true" outlineLevel="0" collapsed="false">
      <c r="B307" s="177" t="s">
        <v>30</v>
      </c>
      <c r="C307" s="178" t="n">
        <v>2008</v>
      </c>
      <c r="D307" s="179" t="n">
        <v>39.35</v>
      </c>
      <c r="E307" s="179" t="n">
        <v>0.11</v>
      </c>
      <c r="F307" s="180" t="n">
        <v>55</v>
      </c>
      <c r="G307" s="181" t="n">
        <v>8.1424</v>
      </c>
      <c r="H307" s="181" t="n">
        <v>2.3026</v>
      </c>
      <c r="I307" s="180" t="n">
        <v>8065</v>
      </c>
      <c r="J307" s="181" t="n">
        <v>8.9953</v>
      </c>
      <c r="K307" s="182" t="n">
        <v>10.74</v>
      </c>
      <c r="L307" s="183" t="n">
        <v>0</v>
      </c>
      <c r="M307" s="183" t="n">
        <v>0</v>
      </c>
      <c r="N307" s="181" t="n">
        <v>91.6996</v>
      </c>
      <c r="O307" s="180" t="n">
        <v>8734196</v>
      </c>
    </row>
    <row r="308" customFormat="false" ht="12.75" hidden="false" customHeight="true" outlineLevel="0" collapsed="false">
      <c r="B308" s="170" t="s">
        <v>30</v>
      </c>
      <c r="C308" s="171" t="n">
        <v>2009</v>
      </c>
      <c r="D308" s="172" t="n">
        <v>35.25</v>
      </c>
      <c r="E308" s="172" t="n">
        <v>0.25</v>
      </c>
      <c r="F308" s="173" t="n">
        <v>77</v>
      </c>
      <c r="G308" s="174" t="n">
        <v>8.0411</v>
      </c>
      <c r="H308" s="174" t="n">
        <v>3.091</v>
      </c>
      <c r="I308" s="173" t="n">
        <v>8902</v>
      </c>
      <c r="J308" s="174" t="n">
        <v>9.094</v>
      </c>
      <c r="K308" s="175" t="n">
        <v>13.09</v>
      </c>
      <c r="L308" s="176" t="n">
        <v>0</v>
      </c>
      <c r="M308" s="176" t="n">
        <v>0</v>
      </c>
      <c r="N308" s="174" t="n">
        <v>91.6996</v>
      </c>
      <c r="O308" s="173" t="n">
        <v>8810256</v>
      </c>
    </row>
    <row r="309" customFormat="false" ht="12.75" hidden="false" customHeight="true" outlineLevel="0" collapsed="false">
      <c r="B309" s="177" t="s">
        <v>30</v>
      </c>
      <c r="C309" s="178" t="n">
        <v>2010</v>
      </c>
      <c r="D309" s="179" t="n">
        <v>29.9</v>
      </c>
      <c r="E309" s="179" t="n">
        <v>0.45</v>
      </c>
      <c r="F309" s="180" t="n">
        <v>117</v>
      </c>
      <c r="G309" s="181" t="n">
        <v>7.8747</v>
      </c>
      <c r="H309" s="181" t="n">
        <v>3.6889</v>
      </c>
      <c r="I309" s="180" t="n">
        <v>11049</v>
      </c>
      <c r="J309" s="181" t="n">
        <v>9.3101</v>
      </c>
      <c r="K309" s="182" t="n">
        <v>11.31</v>
      </c>
      <c r="L309" s="183" t="n">
        <v>0</v>
      </c>
      <c r="M309" s="183" t="n">
        <v>0</v>
      </c>
      <c r="N309" s="181" t="n">
        <v>91.6996</v>
      </c>
      <c r="O309" s="180" t="n">
        <v>8796448</v>
      </c>
    </row>
    <row r="310" customFormat="false" ht="12.75" hidden="false" customHeight="true" outlineLevel="0" collapsed="false">
      <c r="B310" s="170" t="s">
        <v>30</v>
      </c>
      <c r="C310" s="171" t="n">
        <v>2011</v>
      </c>
      <c r="D310" s="172" t="n">
        <v>28.57</v>
      </c>
      <c r="E310" s="172" t="n">
        <v>1.16</v>
      </c>
      <c r="F310" s="173" t="n">
        <v>220</v>
      </c>
      <c r="G310" s="174" t="n">
        <v>7.8372</v>
      </c>
      <c r="H310" s="174" t="n">
        <v>4.6347</v>
      </c>
      <c r="I310" s="173" t="n">
        <v>12427</v>
      </c>
      <c r="J310" s="174" t="n">
        <v>9.4276</v>
      </c>
      <c r="K310" s="175" t="n">
        <v>9.54</v>
      </c>
      <c r="L310" s="176" t="n">
        <v>0</v>
      </c>
      <c r="M310" s="176" t="n">
        <v>0</v>
      </c>
      <c r="N310" s="174" t="n">
        <v>91.6996</v>
      </c>
      <c r="O310" s="173" t="n">
        <v>8864906</v>
      </c>
    </row>
    <row r="311" customFormat="false" ht="12.75" hidden="false" customHeight="true" outlineLevel="0" collapsed="false">
      <c r="B311" s="177" t="s">
        <v>30</v>
      </c>
      <c r="C311" s="178" t="n">
        <v>2012</v>
      </c>
      <c r="D311" s="179" t="n">
        <v>27.62</v>
      </c>
      <c r="E311" s="179" t="n">
        <v>0.99</v>
      </c>
      <c r="F311" s="180" t="n">
        <v>308</v>
      </c>
      <c r="G311" s="181" t="n">
        <v>7.8108</v>
      </c>
      <c r="H311" s="181" t="n">
        <v>4.4773</v>
      </c>
      <c r="I311" s="180" t="n">
        <v>14331</v>
      </c>
      <c r="J311" s="181" t="n">
        <v>9.5702</v>
      </c>
      <c r="K311" s="182" t="n">
        <v>10.29</v>
      </c>
      <c r="L311" s="183" t="n">
        <v>0</v>
      </c>
      <c r="M311" s="183" t="n">
        <v>0</v>
      </c>
      <c r="N311" s="181" t="n">
        <v>91.6996</v>
      </c>
      <c r="O311" s="180" t="n">
        <v>8931028</v>
      </c>
    </row>
    <row r="312" customFormat="false" ht="12.75" hidden="false" customHeight="true" outlineLevel="0" collapsed="false">
      <c r="B312" s="170" t="s">
        <v>30</v>
      </c>
      <c r="C312" s="171" t="n">
        <v>2013</v>
      </c>
      <c r="D312" s="172" t="n">
        <v>24.99</v>
      </c>
      <c r="E312" s="172" t="n">
        <v>0.5</v>
      </c>
      <c r="F312" s="173" t="n">
        <v>354</v>
      </c>
      <c r="G312" s="174" t="n">
        <v>7.7411</v>
      </c>
      <c r="H312" s="174" t="n">
        <v>3.8286</v>
      </c>
      <c r="I312" s="173" t="n">
        <v>15328</v>
      </c>
      <c r="J312" s="174" t="n">
        <v>9.6374</v>
      </c>
      <c r="K312" s="175" t="n">
        <v>9.09</v>
      </c>
      <c r="L312" s="176" t="n">
        <v>0</v>
      </c>
      <c r="M312" s="176" t="n">
        <v>0</v>
      </c>
      <c r="N312" s="174" t="n">
        <v>91.6996</v>
      </c>
      <c r="O312" s="173" t="n">
        <v>9208550</v>
      </c>
    </row>
    <row r="313" customFormat="false" ht="12.75" hidden="false" customHeight="true" outlineLevel="0" collapsed="false">
      <c r="B313" s="177" t="s">
        <v>30</v>
      </c>
      <c r="C313" s="178" t="n">
        <v>2014</v>
      </c>
      <c r="D313" s="179" t="n">
        <v>27.41</v>
      </c>
      <c r="E313" s="179" t="n">
        <v>0.43</v>
      </c>
      <c r="F313" s="180" t="n">
        <v>394</v>
      </c>
      <c r="G313" s="181" t="n">
        <v>7.8411</v>
      </c>
      <c r="H313" s="181" t="n">
        <v>3.6889</v>
      </c>
      <c r="I313" s="180" t="n">
        <v>16722</v>
      </c>
      <c r="J313" s="181" t="n">
        <v>9.7245</v>
      </c>
      <c r="K313" s="182" t="n">
        <v>9.47</v>
      </c>
      <c r="L313" s="183" t="n">
        <v>0</v>
      </c>
      <c r="M313" s="183" t="n">
        <v>0</v>
      </c>
      <c r="N313" s="181" t="n">
        <v>91.6996</v>
      </c>
      <c r="O313" s="180" t="n">
        <v>9277727</v>
      </c>
    </row>
    <row r="314" customFormat="false" ht="12.75" hidden="false" customHeight="true" outlineLevel="0" collapsed="false">
      <c r="B314" s="170" t="s">
        <v>30</v>
      </c>
      <c r="C314" s="171" t="n">
        <v>2015</v>
      </c>
      <c r="D314" s="172" t="n">
        <v>32.88</v>
      </c>
      <c r="E314" s="172" t="n">
        <v>0.11</v>
      </c>
      <c r="F314" s="173" t="n">
        <v>404</v>
      </c>
      <c r="G314" s="174" t="n">
        <v>8.0304</v>
      </c>
      <c r="H314" s="174" t="n">
        <v>2.3026</v>
      </c>
      <c r="I314" s="173" t="n">
        <v>16796</v>
      </c>
      <c r="J314" s="174" t="n">
        <v>9.7289</v>
      </c>
      <c r="K314" s="175" t="n">
        <v>9.9</v>
      </c>
      <c r="L314" s="176" t="n">
        <v>0</v>
      </c>
      <c r="M314" s="176" t="n">
        <v>0</v>
      </c>
      <c r="N314" s="174" t="n">
        <v>91.6996</v>
      </c>
      <c r="O314" s="173" t="n">
        <v>9345173</v>
      </c>
    </row>
    <row r="315" customFormat="false" ht="12.75" hidden="false" customHeight="true" outlineLevel="0" collapsed="false">
      <c r="B315" s="184" t="s">
        <v>30</v>
      </c>
      <c r="C315" s="185" t="n">
        <v>2016</v>
      </c>
      <c r="D315" s="186" t="n">
        <v>37.09</v>
      </c>
      <c r="E315" s="186" t="n">
        <v>1.33</v>
      </c>
      <c r="F315" s="187" t="n">
        <v>529</v>
      </c>
      <c r="G315" s="188" t="n">
        <v>8.1577</v>
      </c>
      <c r="H315" s="188" t="n">
        <v>4.8283</v>
      </c>
      <c r="I315" s="187" t="n">
        <v>17783</v>
      </c>
      <c r="J315" s="188" t="n">
        <v>9.786</v>
      </c>
      <c r="K315" s="189" t="n">
        <v>14.8</v>
      </c>
      <c r="L315" s="190" t="n">
        <v>0</v>
      </c>
      <c r="M315" s="190" t="n">
        <v>0</v>
      </c>
      <c r="N315" s="188" t="n">
        <v>91.6996</v>
      </c>
      <c r="O315" s="187" t="n">
        <v>9410336</v>
      </c>
    </row>
    <row r="316" customFormat="false" ht="12.75" hidden="false" customHeight="true" outlineLevel="0" collapsed="false">
      <c r="B316" s="191" t="s">
        <v>30</v>
      </c>
      <c r="C316" s="192" t="n">
        <v>2017</v>
      </c>
      <c r="D316" s="193" t="n">
        <v>47.45</v>
      </c>
      <c r="E316" s="193" t="n">
        <v>3.02</v>
      </c>
      <c r="F316" s="194" t="n">
        <v>815</v>
      </c>
      <c r="G316" s="195" t="n">
        <v>8.4107</v>
      </c>
      <c r="H316" s="195" t="n">
        <v>5.656</v>
      </c>
      <c r="I316" s="194" t="n">
        <v>19171</v>
      </c>
      <c r="J316" s="195" t="n">
        <v>9.8612</v>
      </c>
      <c r="K316" s="196" t="n">
        <v>17.9</v>
      </c>
      <c r="L316" s="197" t="n">
        <v>0</v>
      </c>
      <c r="M316" s="197" t="n">
        <v>0</v>
      </c>
      <c r="N316" s="195" t="n">
        <v>91.6996</v>
      </c>
      <c r="O316" s="194" t="n">
        <v>9473266</v>
      </c>
    </row>
    <row r="317" customFormat="false" ht="12.75" hidden="false" customHeight="true" outlineLevel="0" collapsed="false">
      <c r="B317" s="184" t="s">
        <v>30</v>
      </c>
      <c r="C317" s="185" t="n">
        <v>2018</v>
      </c>
      <c r="D317" s="186" t="n">
        <v>35.57</v>
      </c>
      <c r="E317" s="186" t="n">
        <v>4.04</v>
      </c>
      <c r="F317" s="187" t="n">
        <v>1199</v>
      </c>
      <c r="G317" s="188" t="n">
        <v>8.125</v>
      </c>
      <c r="H317" s="188" t="n">
        <v>5.9506</v>
      </c>
      <c r="I317" s="187" t="n">
        <v>19624</v>
      </c>
      <c r="J317" s="188" t="n">
        <v>9.8845</v>
      </c>
      <c r="K317" s="189" t="n">
        <v>16.9</v>
      </c>
      <c r="L317" s="190" t="n">
        <v>0</v>
      </c>
      <c r="M317" s="190" t="n">
        <v>0</v>
      </c>
      <c r="N317" s="188" t="n">
        <v>91.6996</v>
      </c>
      <c r="O317" s="187" t="n">
        <v>9496294</v>
      </c>
    </row>
    <row r="318" customFormat="false" ht="12.75" hidden="false" customHeight="true" outlineLevel="0" collapsed="false">
      <c r="B318" s="191" t="s">
        <v>30</v>
      </c>
      <c r="C318" s="192" t="n">
        <v>2019</v>
      </c>
      <c r="D318" s="193" t="n">
        <v>28.24</v>
      </c>
      <c r="E318" s="193" t="n">
        <v>20.59</v>
      </c>
      <c r="F318" s="194" t="n">
        <v>3167</v>
      </c>
      <c r="G318" s="195" t="n">
        <v>7.9006</v>
      </c>
      <c r="H318" s="195" t="n">
        <v>7.5848</v>
      </c>
      <c r="I318" s="194" t="n">
        <v>20702</v>
      </c>
      <c r="J318" s="195" t="n">
        <v>9.938</v>
      </c>
      <c r="K318" s="196" t="n">
        <v>15.7</v>
      </c>
      <c r="L318" s="197" t="n">
        <v>0</v>
      </c>
      <c r="M318" s="197" t="n">
        <v>0</v>
      </c>
      <c r="N318" s="195" t="n">
        <v>91.6996</v>
      </c>
      <c r="O318" s="194" t="n">
        <v>9557071</v>
      </c>
    </row>
    <row r="319" customFormat="false" ht="12.75" hidden="false" customHeight="true" outlineLevel="0" collapsed="false">
      <c r="B319" s="184" t="s">
        <v>30</v>
      </c>
      <c r="C319" s="185" t="n">
        <v>2020</v>
      </c>
      <c r="D319" s="186" t="n">
        <v>31.85</v>
      </c>
      <c r="E319" s="186" t="n">
        <v>39.15</v>
      </c>
      <c r="F319" s="187" t="n">
        <v>6932</v>
      </c>
      <c r="G319" s="188" t="n">
        <v>8.0272</v>
      </c>
      <c r="H319" s="188" t="n">
        <v>8.2335</v>
      </c>
      <c r="I319" s="187" t="n">
        <v>20101</v>
      </c>
      <c r="J319" s="188" t="n">
        <v>9.9085</v>
      </c>
      <c r="K319" s="189" t="n">
        <v>17.2</v>
      </c>
      <c r="L319" s="190" t="n">
        <v>0</v>
      </c>
      <c r="M319" s="190" t="n">
        <v>1</v>
      </c>
      <c r="N319" s="188" t="n">
        <v>91.6996</v>
      </c>
      <c r="O319" s="187" t="n">
        <v>9616621</v>
      </c>
    </row>
    <row r="320" customFormat="false" ht="12.75" hidden="false" customHeight="true" outlineLevel="0" collapsed="false">
      <c r="B320" s="191" t="s">
        <v>30</v>
      </c>
      <c r="C320" s="192" t="n">
        <v>2021</v>
      </c>
      <c r="D320" s="193" t="n">
        <v>28.87</v>
      </c>
      <c r="E320" s="193" t="n">
        <v>65.48</v>
      </c>
      <c r="F320" s="194" t="n">
        <v>13267</v>
      </c>
      <c r="G320" s="195" t="n">
        <v>7.9349</v>
      </c>
      <c r="H320" s="195" t="n">
        <v>8.7538</v>
      </c>
      <c r="I320" s="194" t="n">
        <v>22824</v>
      </c>
      <c r="J320" s="195" t="n">
        <v>10.0356</v>
      </c>
      <c r="K320" s="196" t="n">
        <v>19.9</v>
      </c>
      <c r="L320" s="197" t="n">
        <v>0</v>
      </c>
      <c r="M320" s="197" t="n">
        <v>1</v>
      </c>
      <c r="N320" s="195" t="n">
        <v>91.6996</v>
      </c>
      <c r="O320" s="194" t="n">
        <v>9674793</v>
      </c>
    </row>
    <row r="321" customFormat="false" ht="12.75" hidden="false" customHeight="true" outlineLevel="0" collapsed="false">
      <c r="B321" s="184" t="s">
        <v>30</v>
      </c>
      <c r="C321" s="185" t="n">
        <v>2022</v>
      </c>
      <c r="D321" s="186" t="n">
        <v>30.53</v>
      </c>
      <c r="E321" s="186" t="n">
        <v>91.7</v>
      </c>
      <c r="F321" s="187" t="n">
        <v>21574</v>
      </c>
      <c r="G321" s="188" t="n">
        <v>7.9252</v>
      </c>
      <c r="H321" s="188" t="n">
        <v>9.0249</v>
      </c>
      <c r="I321" s="187" t="n">
        <v>27137</v>
      </c>
      <c r="J321" s="188" t="n">
        <v>10.2087</v>
      </c>
      <c r="K321" s="189" t="n">
        <v>14.2</v>
      </c>
      <c r="L321" s="190" t="n">
        <v>0</v>
      </c>
      <c r="M321" s="190" t="n">
        <v>0</v>
      </c>
      <c r="N321" s="188" t="n">
        <v>91.6996</v>
      </c>
      <c r="O321" s="187" t="n">
        <v>9058931</v>
      </c>
    </row>
    <row r="322" customFormat="false" ht="12.75" hidden="false" customHeight="true" outlineLevel="0" collapsed="false">
      <c r="B322" s="191" t="s">
        <v>30</v>
      </c>
      <c r="C322" s="192" t="n">
        <v>2023</v>
      </c>
      <c r="D322" s="193" t="n">
        <v>33.08</v>
      </c>
      <c r="E322" s="193" t="n">
        <v>0.11</v>
      </c>
      <c r="F322" s="194" t="n">
        <v>21584</v>
      </c>
      <c r="G322" s="195" t="n">
        <v>8.0054</v>
      </c>
      <c r="H322" s="195" t="n">
        <v>2.3026</v>
      </c>
      <c r="I322" s="194" t="n">
        <v>29857</v>
      </c>
      <c r="J322" s="195" t="n">
        <v>10.3042</v>
      </c>
      <c r="K322" s="196" t="n">
        <v>13.4</v>
      </c>
      <c r="L322" s="197" t="n">
        <v>1</v>
      </c>
      <c r="M322" s="197" t="n">
        <v>0</v>
      </c>
      <c r="N322" s="195" t="n">
        <v>91.6996</v>
      </c>
      <c r="O322" s="194" t="n">
        <v>9058931</v>
      </c>
    </row>
    <row r="323" customFormat="false" ht="12.75" hidden="false" customHeight="true" outlineLevel="0" collapsed="false">
      <c r="B323" s="184" t="s">
        <v>30</v>
      </c>
      <c r="C323" s="185" t="n">
        <v>2024</v>
      </c>
      <c r="D323" s="186" t="n">
        <v>29.09</v>
      </c>
      <c r="E323" s="186" t="n">
        <v>10.01</v>
      </c>
      <c r="F323" s="187" t="n">
        <v>22539</v>
      </c>
      <c r="G323" s="188" t="n">
        <v>7.9284</v>
      </c>
      <c r="H323" s="188" t="n">
        <v>6.8617</v>
      </c>
      <c r="I323" s="187" t="n">
        <v>30956</v>
      </c>
      <c r="J323" s="188" t="n">
        <v>10.3403</v>
      </c>
      <c r="K323" s="189" t="n">
        <v>11.1</v>
      </c>
      <c r="L323" s="190" t="n">
        <v>1</v>
      </c>
      <c r="M323" s="190" t="n">
        <v>0</v>
      </c>
      <c r="N323" s="188" t="n">
        <v>91.6996</v>
      </c>
      <c r="O323" s="187" t="n">
        <v>9539029</v>
      </c>
    </row>
    <row r="324" customFormat="false" ht="12.75" hidden="false" customHeight="true" outlineLevel="0" collapsed="false">
      <c r="B324" s="170" t="s">
        <v>31</v>
      </c>
      <c r="C324" s="171" t="n">
        <v>2005</v>
      </c>
      <c r="D324" s="172" t="n">
        <v>5.19</v>
      </c>
      <c r="E324" s="172" t="n">
        <v>0</v>
      </c>
      <c r="F324" s="173" t="n">
        <v>0</v>
      </c>
      <c r="G324" s="174" t="n">
        <v>5.0499</v>
      </c>
      <c r="H324" s="174"/>
      <c r="I324" s="173" t="n">
        <v>3701</v>
      </c>
      <c r="J324" s="174" t="n">
        <v>8.2164</v>
      </c>
      <c r="K324" s="175" t="n">
        <v>6.83</v>
      </c>
      <c r="L324" s="176" t="n">
        <v>0</v>
      </c>
      <c r="M324" s="176" t="n">
        <v>0</v>
      </c>
      <c r="N324" s="174" t="n">
        <v>43.5926</v>
      </c>
      <c r="O324" s="173" t="n">
        <v>3006885</v>
      </c>
    </row>
    <row r="325" customFormat="false" ht="12.75" hidden="false" customHeight="true" outlineLevel="0" collapsed="false">
      <c r="B325" s="177" t="s">
        <v>31</v>
      </c>
      <c r="C325" s="178" t="n">
        <v>2006</v>
      </c>
      <c r="D325" s="179" t="n">
        <v>6.62</v>
      </c>
      <c r="E325" s="179" t="n">
        <v>0.07</v>
      </c>
      <c r="F325" s="180" t="n">
        <v>2</v>
      </c>
      <c r="G325" s="181" t="n">
        <v>5.3033</v>
      </c>
      <c r="H325" s="181" t="n">
        <v>0.6931</v>
      </c>
      <c r="I325" s="180" t="n">
        <v>4212</v>
      </c>
      <c r="J325" s="181" t="n">
        <v>8.3457</v>
      </c>
      <c r="K325" s="182" t="n">
        <v>5.25</v>
      </c>
      <c r="L325" s="183" t="n">
        <v>0</v>
      </c>
      <c r="M325" s="183" t="n">
        <v>0</v>
      </c>
      <c r="N325" s="181" t="n">
        <v>43.5926</v>
      </c>
      <c r="O325" s="180" t="n">
        <v>3036290</v>
      </c>
    </row>
    <row r="326" customFormat="false" ht="12.75" hidden="false" customHeight="true" outlineLevel="0" collapsed="false">
      <c r="B326" s="170" t="s">
        <v>31</v>
      </c>
      <c r="C326" s="171" t="n">
        <v>2007</v>
      </c>
      <c r="D326" s="172" t="n">
        <v>6.46</v>
      </c>
      <c r="E326" s="172" t="n">
        <v>0.1</v>
      </c>
      <c r="F326" s="173" t="n">
        <v>5</v>
      </c>
      <c r="G326" s="174" t="n">
        <v>5.2781</v>
      </c>
      <c r="H326" s="174" t="n">
        <v>1.0986</v>
      </c>
      <c r="I326" s="173" t="n">
        <v>4662</v>
      </c>
      <c r="J326" s="174" t="n">
        <v>8.4472</v>
      </c>
      <c r="K326" s="175" t="n">
        <v>4.61</v>
      </c>
      <c r="L326" s="176" t="n">
        <v>0</v>
      </c>
      <c r="M326" s="176" t="n">
        <v>0</v>
      </c>
      <c r="N326" s="174" t="n">
        <v>43.5926</v>
      </c>
      <c r="O326" s="173" t="n">
        <v>3032435</v>
      </c>
    </row>
    <row r="327" customFormat="false" ht="12.75" hidden="false" customHeight="true" outlineLevel="0" collapsed="false">
      <c r="B327" s="177" t="s">
        <v>31</v>
      </c>
      <c r="C327" s="178" t="n">
        <v>2008</v>
      </c>
      <c r="D327" s="179" t="n">
        <v>5.43</v>
      </c>
      <c r="E327" s="179" t="n">
        <v>0</v>
      </c>
      <c r="F327" s="180" t="n">
        <v>5</v>
      </c>
      <c r="G327" s="181" t="n">
        <v>5.1299</v>
      </c>
      <c r="H327" s="181"/>
      <c r="I327" s="180" t="n">
        <v>5386</v>
      </c>
      <c r="J327" s="181" t="n">
        <v>8.5916</v>
      </c>
      <c r="K327" s="182" t="n">
        <v>5.01</v>
      </c>
      <c r="L327" s="183" t="n">
        <v>0</v>
      </c>
      <c r="M327" s="183" t="n">
        <v>0</v>
      </c>
      <c r="N327" s="181" t="n">
        <v>43.5926</v>
      </c>
      <c r="O327" s="180" t="n">
        <v>3111881</v>
      </c>
    </row>
    <row r="328" customFormat="false" ht="12.75" hidden="false" customHeight="true" outlineLevel="0" collapsed="false">
      <c r="B328" s="170" t="s">
        <v>31</v>
      </c>
      <c r="C328" s="171" t="n">
        <v>2009</v>
      </c>
      <c r="D328" s="172" t="n">
        <v>6.1</v>
      </c>
      <c r="E328" s="172" t="n">
        <v>0.06</v>
      </c>
      <c r="F328" s="173" t="n">
        <v>7</v>
      </c>
      <c r="G328" s="174" t="n">
        <v>5.2575</v>
      </c>
      <c r="H328" s="174" t="n">
        <v>0.6931</v>
      </c>
      <c r="I328" s="173" t="n">
        <v>6051</v>
      </c>
      <c r="J328" s="174" t="n">
        <v>8.708</v>
      </c>
      <c r="K328" s="175" t="n">
        <v>5.21</v>
      </c>
      <c r="L328" s="176" t="n">
        <v>0</v>
      </c>
      <c r="M328" s="176" t="n">
        <v>0</v>
      </c>
      <c r="N328" s="174" t="n">
        <v>43.5926</v>
      </c>
      <c r="O328" s="173" t="n">
        <v>3145325</v>
      </c>
    </row>
    <row r="329" customFormat="false" ht="12.75" hidden="false" customHeight="true" outlineLevel="0" collapsed="false">
      <c r="B329" s="177" t="s">
        <v>31</v>
      </c>
      <c r="C329" s="178" t="n">
        <v>2010</v>
      </c>
      <c r="D329" s="179" t="n">
        <v>7.05</v>
      </c>
      <c r="E329" s="179" t="n">
        <v>0.13</v>
      </c>
      <c r="F329" s="180" t="n">
        <v>11</v>
      </c>
      <c r="G329" s="181" t="n">
        <v>5.3936</v>
      </c>
      <c r="H329" s="181" t="n">
        <v>1.3863</v>
      </c>
      <c r="I329" s="180" t="n">
        <v>7141</v>
      </c>
      <c r="J329" s="181" t="n">
        <v>8.8736</v>
      </c>
      <c r="K329" s="182" t="n">
        <v>6.12</v>
      </c>
      <c r="L329" s="183" t="n">
        <v>0</v>
      </c>
      <c r="M329" s="183" t="n">
        <v>0</v>
      </c>
      <c r="N329" s="181" t="n">
        <v>43.5926</v>
      </c>
      <c r="O329" s="180" t="n">
        <v>3118360</v>
      </c>
    </row>
    <row r="330" customFormat="false" ht="12.75" hidden="false" customHeight="true" outlineLevel="0" collapsed="false">
      <c r="B330" s="170" t="s">
        <v>31</v>
      </c>
      <c r="C330" s="171" t="n">
        <v>2011</v>
      </c>
      <c r="D330" s="172" t="n">
        <v>8.41</v>
      </c>
      <c r="E330" s="172" t="n">
        <v>0.22</v>
      </c>
      <c r="F330" s="173" t="n">
        <v>18</v>
      </c>
      <c r="G330" s="174" t="n">
        <v>5.5759</v>
      </c>
      <c r="H330" s="174" t="n">
        <v>1.9459</v>
      </c>
      <c r="I330" s="173" t="n">
        <v>8261</v>
      </c>
      <c r="J330" s="174" t="n">
        <v>9.0193</v>
      </c>
      <c r="K330" s="175" t="n">
        <v>7.04</v>
      </c>
      <c r="L330" s="176" t="n">
        <v>0</v>
      </c>
      <c r="M330" s="176" t="n">
        <v>0</v>
      </c>
      <c r="N330" s="174" t="n">
        <v>43.5926</v>
      </c>
      <c r="O330" s="173" t="n">
        <v>3140328</v>
      </c>
    </row>
    <row r="331" customFormat="false" ht="12.75" hidden="false" customHeight="true" outlineLevel="0" collapsed="false">
      <c r="B331" s="177" t="s">
        <v>31</v>
      </c>
      <c r="C331" s="178" t="n">
        <v>2012</v>
      </c>
      <c r="D331" s="179" t="n">
        <v>10.16</v>
      </c>
      <c r="E331" s="179" t="n">
        <v>0.19</v>
      </c>
      <c r="F331" s="180" t="n">
        <v>24</v>
      </c>
      <c r="G331" s="181" t="n">
        <v>5.7714</v>
      </c>
      <c r="H331" s="181" t="n">
        <v>1.7918</v>
      </c>
      <c r="I331" s="180" t="n">
        <v>9060</v>
      </c>
      <c r="J331" s="181" t="n">
        <v>9.1116</v>
      </c>
      <c r="K331" s="182" t="n">
        <v>5.62</v>
      </c>
      <c r="L331" s="183" t="n">
        <v>0</v>
      </c>
      <c r="M331" s="183" t="n">
        <v>0</v>
      </c>
      <c r="N331" s="181" t="n">
        <v>43.5926</v>
      </c>
      <c r="O331" s="180" t="n">
        <v>3160748</v>
      </c>
    </row>
    <row r="332" customFormat="false" ht="12.75" hidden="false" customHeight="true" outlineLevel="0" collapsed="false">
      <c r="B332" s="170" t="s">
        <v>31</v>
      </c>
      <c r="C332" s="171" t="n">
        <v>2013</v>
      </c>
      <c r="D332" s="172" t="n">
        <v>11.71</v>
      </c>
      <c r="E332" s="172" t="n">
        <v>0.22</v>
      </c>
      <c r="F332" s="173" t="n">
        <v>31</v>
      </c>
      <c r="G332" s="174" t="n">
        <v>5.9216</v>
      </c>
      <c r="H332" s="174" t="n">
        <v>1.9459</v>
      </c>
      <c r="I332" s="173" t="n">
        <v>9825</v>
      </c>
      <c r="J332" s="174" t="n">
        <v>9.1927</v>
      </c>
      <c r="K332" s="175" t="n">
        <v>6.99</v>
      </c>
      <c r="L332" s="176" t="n">
        <v>0</v>
      </c>
      <c r="M332" s="176" t="n">
        <v>0</v>
      </c>
      <c r="N332" s="174" t="n">
        <v>43.5926</v>
      </c>
      <c r="O332" s="173" t="n">
        <v>3184166</v>
      </c>
    </row>
    <row r="333" customFormat="false" ht="12.75" hidden="false" customHeight="true" outlineLevel="0" collapsed="false">
      <c r="B333" s="177" t="s">
        <v>31</v>
      </c>
      <c r="C333" s="178" t="n">
        <v>2014</v>
      </c>
      <c r="D333" s="179" t="n">
        <v>14.27</v>
      </c>
      <c r="E333" s="179" t="n">
        <v>0.22</v>
      </c>
      <c r="F333" s="180" t="n">
        <v>38</v>
      </c>
      <c r="G333" s="181" t="n">
        <v>6.1225</v>
      </c>
      <c r="H333" s="181" t="n">
        <v>1.9459</v>
      </c>
      <c r="I333" s="180" t="n">
        <v>11808</v>
      </c>
      <c r="J333" s="181" t="n">
        <v>9.3765</v>
      </c>
      <c r="K333" s="182" t="n">
        <v>6.01</v>
      </c>
      <c r="L333" s="183" t="n">
        <v>0</v>
      </c>
      <c r="M333" s="183" t="n">
        <v>0</v>
      </c>
      <c r="N333" s="181" t="n">
        <v>43.5926</v>
      </c>
      <c r="O333" s="180" t="n">
        <v>3194718</v>
      </c>
    </row>
    <row r="334" customFormat="false" ht="12.75" hidden="false" customHeight="true" outlineLevel="0" collapsed="false">
      <c r="B334" s="170" t="s">
        <v>31</v>
      </c>
      <c r="C334" s="171" t="n">
        <v>2015</v>
      </c>
      <c r="D334" s="172" t="n">
        <v>12.67</v>
      </c>
      <c r="E334" s="172" t="n">
        <v>0.25</v>
      </c>
      <c r="F334" s="173" t="n">
        <v>46</v>
      </c>
      <c r="G334" s="174" t="n">
        <v>6.0064</v>
      </c>
      <c r="H334" s="174" t="n">
        <v>2.0794</v>
      </c>
      <c r="I334" s="173" t="n">
        <v>12219</v>
      </c>
      <c r="J334" s="174" t="n">
        <v>9.4107</v>
      </c>
      <c r="K334" s="175" t="n">
        <v>7.7</v>
      </c>
      <c r="L334" s="176" t="n">
        <v>0</v>
      </c>
      <c r="M334" s="176" t="n">
        <v>0</v>
      </c>
      <c r="N334" s="174" t="n">
        <v>43.5926</v>
      </c>
      <c r="O334" s="173" t="n">
        <v>3204028</v>
      </c>
    </row>
    <row r="335" customFormat="false" ht="12.75" hidden="false" customHeight="true" outlineLevel="0" collapsed="false">
      <c r="B335" s="184" t="s">
        <v>31</v>
      </c>
      <c r="C335" s="185" t="n">
        <v>2016</v>
      </c>
      <c r="D335" s="186" t="n">
        <v>13.95</v>
      </c>
      <c r="E335" s="186" t="n">
        <v>1.15</v>
      </c>
      <c r="F335" s="187" t="n">
        <v>83</v>
      </c>
      <c r="G335" s="188" t="n">
        <v>6.1048</v>
      </c>
      <c r="H335" s="188" t="n">
        <v>3.6109</v>
      </c>
      <c r="I335" s="187" t="n">
        <v>12894</v>
      </c>
      <c r="J335" s="188" t="n">
        <v>9.4645</v>
      </c>
      <c r="K335" s="189" t="n">
        <v>9.6</v>
      </c>
      <c r="L335" s="190" t="n">
        <v>0</v>
      </c>
      <c r="M335" s="190" t="n">
        <v>0</v>
      </c>
      <c r="N335" s="188" t="n">
        <v>43.5926</v>
      </c>
      <c r="O335" s="187" t="n">
        <v>3212180</v>
      </c>
    </row>
    <row r="336" customFormat="false" ht="12.75" hidden="false" customHeight="true" outlineLevel="0" collapsed="false">
      <c r="B336" s="191" t="s">
        <v>31</v>
      </c>
      <c r="C336" s="192" t="n">
        <v>2017</v>
      </c>
      <c r="D336" s="193" t="n">
        <v>11.96</v>
      </c>
      <c r="E336" s="193" t="n">
        <v>3.48</v>
      </c>
      <c r="F336" s="194" t="n">
        <v>195</v>
      </c>
      <c r="G336" s="195" t="n">
        <v>5.9532</v>
      </c>
      <c r="H336" s="195" t="n">
        <v>4.7185</v>
      </c>
      <c r="I336" s="194" t="n">
        <v>14092</v>
      </c>
      <c r="J336" s="195" t="n">
        <v>9.5534</v>
      </c>
      <c r="K336" s="196" t="n">
        <v>13</v>
      </c>
      <c r="L336" s="197" t="n">
        <v>0</v>
      </c>
      <c r="M336" s="197" t="n">
        <v>0</v>
      </c>
      <c r="N336" s="195" t="n">
        <v>43.5926</v>
      </c>
      <c r="O336" s="194" t="n">
        <v>3219257</v>
      </c>
    </row>
    <row r="337" customFormat="false" ht="12.75" hidden="false" customHeight="true" outlineLevel="0" collapsed="false">
      <c r="B337" s="184" t="s">
        <v>31</v>
      </c>
      <c r="C337" s="185" t="n">
        <v>2018</v>
      </c>
      <c r="D337" s="186" t="n">
        <v>11.79</v>
      </c>
      <c r="E337" s="186" t="n">
        <v>3.95</v>
      </c>
      <c r="F337" s="187" t="n">
        <v>324</v>
      </c>
      <c r="G337" s="188" t="n">
        <v>5.9532</v>
      </c>
      <c r="H337" s="188" t="n">
        <v>4.8598</v>
      </c>
      <c r="I337" s="187" t="n">
        <v>15432</v>
      </c>
      <c r="J337" s="188" t="n">
        <v>9.6442</v>
      </c>
      <c r="K337" s="189" t="n">
        <v>12.9</v>
      </c>
      <c r="L337" s="190" t="n">
        <v>0</v>
      </c>
      <c r="M337" s="190" t="n">
        <v>0</v>
      </c>
      <c r="N337" s="188" t="n">
        <v>43.5926</v>
      </c>
      <c r="O337" s="187" t="n">
        <v>3264531</v>
      </c>
    </row>
    <row r="338" customFormat="false" ht="12.75" hidden="false" customHeight="true" outlineLevel="0" collapsed="false">
      <c r="B338" s="191" t="s">
        <v>31</v>
      </c>
      <c r="C338" s="192" t="n">
        <v>2019</v>
      </c>
      <c r="D338" s="193" t="n">
        <v>10.75</v>
      </c>
      <c r="E338" s="193" t="n">
        <v>8.8</v>
      </c>
      <c r="F338" s="194" t="n">
        <v>612</v>
      </c>
      <c r="G338" s="195" t="n">
        <v>5.8636</v>
      </c>
      <c r="H338" s="195" t="n">
        <v>5.663</v>
      </c>
      <c r="I338" s="194" t="n">
        <v>16125</v>
      </c>
      <c r="J338" s="195" t="n">
        <v>9.6881</v>
      </c>
      <c r="K338" s="196" t="n">
        <v>13</v>
      </c>
      <c r="L338" s="197" t="n">
        <v>0</v>
      </c>
      <c r="M338" s="197" t="n">
        <v>0</v>
      </c>
      <c r="N338" s="195" t="n">
        <v>43.5926</v>
      </c>
      <c r="O338" s="194" t="n">
        <v>3273227</v>
      </c>
    </row>
    <row r="339" customFormat="false" ht="12.75" hidden="false" customHeight="true" outlineLevel="0" collapsed="false">
      <c r="B339" s="184" t="s">
        <v>31</v>
      </c>
      <c r="C339" s="185" t="n">
        <v>2020</v>
      </c>
      <c r="D339" s="186" t="n">
        <v>13.9</v>
      </c>
      <c r="E339" s="186" t="n">
        <v>14.08</v>
      </c>
      <c r="F339" s="187" t="n">
        <v>1074</v>
      </c>
      <c r="G339" s="188" t="n">
        <v>6.1225</v>
      </c>
      <c r="H339" s="188" t="n">
        <v>6.1356</v>
      </c>
      <c r="I339" s="187" t="n">
        <v>17185</v>
      </c>
      <c r="J339" s="188" t="n">
        <v>9.7518</v>
      </c>
      <c r="K339" s="189" t="n">
        <v>13.3</v>
      </c>
      <c r="L339" s="190" t="n">
        <v>0</v>
      </c>
      <c r="M339" s="190" t="n">
        <v>1</v>
      </c>
      <c r="N339" s="188" t="n">
        <v>43.5926</v>
      </c>
      <c r="O339" s="187" t="n">
        <v>3281480</v>
      </c>
    </row>
    <row r="340" customFormat="false" ht="12.75" hidden="false" customHeight="true" outlineLevel="0" collapsed="false">
      <c r="B340" s="191" t="s">
        <v>31</v>
      </c>
      <c r="C340" s="192" t="n">
        <v>2021</v>
      </c>
      <c r="D340" s="193" t="n">
        <v>17.21</v>
      </c>
      <c r="E340" s="193" t="n">
        <v>36.76</v>
      </c>
      <c r="F340" s="194" t="n">
        <v>2283</v>
      </c>
      <c r="G340" s="195" t="n">
        <v>6.3386</v>
      </c>
      <c r="H340" s="195" t="n">
        <v>7.0975</v>
      </c>
      <c r="I340" s="194" t="n">
        <v>19466</v>
      </c>
      <c r="J340" s="195" t="n">
        <v>9.8764</v>
      </c>
      <c r="K340" s="196" t="n">
        <v>13.6</v>
      </c>
      <c r="L340" s="197" t="n">
        <v>0</v>
      </c>
      <c r="M340" s="197" t="n">
        <v>1</v>
      </c>
      <c r="N340" s="195" t="n">
        <v>43.5926</v>
      </c>
      <c r="O340" s="194" t="n">
        <v>3289290</v>
      </c>
    </row>
    <row r="341" customFormat="false" ht="12.75" hidden="false" customHeight="true" outlineLevel="0" collapsed="false">
      <c r="B341" s="184" t="s">
        <v>31</v>
      </c>
      <c r="C341" s="185" t="n">
        <v>2022</v>
      </c>
      <c r="D341" s="186" t="n">
        <v>18.56</v>
      </c>
      <c r="E341" s="186" t="n">
        <v>43.59</v>
      </c>
      <c r="F341" s="187" t="n">
        <v>3709</v>
      </c>
      <c r="G341" s="188" t="n">
        <v>6.4085</v>
      </c>
      <c r="H341" s="188" t="n">
        <v>7.2626</v>
      </c>
      <c r="I341" s="187" t="n">
        <v>22265</v>
      </c>
      <c r="J341" s="188" t="n">
        <v>10.0108</v>
      </c>
      <c r="K341" s="189" t="n">
        <v>10.2</v>
      </c>
      <c r="L341" s="190" t="n">
        <v>0</v>
      </c>
      <c r="M341" s="190" t="n">
        <v>0</v>
      </c>
      <c r="N341" s="188" t="n">
        <v>43.5926</v>
      </c>
      <c r="O341" s="187" t="n">
        <v>3271199</v>
      </c>
    </row>
    <row r="342" customFormat="false" ht="12.75" hidden="false" customHeight="true" outlineLevel="0" collapsed="false">
      <c r="B342" s="191" t="s">
        <v>31</v>
      </c>
      <c r="C342" s="192" t="n">
        <v>2023</v>
      </c>
      <c r="D342" s="193" t="n">
        <v>15.99</v>
      </c>
      <c r="E342" s="193" t="n">
        <v>0</v>
      </c>
      <c r="F342" s="194" t="n">
        <v>3709</v>
      </c>
      <c r="G342" s="195" t="n">
        <v>6.2596</v>
      </c>
      <c r="H342" s="195"/>
      <c r="I342" s="194" t="n">
        <v>24736</v>
      </c>
      <c r="J342" s="195" t="n">
        <v>10.116</v>
      </c>
      <c r="K342" s="196" t="n">
        <v>10.3</v>
      </c>
      <c r="L342" s="197" t="n">
        <v>1</v>
      </c>
      <c r="M342" s="197" t="n">
        <v>0</v>
      </c>
      <c r="N342" s="195" t="n">
        <v>43.5926</v>
      </c>
      <c r="O342" s="194" t="n">
        <v>3271199</v>
      </c>
    </row>
    <row r="343" customFormat="false" ht="12.75" hidden="false" customHeight="true" outlineLevel="0" collapsed="false">
      <c r="B343" s="184" t="s">
        <v>31</v>
      </c>
      <c r="C343" s="185" t="n">
        <v>2024</v>
      </c>
      <c r="D343" s="186" t="n">
        <v>14.31</v>
      </c>
      <c r="E343" s="186" t="n">
        <v>8.06</v>
      </c>
      <c r="F343" s="187" t="n">
        <v>3981</v>
      </c>
      <c r="G343" s="188" t="n">
        <v>6.18</v>
      </c>
      <c r="H343" s="188" t="n">
        <v>5.6058</v>
      </c>
      <c r="I343" s="187" t="n">
        <v>26337</v>
      </c>
      <c r="J343" s="188" t="n">
        <v>10.1787</v>
      </c>
      <c r="K343" s="189" t="n">
        <v>8.5</v>
      </c>
      <c r="L343" s="190" t="n">
        <v>1</v>
      </c>
      <c r="M343" s="190" t="n">
        <v>0</v>
      </c>
      <c r="N343" s="188" t="n">
        <v>43.5926</v>
      </c>
      <c r="O343" s="187" t="n">
        <v>3375646</v>
      </c>
    </row>
    <row r="344" customFormat="false" ht="12.75" hidden="false" customHeight="true" outlineLevel="0" collapsed="false">
      <c r="B344" s="170" t="s">
        <v>32</v>
      </c>
      <c r="C344" s="171" t="n">
        <v>2005</v>
      </c>
      <c r="D344" s="172" t="n">
        <v>19.89</v>
      </c>
      <c r="E344" s="172" t="n">
        <v>0.79</v>
      </c>
      <c r="F344" s="173" t="n">
        <v>81</v>
      </c>
      <c r="G344" s="174" t="n">
        <v>7.6212</v>
      </c>
      <c r="H344" s="174" t="n">
        <v>4.3944</v>
      </c>
      <c r="I344" s="173" t="n">
        <v>12344</v>
      </c>
      <c r="J344" s="174" t="n">
        <v>9.4209</v>
      </c>
      <c r="K344" s="175" t="n">
        <v>7.5</v>
      </c>
      <c r="L344" s="176" t="n">
        <v>0</v>
      </c>
      <c r="M344" s="176" t="n">
        <v>0</v>
      </c>
      <c r="N344" s="174" t="n">
        <v>339.4679</v>
      </c>
      <c r="O344" s="173" t="n">
        <v>10261856</v>
      </c>
    </row>
    <row r="345" customFormat="false" ht="12.75" hidden="false" customHeight="true" outlineLevel="0" collapsed="false">
      <c r="B345" s="177" t="s">
        <v>32</v>
      </c>
      <c r="C345" s="178" t="n">
        <v>2006</v>
      </c>
      <c r="D345" s="179" t="n">
        <v>21.51</v>
      </c>
      <c r="E345" s="179" t="n">
        <v>0.71</v>
      </c>
      <c r="F345" s="180" t="n">
        <v>155</v>
      </c>
      <c r="G345" s="181" t="n">
        <v>7.7115</v>
      </c>
      <c r="H345" s="181" t="n">
        <v>4.3041</v>
      </c>
      <c r="I345" s="180" t="n">
        <v>13152</v>
      </c>
      <c r="J345" s="181" t="n">
        <v>9.4843</v>
      </c>
      <c r="K345" s="182" t="n">
        <v>7.36</v>
      </c>
      <c r="L345" s="183" t="n">
        <v>0</v>
      </c>
      <c r="M345" s="183" t="n">
        <v>0</v>
      </c>
      <c r="N345" s="181" t="n">
        <v>339.4679</v>
      </c>
      <c r="O345" s="180" t="n">
        <v>10387378</v>
      </c>
    </row>
    <row r="346" customFormat="false" ht="12.75" hidden="false" customHeight="true" outlineLevel="0" collapsed="false">
      <c r="B346" s="170" t="s">
        <v>32</v>
      </c>
      <c r="C346" s="171" t="n">
        <v>2007</v>
      </c>
      <c r="D346" s="172" t="n">
        <v>22.33</v>
      </c>
      <c r="E346" s="172" t="n">
        <v>0.6</v>
      </c>
      <c r="F346" s="173" t="n">
        <v>217</v>
      </c>
      <c r="G346" s="174" t="n">
        <v>7.7394</v>
      </c>
      <c r="H346" s="174" t="n">
        <v>4.1271</v>
      </c>
      <c r="I346" s="173" t="n">
        <v>15711</v>
      </c>
      <c r="J346" s="174" t="n">
        <v>9.6621</v>
      </c>
      <c r="K346" s="175" t="n">
        <v>6.22</v>
      </c>
      <c r="L346" s="176" t="n">
        <v>0</v>
      </c>
      <c r="M346" s="176" t="n">
        <v>0</v>
      </c>
      <c r="N346" s="174" t="n">
        <v>339.4679</v>
      </c>
      <c r="O346" s="173" t="n">
        <v>10284503</v>
      </c>
    </row>
    <row r="347" customFormat="false" ht="12.75" hidden="false" customHeight="true" outlineLevel="0" collapsed="false">
      <c r="B347" s="177" t="s">
        <v>32</v>
      </c>
      <c r="C347" s="178" t="n">
        <v>2008</v>
      </c>
      <c r="D347" s="179" t="n">
        <v>24.18</v>
      </c>
      <c r="E347" s="179" t="n">
        <v>1.65</v>
      </c>
      <c r="F347" s="180" t="n">
        <v>392</v>
      </c>
      <c r="G347" s="181" t="n">
        <v>7.8482</v>
      </c>
      <c r="H347" s="181" t="n">
        <v>5.1648</v>
      </c>
      <c r="I347" s="180" t="n">
        <v>16927</v>
      </c>
      <c r="J347" s="181" t="n">
        <v>9.7367</v>
      </c>
      <c r="K347" s="182" t="n">
        <v>5</v>
      </c>
      <c r="L347" s="183" t="n">
        <v>0</v>
      </c>
      <c r="M347" s="183" t="n">
        <v>0</v>
      </c>
      <c r="N347" s="181" t="n">
        <v>339.4679</v>
      </c>
      <c r="O347" s="180" t="n">
        <v>10590171</v>
      </c>
    </row>
    <row r="348" customFormat="false" ht="12.75" hidden="false" customHeight="true" outlineLevel="0" collapsed="false">
      <c r="B348" s="170" t="s">
        <v>32</v>
      </c>
      <c r="C348" s="171" t="n">
        <v>2009</v>
      </c>
      <c r="D348" s="172" t="n">
        <v>25.14</v>
      </c>
      <c r="E348" s="172" t="n">
        <v>1.8</v>
      </c>
      <c r="F348" s="173" t="n">
        <v>584</v>
      </c>
      <c r="G348" s="174" t="n">
        <v>7.8958</v>
      </c>
      <c r="H348" s="174" t="n">
        <v>5.2575</v>
      </c>
      <c r="I348" s="173" t="n">
        <v>17779</v>
      </c>
      <c r="J348" s="174" t="n">
        <v>9.7858</v>
      </c>
      <c r="K348" s="175" t="n">
        <v>6.8</v>
      </c>
      <c r="L348" s="176" t="n">
        <v>0</v>
      </c>
      <c r="M348" s="176" t="n">
        <v>0</v>
      </c>
      <c r="N348" s="174" t="n">
        <v>339.4679</v>
      </c>
      <c r="O348" s="173" t="n">
        <v>10686247</v>
      </c>
    </row>
    <row r="349" customFormat="false" ht="12.75" hidden="false" customHeight="true" outlineLevel="0" collapsed="false">
      <c r="B349" s="177" t="s">
        <v>32</v>
      </c>
      <c r="C349" s="178" t="n">
        <v>2010</v>
      </c>
      <c r="D349" s="179" t="n">
        <v>25.35</v>
      </c>
      <c r="E349" s="179" t="n">
        <v>2.03</v>
      </c>
      <c r="F349" s="180" t="n">
        <v>796</v>
      </c>
      <c r="G349" s="181" t="n">
        <v>7.8816</v>
      </c>
      <c r="H349" s="181" t="n">
        <v>5.3566</v>
      </c>
      <c r="I349" s="180" t="n">
        <v>21562</v>
      </c>
      <c r="J349" s="181" t="n">
        <v>9.9787</v>
      </c>
      <c r="K349" s="182" t="n">
        <v>5.89</v>
      </c>
      <c r="L349" s="183" t="n">
        <v>0</v>
      </c>
      <c r="M349" s="183" t="n">
        <v>0</v>
      </c>
      <c r="N349" s="181" t="n">
        <v>339.4679</v>
      </c>
      <c r="O349" s="180" t="n">
        <v>10444526</v>
      </c>
    </row>
    <row r="350" customFormat="false" ht="12.75" hidden="false" customHeight="true" outlineLevel="0" collapsed="false">
      <c r="B350" s="170" t="s">
        <v>32</v>
      </c>
      <c r="C350" s="171" t="n">
        <v>2011</v>
      </c>
      <c r="D350" s="172" t="n">
        <v>22.64</v>
      </c>
      <c r="E350" s="172" t="n">
        <v>2.23</v>
      </c>
      <c r="F350" s="173" t="n">
        <v>1030</v>
      </c>
      <c r="G350" s="174" t="n">
        <v>7.7749</v>
      </c>
      <c r="H350" s="174" t="n">
        <v>5.4553</v>
      </c>
      <c r="I350" s="173" t="n">
        <v>24459</v>
      </c>
      <c r="J350" s="174" t="n">
        <v>10.1048</v>
      </c>
      <c r="K350" s="175" t="n">
        <v>4.99</v>
      </c>
      <c r="L350" s="176" t="n">
        <v>0</v>
      </c>
      <c r="M350" s="176" t="n">
        <v>0</v>
      </c>
      <c r="N350" s="174" t="n">
        <v>339.4679</v>
      </c>
      <c r="O350" s="173" t="n">
        <v>10512349</v>
      </c>
    </row>
    <row r="351" customFormat="false" ht="12.75" hidden="false" customHeight="true" outlineLevel="0" collapsed="false">
      <c r="B351" s="177" t="s">
        <v>32</v>
      </c>
      <c r="C351" s="178" t="n">
        <v>2012</v>
      </c>
      <c r="D351" s="179" t="n">
        <v>23.08</v>
      </c>
      <c r="E351" s="179" t="n">
        <v>1.48</v>
      </c>
      <c r="F351" s="180" t="n">
        <v>1187</v>
      </c>
      <c r="G351" s="181" t="n">
        <v>7.8002</v>
      </c>
      <c r="H351" s="181" t="n">
        <v>5.0562</v>
      </c>
      <c r="I351" s="180" t="n">
        <v>27002</v>
      </c>
      <c r="J351" s="181" t="n">
        <v>10.2037</v>
      </c>
      <c r="K351" s="182" t="n">
        <v>4.88</v>
      </c>
      <c r="L351" s="183" t="n">
        <v>0</v>
      </c>
      <c r="M351" s="183" t="n">
        <v>0</v>
      </c>
      <c r="N351" s="181" t="n">
        <v>339.4679</v>
      </c>
      <c r="O351" s="180" t="n">
        <v>10577755</v>
      </c>
    </row>
    <row r="352" customFormat="false" ht="12.75" hidden="false" customHeight="true" outlineLevel="0" collapsed="false">
      <c r="B352" s="170" t="s">
        <v>32</v>
      </c>
      <c r="C352" s="171" t="n">
        <v>2013</v>
      </c>
      <c r="D352" s="172" t="n">
        <v>18.57</v>
      </c>
      <c r="E352" s="172" t="n">
        <v>0.73</v>
      </c>
      <c r="F352" s="173" t="n">
        <v>1267</v>
      </c>
      <c r="G352" s="174" t="n">
        <v>7.6217</v>
      </c>
      <c r="H352" s="174" t="n">
        <v>4.382</v>
      </c>
      <c r="I352" s="173" t="n">
        <v>30323</v>
      </c>
      <c r="J352" s="174" t="n">
        <v>10.3197</v>
      </c>
      <c r="K352" s="175" t="n">
        <v>4.51</v>
      </c>
      <c r="L352" s="176" t="n">
        <v>0</v>
      </c>
      <c r="M352" s="176" t="n">
        <v>0</v>
      </c>
      <c r="N352" s="174" t="n">
        <v>339.4679</v>
      </c>
      <c r="O352" s="173" t="n">
        <v>10997465</v>
      </c>
    </row>
    <row r="353" customFormat="false" ht="12.75" hidden="false" customHeight="true" outlineLevel="0" collapsed="false">
      <c r="B353" s="177" t="s">
        <v>32</v>
      </c>
      <c r="C353" s="178" t="n">
        <v>2014</v>
      </c>
      <c r="D353" s="179" t="n">
        <v>18.8</v>
      </c>
      <c r="E353" s="179" t="n">
        <v>0.55</v>
      </c>
      <c r="F353" s="180" t="n">
        <v>1328</v>
      </c>
      <c r="G353" s="181" t="n">
        <v>7.6416</v>
      </c>
      <c r="H353" s="181" t="n">
        <v>4.1109</v>
      </c>
      <c r="I353" s="180" t="n">
        <v>31411</v>
      </c>
      <c r="J353" s="181" t="n">
        <v>10.3549</v>
      </c>
      <c r="K353" s="182" t="n">
        <v>4.62</v>
      </c>
      <c r="L353" s="183" t="n">
        <v>0</v>
      </c>
      <c r="M353" s="183" t="n">
        <v>0</v>
      </c>
      <c r="N353" s="181" t="n">
        <v>339.4679</v>
      </c>
      <c r="O353" s="180" t="n">
        <v>11081692</v>
      </c>
    </row>
    <row r="354" customFormat="false" ht="12.75" hidden="false" customHeight="true" outlineLevel="0" collapsed="false">
      <c r="B354" s="170" t="s">
        <v>32</v>
      </c>
      <c r="C354" s="171" t="n">
        <v>2015</v>
      </c>
      <c r="D354" s="172" t="n">
        <v>17.75</v>
      </c>
      <c r="E354" s="172" t="n">
        <v>1.11</v>
      </c>
      <c r="F354" s="173" t="n">
        <v>1452</v>
      </c>
      <c r="G354" s="174" t="n">
        <v>7.5914</v>
      </c>
      <c r="H354" s="174" t="n">
        <v>4.8203</v>
      </c>
      <c r="I354" s="173" t="n">
        <v>33769</v>
      </c>
      <c r="J354" s="174" t="n">
        <v>10.4273</v>
      </c>
      <c r="K354" s="175" t="n">
        <v>5.9</v>
      </c>
      <c r="L354" s="176" t="n">
        <v>0</v>
      </c>
      <c r="M354" s="176" t="n">
        <v>0</v>
      </c>
      <c r="N354" s="174" t="n">
        <v>339.4679</v>
      </c>
      <c r="O354" s="173" t="n">
        <v>11163018</v>
      </c>
    </row>
    <row r="355" customFormat="false" ht="12.75" hidden="false" customHeight="true" outlineLevel="0" collapsed="false">
      <c r="B355" s="184" t="s">
        <v>32</v>
      </c>
      <c r="C355" s="185" t="n">
        <v>2016</v>
      </c>
      <c r="D355" s="186" t="n">
        <v>18.95</v>
      </c>
      <c r="E355" s="186" t="n">
        <v>3.43</v>
      </c>
      <c r="F355" s="187" t="n">
        <v>1838</v>
      </c>
      <c r="G355" s="188" t="n">
        <v>7.6643</v>
      </c>
      <c r="H355" s="188" t="n">
        <v>5.9558</v>
      </c>
      <c r="I355" s="187" t="n">
        <v>35740</v>
      </c>
      <c r="J355" s="188" t="n">
        <v>10.484</v>
      </c>
      <c r="K355" s="189" t="n">
        <v>8.3</v>
      </c>
      <c r="L355" s="190" t="n">
        <v>0</v>
      </c>
      <c r="M355" s="190" t="n">
        <v>0</v>
      </c>
      <c r="N355" s="188" t="n">
        <v>339.4679</v>
      </c>
      <c r="O355" s="187" t="n">
        <v>11242720</v>
      </c>
    </row>
    <row r="356" customFormat="false" ht="12.75" hidden="false" customHeight="true" outlineLevel="0" collapsed="false">
      <c r="B356" s="191" t="s">
        <v>32</v>
      </c>
      <c r="C356" s="192" t="n">
        <v>2017</v>
      </c>
      <c r="D356" s="193" t="n">
        <v>16.23</v>
      </c>
      <c r="E356" s="193" t="n">
        <v>4.58</v>
      </c>
      <c r="F356" s="194" t="n">
        <v>2356</v>
      </c>
      <c r="G356" s="195" t="n">
        <v>7.5159</v>
      </c>
      <c r="H356" s="195" t="n">
        <v>6.25</v>
      </c>
      <c r="I356" s="194" t="n">
        <v>37232</v>
      </c>
      <c r="J356" s="195" t="n">
        <v>10.5249</v>
      </c>
      <c r="K356" s="196" t="n">
        <v>9</v>
      </c>
      <c r="L356" s="197" t="n">
        <v>0</v>
      </c>
      <c r="M356" s="197" t="n">
        <v>0</v>
      </c>
      <c r="N356" s="195" t="n">
        <v>339.4679</v>
      </c>
      <c r="O356" s="194" t="n">
        <v>11320892</v>
      </c>
    </row>
    <row r="357" customFormat="false" ht="12.75" hidden="false" customHeight="true" outlineLevel="0" collapsed="false">
      <c r="B357" s="184" t="s">
        <v>32</v>
      </c>
      <c r="C357" s="185" t="n">
        <v>2018</v>
      </c>
      <c r="D357" s="186" t="n">
        <v>13.45</v>
      </c>
      <c r="E357" s="186" t="n">
        <v>10.91</v>
      </c>
      <c r="F357" s="187" t="n">
        <v>3594</v>
      </c>
      <c r="G357" s="188" t="n">
        <v>7.3304</v>
      </c>
      <c r="H357" s="188" t="n">
        <v>7.1213</v>
      </c>
      <c r="I357" s="187" t="n">
        <v>38773</v>
      </c>
      <c r="J357" s="188" t="n">
        <v>10.5655</v>
      </c>
      <c r="K357" s="189" t="n">
        <v>8.8</v>
      </c>
      <c r="L357" s="190" t="n">
        <v>0</v>
      </c>
      <c r="M357" s="190" t="n">
        <v>0</v>
      </c>
      <c r="N357" s="188" t="n">
        <v>339.4679</v>
      </c>
      <c r="O357" s="187" t="n">
        <v>11348937</v>
      </c>
    </row>
    <row r="358" customFormat="false" ht="12.75" hidden="false" customHeight="true" outlineLevel="0" collapsed="false">
      <c r="B358" s="191" t="s">
        <v>32</v>
      </c>
      <c r="C358" s="192" t="n">
        <v>2019</v>
      </c>
      <c r="D358" s="193" t="n">
        <v>10.34</v>
      </c>
      <c r="E358" s="193" t="n">
        <v>64.2</v>
      </c>
      <c r="F358" s="194" t="n">
        <v>10935</v>
      </c>
      <c r="G358" s="195" t="n">
        <v>7.075</v>
      </c>
      <c r="H358" s="195" t="n">
        <v>8.9012</v>
      </c>
      <c r="I358" s="194" t="n">
        <v>40789</v>
      </c>
      <c r="J358" s="195" t="n">
        <v>10.6162</v>
      </c>
      <c r="K358" s="196" t="n">
        <v>8.7</v>
      </c>
      <c r="L358" s="197" t="n">
        <v>0</v>
      </c>
      <c r="M358" s="197" t="n">
        <v>0</v>
      </c>
      <c r="N358" s="195" t="n">
        <v>339.4679</v>
      </c>
      <c r="O358" s="194" t="n">
        <v>11433957</v>
      </c>
    </row>
    <row r="359" customFormat="false" ht="12.75" hidden="false" customHeight="true" outlineLevel="0" collapsed="false">
      <c r="B359" s="184" t="s">
        <v>32</v>
      </c>
      <c r="C359" s="185" t="n">
        <v>2020</v>
      </c>
      <c r="D359" s="186" t="n">
        <v>12.22</v>
      </c>
      <c r="E359" s="186" t="n">
        <v>150.15</v>
      </c>
      <c r="F359" s="187" t="n">
        <v>28227</v>
      </c>
      <c r="G359" s="188" t="n">
        <v>7.2492</v>
      </c>
      <c r="H359" s="188" t="n">
        <v>9.758</v>
      </c>
      <c r="I359" s="187" t="n">
        <v>42367</v>
      </c>
      <c r="J359" s="188" t="n">
        <v>10.6541</v>
      </c>
      <c r="K359" s="189" t="n">
        <v>9.6</v>
      </c>
      <c r="L359" s="190" t="n">
        <v>0</v>
      </c>
      <c r="M359" s="190" t="n">
        <v>1</v>
      </c>
      <c r="N359" s="188" t="n">
        <v>339.4679</v>
      </c>
      <c r="O359" s="187" t="n">
        <v>11516840</v>
      </c>
    </row>
    <row r="360" customFormat="false" ht="12.75" hidden="false" customHeight="true" outlineLevel="0" collapsed="false">
      <c r="B360" s="191" t="s">
        <v>32</v>
      </c>
      <c r="C360" s="192" t="n">
        <v>2021</v>
      </c>
      <c r="D360" s="193" t="n">
        <v>11.87</v>
      </c>
      <c r="E360" s="193" t="n">
        <v>131.36</v>
      </c>
      <c r="F360" s="194" t="n">
        <v>43462</v>
      </c>
      <c r="G360" s="195" t="n">
        <v>7.2277</v>
      </c>
      <c r="H360" s="195" t="n">
        <v>9.6314</v>
      </c>
      <c r="I360" s="194" t="n">
        <v>47422</v>
      </c>
      <c r="J360" s="195" t="n">
        <v>10.7668</v>
      </c>
      <c r="K360" s="196" t="n">
        <v>8.4</v>
      </c>
      <c r="L360" s="197" t="n">
        <v>0</v>
      </c>
      <c r="M360" s="197" t="n">
        <v>1</v>
      </c>
      <c r="N360" s="195" t="n">
        <v>339.4679</v>
      </c>
      <c r="O360" s="194" t="n">
        <v>11597484</v>
      </c>
    </row>
    <row r="361" customFormat="false" ht="12.75" hidden="false" customHeight="true" outlineLevel="0" collapsed="false">
      <c r="B361" s="184" t="s">
        <v>32</v>
      </c>
      <c r="C361" s="185" t="n">
        <v>2022</v>
      </c>
      <c r="D361" s="186" t="n">
        <v>13.12</v>
      </c>
      <c r="E361" s="186" t="n">
        <v>339.47</v>
      </c>
      <c r="F361" s="187" t="n">
        <v>82312</v>
      </c>
      <c r="G361" s="188" t="n">
        <v>7.3139</v>
      </c>
      <c r="H361" s="188" t="n">
        <v>10.5675</v>
      </c>
      <c r="I361" s="187" t="n">
        <v>53704</v>
      </c>
      <c r="J361" s="188" t="n">
        <v>10.8912</v>
      </c>
      <c r="K361" s="189" t="n">
        <v>5.8</v>
      </c>
      <c r="L361" s="190" t="n">
        <v>0</v>
      </c>
      <c r="M361" s="190" t="n">
        <v>0</v>
      </c>
      <c r="N361" s="188" t="n">
        <v>339.4679</v>
      </c>
      <c r="O361" s="187" t="n">
        <v>11444380</v>
      </c>
    </row>
    <row r="362" customFormat="false" ht="12.75" hidden="false" customHeight="true" outlineLevel="0" collapsed="false">
      <c r="B362" s="191" t="s">
        <v>32</v>
      </c>
      <c r="C362" s="192" t="n">
        <v>2023</v>
      </c>
      <c r="D362" s="193" t="n">
        <v>10.94</v>
      </c>
      <c r="E362" s="193" t="n">
        <v>0.76</v>
      </c>
      <c r="F362" s="194" t="n">
        <v>82399</v>
      </c>
      <c r="G362" s="195" t="n">
        <v>7.1325</v>
      </c>
      <c r="H362" s="195" t="n">
        <v>4.4659</v>
      </c>
      <c r="I362" s="194" t="n">
        <v>58624</v>
      </c>
      <c r="J362" s="195" t="n">
        <v>10.9789</v>
      </c>
      <c r="K362" s="196" t="n">
        <v>4.9</v>
      </c>
      <c r="L362" s="197" t="n">
        <v>1</v>
      </c>
      <c r="M362" s="197" t="n">
        <v>0</v>
      </c>
      <c r="N362" s="195" t="n">
        <v>339.4679</v>
      </c>
      <c r="O362" s="194" t="n">
        <v>11444380</v>
      </c>
    </row>
    <row r="363" customFormat="false" ht="12.75" hidden="false" customHeight="true" outlineLevel="0" collapsed="false">
      <c r="B363" s="184" t="s">
        <v>32</v>
      </c>
      <c r="C363" s="185" t="n">
        <v>2024</v>
      </c>
      <c r="D363" s="186" t="n">
        <v>9.26</v>
      </c>
      <c r="E363" s="186" t="n">
        <v>45.04</v>
      </c>
      <c r="F363" s="187" t="n">
        <v>87725</v>
      </c>
      <c r="G363" s="188" t="n">
        <v>6.9985</v>
      </c>
      <c r="H363" s="188" t="n">
        <v>8.5804</v>
      </c>
      <c r="I363" s="187" t="n">
        <v>61827</v>
      </c>
      <c r="J363" s="188" t="n">
        <v>11.0321</v>
      </c>
      <c r="K363" s="189" t="n">
        <v>4</v>
      </c>
      <c r="L363" s="190" t="n">
        <v>1</v>
      </c>
      <c r="M363" s="190" t="n">
        <v>0</v>
      </c>
      <c r="N363" s="188" t="n">
        <v>339.4679</v>
      </c>
      <c r="O363" s="187" t="n">
        <v>11824665</v>
      </c>
    </row>
    <row r="364" customFormat="false" ht="12.75" hidden="false" customHeight="true" outlineLevel="0" collapsed="false">
      <c r="B364" s="170" t="s">
        <v>33</v>
      </c>
      <c r="C364" s="171" t="n">
        <v>2005</v>
      </c>
      <c r="D364" s="172" t="n">
        <v>38.92</v>
      </c>
      <c r="E364" s="172" t="n">
        <v>0.88</v>
      </c>
      <c r="F364" s="173" t="n">
        <v>135</v>
      </c>
      <c r="G364" s="174" t="n">
        <v>8.6973</v>
      </c>
      <c r="H364" s="174" t="n">
        <v>4.9053</v>
      </c>
      <c r="I364" s="173" t="n">
        <v>16057</v>
      </c>
      <c r="J364" s="174" t="n">
        <v>9.6839</v>
      </c>
      <c r="K364" s="175" t="n">
        <v>12.86</v>
      </c>
      <c r="L364" s="176" t="n">
        <v>0</v>
      </c>
      <c r="M364" s="176" t="n">
        <v>0</v>
      </c>
      <c r="N364" s="174" t="n">
        <v>91.5966</v>
      </c>
      <c r="O364" s="173" t="n">
        <v>15383407</v>
      </c>
    </row>
    <row r="365" customFormat="false" ht="12.75" hidden="false" customHeight="true" outlineLevel="0" collapsed="false">
      <c r="B365" s="177" t="s">
        <v>33</v>
      </c>
      <c r="C365" s="178" t="n">
        <v>2006</v>
      </c>
      <c r="D365" s="179" t="n">
        <v>37.32</v>
      </c>
      <c r="E365" s="179" t="n">
        <v>1.11</v>
      </c>
      <c r="F365" s="180" t="n">
        <v>308</v>
      </c>
      <c r="G365" s="181" t="n">
        <v>8.6668</v>
      </c>
      <c r="H365" s="181" t="n">
        <v>5.1533</v>
      </c>
      <c r="I365" s="180" t="n">
        <v>17693</v>
      </c>
      <c r="J365" s="181" t="n">
        <v>9.7809</v>
      </c>
      <c r="K365" s="182" t="n">
        <v>11.93</v>
      </c>
      <c r="L365" s="183" t="n">
        <v>0</v>
      </c>
      <c r="M365" s="183" t="n">
        <v>0</v>
      </c>
      <c r="N365" s="181" t="n">
        <v>91.5966</v>
      </c>
      <c r="O365" s="180" t="n">
        <v>15561720</v>
      </c>
    </row>
    <row r="366" customFormat="false" ht="12.75" hidden="false" customHeight="true" outlineLevel="0" collapsed="false">
      <c r="B366" s="170" t="s">
        <v>33</v>
      </c>
      <c r="C366" s="171" t="n">
        <v>2007</v>
      </c>
      <c r="D366" s="172" t="n">
        <v>33.12</v>
      </c>
      <c r="E366" s="172" t="n">
        <v>1.31</v>
      </c>
      <c r="F366" s="173" t="n">
        <v>510</v>
      </c>
      <c r="G366" s="174" t="n">
        <v>8.5384</v>
      </c>
      <c r="H366" s="174" t="n">
        <v>5.3083</v>
      </c>
      <c r="I366" s="173" t="n">
        <v>19245</v>
      </c>
      <c r="J366" s="174" t="n">
        <v>9.865</v>
      </c>
      <c r="K366" s="175" t="n">
        <v>10.3</v>
      </c>
      <c r="L366" s="176" t="n">
        <v>0</v>
      </c>
      <c r="M366" s="176" t="n">
        <v>0</v>
      </c>
      <c r="N366" s="174" t="n">
        <v>91.5966</v>
      </c>
      <c r="O366" s="173" t="n">
        <v>15420450</v>
      </c>
    </row>
    <row r="367" customFormat="false" ht="12.75" hidden="false" customHeight="true" outlineLevel="0" collapsed="false">
      <c r="B367" s="177" t="s">
        <v>33</v>
      </c>
      <c r="C367" s="178" t="n">
        <v>2008</v>
      </c>
      <c r="D367" s="179" t="n">
        <v>27.38</v>
      </c>
      <c r="E367" s="179" t="n">
        <v>1.52</v>
      </c>
      <c r="F367" s="180" t="n">
        <v>752</v>
      </c>
      <c r="G367" s="181" t="n">
        <v>8.377</v>
      </c>
      <c r="H367" s="181" t="n">
        <v>5.4889</v>
      </c>
      <c r="I367" s="180" t="n">
        <v>21621</v>
      </c>
      <c r="J367" s="181" t="n">
        <v>9.9814</v>
      </c>
      <c r="K367" s="182" t="n">
        <v>9.66</v>
      </c>
      <c r="L367" s="183" t="n">
        <v>0</v>
      </c>
      <c r="M367" s="183" t="n">
        <v>0</v>
      </c>
      <c r="N367" s="181" t="n">
        <v>91.5966</v>
      </c>
      <c r="O367" s="180" t="n">
        <v>15872362</v>
      </c>
    </row>
    <row r="368" customFormat="false" ht="12.75" hidden="false" customHeight="true" outlineLevel="0" collapsed="false">
      <c r="B368" s="170" t="s">
        <v>33</v>
      </c>
      <c r="C368" s="171" t="n">
        <v>2009</v>
      </c>
      <c r="D368" s="172" t="n">
        <v>25.06</v>
      </c>
      <c r="E368" s="172" t="n">
        <v>1.09</v>
      </c>
      <c r="F368" s="173" t="n">
        <v>926</v>
      </c>
      <c r="G368" s="174" t="n">
        <v>8.2973</v>
      </c>
      <c r="H368" s="174" t="n">
        <v>5.1591</v>
      </c>
      <c r="I368" s="173" t="n">
        <v>22103</v>
      </c>
      <c r="J368" s="174" t="n">
        <v>10.0035</v>
      </c>
      <c r="K368" s="175" t="n">
        <v>9.25</v>
      </c>
      <c r="L368" s="176" t="n">
        <v>0</v>
      </c>
      <c r="M368" s="176" t="n">
        <v>0</v>
      </c>
      <c r="N368" s="174" t="n">
        <v>91.5966</v>
      </c>
      <c r="O368" s="173" t="n">
        <v>16010429</v>
      </c>
    </row>
    <row r="369" customFormat="false" ht="12.75" hidden="false" customHeight="true" outlineLevel="0" collapsed="false">
      <c r="B369" s="177" t="s">
        <v>33</v>
      </c>
      <c r="C369" s="178" t="n">
        <v>2010</v>
      </c>
      <c r="D369" s="179" t="n">
        <v>25.75</v>
      </c>
      <c r="E369" s="179" t="n">
        <v>2.16</v>
      </c>
      <c r="F369" s="180" t="n">
        <v>1271</v>
      </c>
      <c r="G369" s="181" t="n">
        <v>8.3231</v>
      </c>
      <c r="H369" s="181" t="n">
        <v>5.8435</v>
      </c>
      <c r="I369" s="180" t="n">
        <v>28134</v>
      </c>
      <c r="J369" s="181" t="n">
        <v>10.2447</v>
      </c>
      <c r="K369" s="182" t="n">
        <v>8.75</v>
      </c>
      <c r="L369" s="183" t="n">
        <v>0</v>
      </c>
      <c r="M369" s="183" t="n">
        <v>0</v>
      </c>
      <c r="N369" s="181" t="n">
        <v>91.5966</v>
      </c>
      <c r="O369" s="180" t="n">
        <v>15989929</v>
      </c>
    </row>
    <row r="370" customFormat="false" ht="12.75" hidden="false" customHeight="true" outlineLevel="0" collapsed="false">
      <c r="B370" s="170" t="s">
        <v>33</v>
      </c>
      <c r="C370" s="171" t="n">
        <v>2011</v>
      </c>
      <c r="D370" s="172" t="n">
        <v>21.19</v>
      </c>
      <c r="E370" s="172" t="n">
        <v>3</v>
      </c>
      <c r="F370" s="173" t="n">
        <v>1754</v>
      </c>
      <c r="G370" s="174" t="n">
        <v>8.1356</v>
      </c>
      <c r="H370" s="174" t="n">
        <v>6.18</v>
      </c>
      <c r="I370" s="173" t="n">
        <v>31824</v>
      </c>
      <c r="J370" s="174" t="n">
        <v>10.368</v>
      </c>
      <c r="K370" s="175" t="n">
        <v>8.26</v>
      </c>
      <c r="L370" s="176" t="n">
        <v>0</v>
      </c>
      <c r="M370" s="176" t="n">
        <v>0</v>
      </c>
      <c r="N370" s="174" t="n">
        <v>91.5966</v>
      </c>
      <c r="O370" s="173" t="n">
        <v>16112678</v>
      </c>
    </row>
    <row r="371" customFormat="false" ht="12.75" hidden="false" customHeight="true" outlineLevel="0" collapsed="false">
      <c r="B371" s="177" t="s">
        <v>33</v>
      </c>
      <c r="C371" s="178" t="n">
        <v>2012</v>
      </c>
      <c r="D371" s="179" t="n">
        <v>21.4</v>
      </c>
      <c r="E371" s="179" t="n">
        <v>1.74</v>
      </c>
      <c r="F371" s="180" t="n">
        <v>2037</v>
      </c>
      <c r="G371" s="181" t="n">
        <v>8.1528</v>
      </c>
      <c r="H371" s="181" t="n">
        <v>5.6454</v>
      </c>
      <c r="I371" s="180" t="n">
        <v>35418</v>
      </c>
      <c r="J371" s="181" t="n">
        <v>10.475</v>
      </c>
      <c r="K371" s="182" t="n">
        <v>6.83</v>
      </c>
      <c r="L371" s="183" t="n">
        <v>0</v>
      </c>
      <c r="M371" s="183" t="n">
        <v>0</v>
      </c>
      <c r="N371" s="181" t="n">
        <v>91.5966</v>
      </c>
      <c r="O371" s="180" t="n">
        <v>16231365</v>
      </c>
    </row>
    <row r="372" customFormat="false" ht="12.75" hidden="false" customHeight="true" outlineLevel="0" collapsed="false">
      <c r="B372" s="170" t="s">
        <v>33</v>
      </c>
      <c r="C372" s="171" t="n">
        <v>2013</v>
      </c>
      <c r="D372" s="172" t="n">
        <v>21.76</v>
      </c>
      <c r="E372" s="172" t="n">
        <v>0.85</v>
      </c>
      <c r="F372" s="173" t="n">
        <v>2176</v>
      </c>
      <c r="G372" s="174" t="n">
        <v>8.1781</v>
      </c>
      <c r="H372" s="174" t="n">
        <v>4.9345</v>
      </c>
      <c r="I372" s="173" t="n">
        <v>38379</v>
      </c>
      <c r="J372" s="174" t="n">
        <v>10.5553</v>
      </c>
      <c r="K372" s="175" t="n">
        <v>7.63</v>
      </c>
      <c r="L372" s="176" t="n">
        <v>0</v>
      </c>
      <c r="M372" s="176" t="n">
        <v>0</v>
      </c>
      <c r="N372" s="174" t="n">
        <v>91.5966</v>
      </c>
      <c r="O372" s="173" t="n">
        <v>16369179</v>
      </c>
    </row>
    <row r="373" customFormat="false" ht="12.75" hidden="false" customHeight="true" outlineLevel="0" collapsed="false">
      <c r="B373" s="177" t="s">
        <v>33</v>
      </c>
      <c r="C373" s="178" t="n">
        <v>2014</v>
      </c>
      <c r="D373" s="179" t="n">
        <v>22.21</v>
      </c>
      <c r="E373" s="179" t="n">
        <v>0.37</v>
      </c>
      <c r="F373" s="180" t="n">
        <v>2237</v>
      </c>
      <c r="G373" s="181" t="n">
        <v>8.2041</v>
      </c>
      <c r="H373" s="181" t="n">
        <v>4.1109</v>
      </c>
      <c r="I373" s="180" t="n">
        <v>40767</v>
      </c>
      <c r="J373" s="181" t="n">
        <v>10.6156</v>
      </c>
      <c r="K373" s="182" t="n">
        <v>8.09</v>
      </c>
      <c r="L373" s="183" t="n">
        <v>0</v>
      </c>
      <c r="M373" s="183" t="n">
        <v>0</v>
      </c>
      <c r="N373" s="181" t="n">
        <v>91.5966</v>
      </c>
      <c r="O373" s="180" t="n">
        <v>16461173</v>
      </c>
    </row>
    <row r="374" customFormat="false" ht="12.75" hidden="false" customHeight="true" outlineLevel="0" collapsed="false">
      <c r="B374" s="170" t="s">
        <v>33</v>
      </c>
      <c r="C374" s="171" t="n">
        <v>2015</v>
      </c>
      <c r="D374" s="172" t="n">
        <v>19.2</v>
      </c>
      <c r="E374" s="172" t="n">
        <v>1.06</v>
      </c>
      <c r="F374" s="173" t="n">
        <v>2412</v>
      </c>
      <c r="G374" s="174" t="n">
        <v>8.064</v>
      </c>
      <c r="H374" s="174" t="n">
        <v>5.1648</v>
      </c>
      <c r="I374" s="173" t="n">
        <v>39827</v>
      </c>
      <c r="J374" s="174" t="n">
        <v>10.5923</v>
      </c>
      <c r="K374" s="175" t="n">
        <v>7.7</v>
      </c>
      <c r="L374" s="176" t="n">
        <v>0</v>
      </c>
      <c r="M374" s="176" t="n">
        <v>0</v>
      </c>
      <c r="N374" s="174" t="n">
        <v>91.5966</v>
      </c>
      <c r="O374" s="173" t="n">
        <v>16550024</v>
      </c>
    </row>
    <row r="375" customFormat="false" ht="12.75" hidden="false" customHeight="true" outlineLevel="0" collapsed="false">
      <c r="B375" s="184" t="s">
        <v>33</v>
      </c>
      <c r="C375" s="185" t="n">
        <v>2016</v>
      </c>
      <c r="D375" s="186" t="n">
        <v>24.26</v>
      </c>
      <c r="E375" s="186" t="n">
        <v>2.4</v>
      </c>
      <c r="F375" s="187" t="n">
        <v>2811</v>
      </c>
      <c r="G375" s="188" t="n">
        <v>8.303</v>
      </c>
      <c r="H375" s="188" t="n">
        <v>5.989</v>
      </c>
      <c r="I375" s="187" t="n">
        <v>38495</v>
      </c>
      <c r="J375" s="188" t="n">
        <v>10.5583</v>
      </c>
      <c r="K375" s="189" t="n">
        <v>11.9</v>
      </c>
      <c r="L375" s="190" t="n">
        <v>0</v>
      </c>
      <c r="M375" s="190" t="n">
        <v>0</v>
      </c>
      <c r="N375" s="188" t="n">
        <v>91.5966</v>
      </c>
      <c r="O375" s="187" t="n">
        <v>16635996</v>
      </c>
    </row>
    <row r="376" customFormat="false" ht="12.75" hidden="false" customHeight="true" outlineLevel="0" collapsed="false">
      <c r="B376" s="191" t="s">
        <v>33</v>
      </c>
      <c r="C376" s="192" t="n">
        <v>2017</v>
      </c>
      <c r="D376" s="193" t="n">
        <v>26.43</v>
      </c>
      <c r="E376" s="193" t="n">
        <v>4.02</v>
      </c>
      <c r="F376" s="194" t="n">
        <v>3483</v>
      </c>
      <c r="G376" s="195" t="n">
        <v>8.3937</v>
      </c>
      <c r="H376" s="195" t="n">
        <v>6.5103</v>
      </c>
      <c r="I376" s="194" t="n">
        <v>40170</v>
      </c>
      <c r="J376" s="195" t="n">
        <v>10.6009</v>
      </c>
      <c r="K376" s="196" t="n">
        <v>15.1</v>
      </c>
      <c r="L376" s="197" t="n">
        <v>0</v>
      </c>
      <c r="M376" s="197" t="n">
        <v>0</v>
      </c>
      <c r="N376" s="195" t="n">
        <v>91.5966</v>
      </c>
      <c r="O376" s="194" t="n">
        <v>16718956</v>
      </c>
    </row>
    <row r="377" customFormat="false" ht="12.75" hidden="false" customHeight="true" outlineLevel="0" collapsed="false">
      <c r="B377" s="184" t="s">
        <v>33</v>
      </c>
      <c r="C377" s="185" t="n">
        <v>2018</v>
      </c>
      <c r="D377" s="186" t="n">
        <v>24.87</v>
      </c>
      <c r="E377" s="186" t="n">
        <v>8.63</v>
      </c>
      <c r="F377" s="187" t="n">
        <v>4964</v>
      </c>
      <c r="G377" s="188" t="n">
        <v>8.3587</v>
      </c>
      <c r="H377" s="188" t="n">
        <v>7.3005</v>
      </c>
      <c r="I377" s="187" t="n">
        <v>44223</v>
      </c>
      <c r="J377" s="188" t="n">
        <v>10.697</v>
      </c>
      <c r="K377" s="189" t="n">
        <v>15.1</v>
      </c>
      <c r="L377" s="190" t="n">
        <v>0</v>
      </c>
      <c r="M377" s="190" t="n">
        <v>0</v>
      </c>
      <c r="N377" s="188" t="n">
        <v>91.5966</v>
      </c>
      <c r="O377" s="187" t="n">
        <v>17159960</v>
      </c>
    </row>
    <row r="378" customFormat="false" ht="12.75" hidden="false" customHeight="true" outlineLevel="0" collapsed="false">
      <c r="B378" s="191" t="s">
        <v>33</v>
      </c>
      <c r="C378" s="192" t="n">
        <v>2019</v>
      </c>
      <c r="D378" s="193" t="n">
        <v>13.39</v>
      </c>
      <c r="E378" s="193" t="n">
        <v>8.7</v>
      </c>
      <c r="F378" s="194" t="n">
        <v>6466</v>
      </c>
      <c r="G378" s="195" t="n">
        <v>7.7454</v>
      </c>
      <c r="H378" s="195" t="n">
        <v>7.3146</v>
      </c>
      <c r="I378" s="194" t="n">
        <v>45174</v>
      </c>
      <c r="J378" s="195" t="n">
        <v>10.7183</v>
      </c>
      <c r="K378" s="196" t="n">
        <v>14.8</v>
      </c>
      <c r="L378" s="197" t="n">
        <v>0</v>
      </c>
      <c r="M378" s="197" t="n">
        <v>0</v>
      </c>
      <c r="N378" s="195" t="n">
        <v>91.5966</v>
      </c>
      <c r="O378" s="194" t="n">
        <v>17264943</v>
      </c>
    </row>
    <row r="379" customFormat="false" ht="12.75" hidden="false" customHeight="true" outlineLevel="0" collapsed="false">
      <c r="B379" s="184" t="s">
        <v>33</v>
      </c>
      <c r="C379" s="185" t="n">
        <v>2020</v>
      </c>
      <c r="D379" s="186" t="n">
        <v>15.8</v>
      </c>
      <c r="E379" s="186" t="n">
        <v>18.55</v>
      </c>
      <c r="F379" s="187" t="n">
        <v>9687</v>
      </c>
      <c r="G379" s="188" t="n">
        <v>7.9172</v>
      </c>
      <c r="H379" s="188" t="n">
        <v>8.0774</v>
      </c>
      <c r="I379" s="187" t="n">
        <v>43408</v>
      </c>
      <c r="J379" s="188" t="n">
        <v>10.6784</v>
      </c>
      <c r="K379" s="189" t="n">
        <v>17.6</v>
      </c>
      <c r="L379" s="190" t="n">
        <v>0</v>
      </c>
      <c r="M379" s="190" t="n">
        <v>1</v>
      </c>
      <c r="N379" s="188" t="n">
        <v>91.5966</v>
      </c>
      <c r="O379" s="187" t="n">
        <v>17366189</v>
      </c>
    </row>
    <row r="380" customFormat="false" ht="12.75" hidden="false" customHeight="true" outlineLevel="0" collapsed="false">
      <c r="B380" s="191" t="s">
        <v>33</v>
      </c>
      <c r="C380" s="192" t="n">
        <v>2021</v>
      </c>
      <c r="D380" s="193" t="n">
        <v>17.18</v>
      </c>
      <c r="E380" s="193" t="n">
        <v>45.56</v>
      </c>
      <c r="F380" s="194" t="n">
        <v>17644</v>
      </c>
      <c r="G380" s="195" t="n">
        <v>8.0064</v>
      </c>
      <c r="H380" s="195" t="n">
        <v>8.9818</v>
      </c>
      <c r="I380" s="194" t="n">
        <v>54360</v>
      </c>
      <c r="J380" s="195" t="n">
        <v>10.9034</v>
      </c>
      <c r="K380" s="196" t="n">
        <v>16.9</v>
      </c>
      <c r="L380" s="197" t="n">
        <v>0</v>
      </c>
      <c r="M380" s="197" t="n">
        <v>1</v>
      </c>
      <c r="N380" s="195" t="n">
        <v>91.5966</v>
      </c>
      <c r="O380" s="194" t="n">
        <v>17463349</v>
      </c>
    </row>
    <row r="381" customFormat="false" ht="12.75" hidden="false" customHeight="true" outlineLevel="0" collapsed="false">
      <c r="B381" s="184" t="s">
        <v>33</v>
      </c>
      <c r="C381" s="185" t="n">
        <v>2022</v>
      </c>
      <c r="D381" s="186" t="n">
        <v>15.19</v>
      </c>
      <c r="E381" s="186" t="n">
        <v>91.6</v>
      </c>
      <c r="F381" s="187" t="n">
        <v>32350</v>
      </c>
      <c r="G381" s="188" t="n">
        <v>7.7989</v>
      </c>
      <c r="H381" s="188" t="n">
        <v>9.596</v>
      </c>
      <c r="I381" s="187" t="n">
        <v>71847</v>
      </c>
      <c r="J381" s="188" t="n">
        <v>11.1823</v>
      </c>
      <c r="K381" s="189" t="n">
        <v>12.8</v>
      </c>
      <c r="L381" s="190" t="n">
        <v>0</v>
      </c>
      <c r="M381" s="190" t="n">
        <v>0</v>
      </c>
      <c r="N381" s="188" t="n">
        <v>91.5966</v>
      </c>
      <c r="O381" s="187" t="n">
        <v>16055174</v>
      </c>
    </row>
    <row r="382" customFormat="false" ht="12.75" hidden="false" customHeight="true" outlineLevel="0" collapsed="false">
      <c r="B382" s="191" t="s">
        <v>33</v>
      </c>
      <c r="C382" s="192" t="n">
        <v>2023</v>
      </c>
      <c r="D382" s="193" t="n">
        <v>16.09</v>
      </c>
      <c r="E382" s="193" t="n">
        <v>0.31</v>
      </c>
      <c r="F382" s="194" t="n">
        <v>32399</v>
      </c>
      <c r="G382" s="195" t="n">
        <v>7.8571</v>
      </c>
      <c r="H382" s="195" t="n">
        <v>3.8918</v>
      </c>
      <c r="I382" s="194" t="n">
        <v>73053</v>
      </c>
      <c r="J382" s="195" t="n">
        <v>11.1989</v>
      </c>
      <c r="K382" s="196" t="n">
        <v>11</v>
      </c>
      <c r="L382" s="197" t="n">
        <v>1</v>
      </c>
      <c r="M382" s="197" t="n">
        <v>0</v>
      </c>
      <c r="N382" s="195" t="n">
        <v>91.5966</v>
      </c>
      <c r="O382" s="194" t="n">
        <v>16055174</v>
      </c>
    </row>
    <row r="383" customFormat="false" ht="12.75" hidden="false" customHeight="true" outlineLevel="0" collapsed="false">
      <c r="B383" s="184" t="s">
        <v>33</v>
      </c>
      <c r="C383" s="185" t="n">
        <v>2024</v>
      </c>
      <c r="D383" s="186" t="n">
        <v>11.81</v>
      </c>
      <c r="E383" s="186" t="n">
        <v>15.89</v>
      </c>
      <c r="F383" s="187" t="n">
        <v>35135</v>
      </c>
      <c r="G383" s="188" t="n">
        <v>7.6173</v>
      </c>
      <c r="H383" s="188" t="n">
        <v>7.9143</v>
      </c>
      <c r="I383" s="187" t="n">
        <v>74008</v>
      </c>
      <c r="J383" s="188" t="n">
        <v>11.2119</v>
      </c>
      <c r="K383" s="189" t="n">
        <v>9</v>
      </c>
      <c r="L383" s="190" t="n">
        <v>1</v>
      </c>
      <c r="M383" s="190" t="n">
        <v>0</v>
      </c>
      <c r="N383" s="188" t="n">
        <v>91.5966</v>
      </c>
      <c r="O383" s="187" t="n">
        <v>17219679</v>
      </c>
    </row>
    <row r="384" customFormat="false" ht="12.75" hidden="false" customHeight="true" outlineLevel="0" collapsed="false">
      <c r="B384" s="170" t="s">
        <v>34</v>
      </c>
      <c r="C384" s="171" t="n">
        <v>2005</v>
      </c>
      <c r="D384" s="172" t="n">
        <v>8.99</v>
      </c>
      <c r="E384" s="172" t="n">
        <v>0.5</v>
      </c>
      <c r="F384" s="173" t="n">
        <v>15</v>
      </c>
      <c r="G384" s="174" t="n">
        <v>5.5984</v>
      </c>
      <c r="H384" s="174" t="n">
        <v>2.7081</v>
      </c>
      <c r="I384" s="173" t="n">
        <v>5951</v>
      </c>
      <c r="J384" s="174" t="n">
        <v>8.6913</v>
      </c>
      <c r="K384" s="175" t="n">
        <v>11.98</v>
      </c>
      <c r="L384" s="176" t="n">
        <v>0</v>
      </c>
      <c r="M384" s="176" t="n">
        <v>0</v>
      </c>
      <c r="N384" s="174" t="n">
        <v>74.9986</v>
      </c>
      <c r="O384" s="173" t="n">
        <v>3003087</v>
      </c>
    </row>
    <row r="385" customFormat="false" ht="12.75" hidden="false" customHeight="true" outlineLevel="0" collapsed="false">
      <c r="B385" s="177" t="s">
        <v>34</v>
      </c>
      <c r="C385" s="178" t="n">
        <v>2006</v>
      </c>
      <c r="D385" s="179" t="n">
        <v>9.95</v>
      </c>
      <c r="E385" s="179" t="n">
        <v>0.26</v>
      </c>
      <c r="F385" s="180" t="n">
        <v>23</v>
      </c>
      <c r="G385" s="181" t="n">
        <v>5.7137</v>
      </c>
      <c r="H385" s="181" t="n">
        <v>2.0794</v>
      </c>
      <c r="I385" s="180" t="n">
        <v>6753</v>
      </c>
      <c r="J385" s="181" t="n">
        <v>8.8177</v>
      </c>
      <c r="K385" s="182" t="n">
        <v>9.73</v>
      </c>
      <c r="L385" s="183" t="n">
        <v>0</v>
      </c>
      <c r="M385" s="183" t="n">
        <v>0</v>
      </c>
      <c r="N385" s="181" t="n">
        <v>74.9986</v>
      </c>
      <c r="O385" s="180" t="n">
        <v>3043760</v>
      </c>
    </row>
    <row r="386" customFormat="false" ht="12.75" hidden="false" customHeight="true" outlineLevel="0" collapsed="false">
      <c r="B386" s="170" t="s">
        <v>34</v>
      </c>
      <c r="C386" s="171" t="n">
        <v>2007</v>
      </c>
      <c r="D386" s="172" t="n">
        <v>14.63</v>
      </c>
      <c r="E386" s="172" t="n">
        <v>0.3</v>
      </c>
      <c r="F386" s="173" t="n">
        <v>32</v>
      </c>
      <c r="G386" s="174" t="n">
        <v>6.089</v>
      </c>
      <c r="H386" s="174" t="n">
        <v>2.1972</v>
      </c>
      <c r="I386" s="173" t="n">
        <v>7607</v>
      </c>
      <c r="J386" s="174" t="n">
        <v>8.9368</v>
      </c>
      <c r="K386" s="175" t="n">
        <v>10.05</v>
      </c>
      <c r="L386" s="176" t="n">
        <v>0</v>
      </c>
      <c r="M386" s="176" t="n">
        <v>0</v>
      </c>
      <c r="N386" s="174" t="n">
        <v>74.9986</v>
      </c>
      <c r="O386" s="173" t="n">
        <v>3013740</v>
      </c>
    </row>
    <row r="387" customFormat="false" ht="12.75" hidden="false" customHeight="true" outlineLevel="0" collapsed="false">
      <c r="B387" s="177" t="s">
        <v>34</v>
      </c>
      <c r="C387" s="178" t="n">
        <v>2008</v>
      </c>
      <c r="D387" s="179" t="n">
        <v>17.42</v>
      </c>
      <c r="E387" s="179" t="n">
        <v>0.23</v>
      </c>
      <c r="F387" s="180" t="n">
        <v>39</v>
      </c>
      <c r="G387" s="181" t="n">
        <v>6.2934</v>
      </c>
      <c r="H387" s="181" t="n">
        <v>1.9459</v>
      </c>
      <c r="I387" s="180" t="n">
        <v>8203</v>
      </c>
      <c r="J387" s="181" t="n">
        <v>9.0123</v>
      </c>
      <c r="K387" s="182" t="n">
        <v>8.63</v>
      </c>
      <c r="L387" s="183" t="n">
        <v>0</v>
      </c>
      <c r="M387" s="183" t="n">
        <v>0</v>
      </c>
      <c r="N387" s="181" t="n">
        <v>74.9986</v>
      </c>
      <c r="O387" s="180" t="n">
        <v>3106436</v>
      </c>
    </row>
    <row r="388" customFormat="false" ht="12.75" hidden="false" customHeight="true" outlineLevel="0" collapsed="false">
      <c r="B388" s="170" t="s">
        <v>34</v>
      </c>
      <c r="C388" s="171" t="n">
        <v>2009</v>
      </c>
      <c r="D388" s="172" t="n">
        <v>19.57</v>
      </c>
      <c r="E388" s="172" t="n">
        <v>0.32</v>
      </c>
      <c r="F388" s="173" t="n">
        <v>49</v>
      </c>
      <c r="G388" s="174" t="n">
        <v>6.42</v>
      </c>
      <c r="H388" s="174" t="n">
        <v>2.3026</v>
      </c>
      <c r="I388" s="173" t="n">
        <v>8894</v>
      </c>
      <c r="J388" s="174" t="n">
        <v>9.0931</v>
      </c>
      <c r="K388" s="175" t="n">
        <v>11.69</v>
      </c>
      <c r="L388" s="176" t="n">
        <v>0</v>
      </c>
      <c r="M388" s="176" t="n">
        <v>0</v>
      </c>
      <c r="N388" s="174" t="n">
        <v>74.9986</v>
      </c>
      <c r="O388" s="173" t="n">
        <v>3137541</v>
      </c>
    </row>
    <row r="389" customFormat="false" ht="12.75" hidden="false" customHeight="true" outlineLevel="0" collapsed="false">
      <c r="B389" s="177" t="s">
        <v>34</v>
      </c>
      <c r="C389" s="178" t="n">
        <v>2010</v>
      </c>
      <c r="D389" s="179" t="n">
        <v>19.41</v>
      </c>
      <c r="E389" s="179" t="n">
        <v>0.63</v>
      </c>
      <c r="F389" s="180" t="n">
        <v>69</v>
      </c>
      <c r="G389" s="181" t="n">
        <v>6.4216</v>
      </c>
      <c r="H389" s="181" t="n">
        <v>2.9957</v>
      </c>
      <c r="I389" s="180" t="n">
        <v>11422</v>
      </c>
      <c r="J389" s="181" t="n">
        <v>9.3433</v>
      </c>
      <c r="K389" s="182" t="n">
        <v>11.11</v>
      </c>
      <c r="L389" s="183" t="n">
        <v>0</v>
      </c>
      <c r="M389" s="183" t="n">
        <v>0</v>
      </c>
      <c r="N389" s="181" t="n">
        <v>74.9986</v>
      </c>
      <c r="O389" s="180" t="n">
        <v>3168027</v>
      </c>
    </row>
    <row r="390" customFormat="false" ht="12.75" hidden="false" customHeight="true" outlineLevel="0" collapsed="false">
      <c r="B390" s="170" t="s">
        <v>34</v>
      </c>
      <c r="C390" s="171" t="n">
        <v>2011</v>
      </c>
      <c r="D390" s="172" t="n">
        <v>24.35</v>
      </c>
      <c r="E390" s="172" t="n">
        <v>0.72</v>
      </c>
      <c r="F390" s="173" t="n">
        <v>92</v>
      </c>
      <c r="G390" s="174" t="n">
        <v>6.658</v>
      </c>
      <c r="H390" s="174" t="n">
        <v>3.1355</v>
      </c>
      <c r="I390" s="173" t="n">
        <v>12816</v>
      </c>
      <c r="J390" s="174" t="n">
        <v>9.4584</v>
      </c>
      <c r="K390" s="175" t="n">
        <v>10.53</v>
      </c>
      <c r="L390" s="176" t="n">
        <v>0</v>
      </c>
      <c r="M390" s="176" t="n">
        <v>0</v>
      </c>
      <c r="N390" s="174" t="n">
        <v>74.9986</v>
      </c>
      <c r="O390" s="173" t="n">
        <v>3198657</v>
      </c>
    </row>
    <row r="391" customFormat="false" ht="12.75" hidden="false" customHeight="true" outlineLevel="0" collapsed="false">
      <c r="B391" s="177" t="s">
        <v>34</v>
      </c>
      <c r="C391" s="178" t="n">
        <v>2012</v>
      </c>
      <c r="D391" s="179" t="n">
        <v>26.33</v>
      </c>
      <c r="E391" s="179" t="n">
        <v>1.46</v>
      </c>
      <c r="F391" s="180" t="n">
        <v>139</v>
      </c>
      <c r="G391" s="181" t="n">
        <v>6.7452</v>
      </c>
      <c r="H391" s="181" t="n">
        <v>3.8501</v>
      </c>
      <c r="I391" s="180" t="n">
        <v>14377</v>
      </c>
      <c r="J391" s="181" t="n">
        <v>9.5734</v>
      </c>
      <c r="K391" s="182" t="n">
        <v>8.12</v>
      </c>
      <c r="L391" s="183" t="n">
        <v>0</v>
      </c>
      <c r="M391" s="183" t="n">
        <v>0</v>
      </c>
      <c r="N391" s="181" t="n">
        <v>74.9986</v>
      </c>
      <c r="O391" s="180" t="n">
        <v>3228198</v>
      </c>
    </row>
    <row r="392" customFormat="false" ht="12.75" hidden="false" customHeight="true" outlineLevel="0" collapsed="false">
      <c r="B392" s="170" t="s">
        <v>34</v>
      </c>
      <c r="C392" s="171" t="n">
        <v>2013</v>
      </c>
      <c r="D392" s="172" t="n">
        <v>34.17</v>
      </c>
      <c r="E392" s="172" t="n">
        <v>1.13</v>
      </c>
      <c r="F392" s="173" t="n">
        <v>177</v>
      </c>
      <c r="G392" s="174" t="n">
        <v>7.0501</v>
      </c>
      <c r="H392" s="174" t="n">
        <v>3.6376</v>
      </c>
      <c r="I392" s="173" t="n">
        <v>15269</v>
      </c>
      <c r="J392" s="174" t="n">
        <v>9.6336</v>
      </c>
      <c r="K392" s="175" t="n">
        <v>11.82</v>
      </c>
      <c r="L392" s="176" t="n">
        <v>0</v>
      </c>
      <c r="M392" s="176" t="n">
        <v>0</v>
      </c>
      <c r="N392" s="174" t="n">
        <v>74.9986</v>
      </c>
      <c r="O392" s="173" t="n">
        <v>3373959</v>
      </c>
    </row>
    <row r="393" customFormat="false" ht="12.75" hidden="false" customHeight="true" outlineLevel="0" collapsed="false">
      <c r="B393" s="177" t="s">
        <v>34</v>
      </c>
      <c r="C393" s="178" t="n">
        <v>2014</v>
      </c>
      <c r="D393" s="179" t="n">
        <v>38.61</v>
      </c>
      <c r="E393" s="179" t="n">
        <v>0.97</v>
      </c>
      <c r="F393" s="180" t="n">
        <v>210</v>
      </c>
      <c r="G393" s="181" t="n">
        <v>7.1824</v>
      </c>
      <c r="H393" s="181" t="n">
        <v>3.4965</v>
      </c>
      <c r="I393" s="180" t="n">
        <v>15849</v>
      </c>
      <c r="J393" s="181" t="n">
        <v>9.6709</v>
      </c>
      <c r="K393" s="182" t="n">
        <v>12.14</v>
      </c>
      <c r="L393" s="183" t="n">
        <v>0</v>
      </c>
      <c r="M393" s="183" t="n">
        <v>0</v>
      </c>
      <c r="N393" s="181" t="n">
        <v>74.9986</v>
      </c>
      <c r="O393" s="180" t="n">
        <v>3408510</v>
      </c>
    </row>
    <row r="394" customFormat="false" ht="12.75" hidden="false" customHeight="true" outlineLevel="0" collapsed="false">
      <c r="B394" s="170" t="s">
        <v>34</v>
      </c>
      <c r="C394" s="171" t="n">
        <v>2015</v>
      </c>
      <c r="D394" s="172" t="n">
        <v>35.97</v>
      </c>
      <c r="E394" s="172" t="n">
        <v>0.32</v>
      </c>
      <c r="F394" s="173" t="n">
        <v>221</v>
      </c>
      <c r="G394" s="174" t="n">
        <v>7.1213</v>
      </c>
      <c r="H394" s="174" t="n">
        <v>2.3979</v>
      </c>
      <c r="I394" s="173" t="n">
        <v>16632</v>
      </c>
      <c r="J394" s="174" t="n">
        <v>9.7191</v>
      </c>
      <c r="K394" s="175" t="n">
        <v>12.1</v>
      </c>
      <c r="L394" s="176" t="n">
        <v>0</v>
      </c>
      <c r="M394" s="176" t="n">
        <v>0</v>
      </c>
      <c r="N394" s="174" t="n">
        <v>74.9986</v>
      </c>
      <c r="O394" s="173" t="n">
        <v>3442175</v>
      </c>
    </row>
    <row r="395" customFormat="false" ht="12.75" hidden="false" customHeight="true" outlineLevel="0" collapsed="false">
      <c r="B395" s="184" t="s">
        <v>34</v>
      </c>
      <c r="C395" s="185" t="n">
        <v>2016</v>
      </c>
      <c r="D395" s="186" t="n">
        <v>45.12</v>
      </c>
      <c r="E395" s="186" t="n">
        <v>2.19</v>
      </c>
      <c r="F395" s="187" t="n">
        <v>297</v>
      </c>
      <c r="G395" s="188" t="n">
        <v>7.3576</v>
      </c>
      <c r="H395" s="188" t="n">
        <v>4.3307</v>
      </c>
      <c r="I395" s="187" t="n">
        <v>17173</v>
      </c>
      <c r="J395" s="188" t="n">
        <v>9.7511</v>
      </c>
      <c r="K395" s="189" t="n">
        <v>14.3</v>
      </c>
      <c r="L395" s="190" t="n">
        <v>0</v>
      </c>
      <c r="M395" s="190" t="n">
        <v>0</v>
      </c>
      <c r="N395" s="188" t="n">
        <v>74.9986</v>
      </c>
      <c r="O395" s="187" t="n">
        <v>3474998</v>
      </c>
    </row>
    <row r="396" customFormat="false" ht="12.75" hidden="false" customHeight="true" outlineLevel="0" collapsed="false">
      <c r="B396" s="191" t="s">
        <v>34</v>
      </c>
      <c r="C396" s="192" t="n">
        <v>2017</v>
      </c>
      <c r="D396" s="193" t="n">
        <v>54.86</v>
      </c>
      <c r="E396" s="193" t="n">
        <v>2.22</v>
      </c>
      <c r="F396" s="194" t="n">
        <v>375</v>
      </c>
      <c r="G396" s="195" t="n">
        <v>7.5622</v>
      </c>
      <c r="H396" s="195" t="n">
        <v>4.3567</v>
      </c>
      <c r="I396" s="194" t="n">
        <v>18336</v>
      </c>
      <c r="J396" s="195" t="n">
        <v>9.8166</v>
      </c>
      <c r="K396" s="196" t="n">
        <v>14.7</v>
      </c>
      <c r="L396" s="197" t="n">
        <v>0</v>
      </c>
      <c r="M396" s="197" t="n">
        <v>0</v>
      </c>
      <c r="N396" s="195" t="n">
        <v>74.9986</v>
      </c>
      <c r="O396" s="194" t="n">
        <v>3507003</v>
      </c>
    </row>
    <row r="397" customFormat="false" ht="12.75" hidden="false" customHeight="true" outlineLevel="0" collapsed="false">
      <c r="B397" s="184" t="s">
        <v>34</v>
      </c>
      <c r="C397" s="185" t="n">
        <v>2018</v>
      </c>
      <c r="D397" s="186" t="n">
        <v>47.17</v>
      </c>
      <c r="E397" s="186" t="n">
        <v>3.08</v>
      </c>
      <c r="F397" s="187" t="n">
        <v>482</v>
      </c>
      <c r="G397" s="188" t="n">
        <v>7.4031</v>
      </c>
      <c r="H397" s="188" t="n">
        <v>4.6728</v>
      </c>
      <c r="I397" s="187" t="n">
        <v>19250</v>
      </c>
      <c r="J397" s="188" t="n">
        <v>9.8653</v>
      </c>
      <c r="K397" s="189" t="n">
        <v>13.7</v>
      </c>
      <c r="L397" s="190" t="n">
        <v>0</v>
      </c>
      <c r="M397" s="190" t="n">
        <v>0</v>
      </c>
      <c r="N397" s="188" t="n">
        <v>74.9986</v>
      </c>
      <c r="O397" s="187" t="n">
        <v>3479010</v>
      </c>
    </row>
    <row r="398" customFormat="false" ht="12.75" hidden="false" customHeight="true" outlineLevel="0" collapsed="false">
      <c r="B398" s="191" t="s">
        <v>34</v>
      </c>
      <c r="C398" s="192" t="n">
        <v>2019</v>
      </c>
      <c r="D398" s="193" t="n">
        <v>33.56</v>
      </c>
      <c r="E398" s="193" t="n">
        <v>26.78</v>
      </c>
      <c r="F398" s="194" t="n">
        <v>1421</v>
      </c>
      <c r="G398" s="195" t="n">
        <v>7.0707</v>
      </c>
      <c r="H398" s="195" t="n">
        <v>6.8448</v>
      </c>
      <c r="I398" s="194" t="n">
        <v>20342</v>
      </c>
      <c r="J398" s="195" t="n">
        <v>9.9204</v>
      </c>
      <c r="K398" s="196" t="n">
        <v>13.3</v>
      </c>
      <c r="L398" s="197" t="n">
        <v>0</v>
      </c>
      <c r="M398" s="197" t="n">
        <v>0</v>
      </c>
      <c r="N398" s="195" t="n">
        <v>74.9986</v>
      </c>
      <c r="O398" s="194" t="n">
        <v>3506853</v>
      </c>
    </row>
    <row r="399" customFormat="false" ht="12.75" hidden="false" customHeight="true" outlineLevel="0" collapsed="false">
      <c r="B399" s="184" t="s">
        <v>34</v>
      </c>
      <c r="C399" s="185" t="n">
        <v>2020</v>
      </c>
      <c r="D399" s="186" t="n">
        <v>34.8</v>
      </c>
      <c r="E399" s="186" t="n">
        <v>33.42</v>
      </c>
      <c r="F399" s="187" t="n">
        <v>2602</v>
      </c>
      <c r="G399" s="188" t="n">
        <v>7.1148</v>
      </c>
      <c r="H399" s="188" t="n">
        <v>7.0741</v>
      </c>
      <c r="I399" s="187" t="n">
        <v>20253</v>
      </c>
      <c r="J399" s="188" t="n">
        <v>9.9161</v>
      </c>
      <c r="K399" s="189" t="n">
        <v>16.1</v>
      </c>
      <c r="L399" s="190" t="n">
        <v>0</v>
      </c>
      <c r="M399" s="190" t="n">
        <v>1</v>
      </c>
      <c r="N399" s="188" t="n">
        <v>74.9986</v>
      </c>
      <c r="O399" s="187" t="n">
        <v>3534165</v>
      </c>
    </row>
    <row r="400" customFormat="false" ht="12.75" hidden="false" customHeight="true" outlineLevel="0" collapsed="false">
      <c r="B400" s="191" t="s">
        <v>34</v>
      </c>
      <c r="C400" s="192" t="n">
        <v>2021</v>
      </c>
      <c r="D400" s="193" t="n">
        <v>28.48</v>
      </c>
      <c r="E400" s="193" t="n">
        <v>54.26</v>
      </c>
      <c r="F400" s="194" t="n">
        <v>4534</v>
      </c>
      <c r="G400" s="195" t="n">
        <v>6.9217</v>
      </c>
      <c r="H400" s="195" t="n">
        <v>7.5663</v>
      </c>
      <c r="I400" s="194" t="n">
        <v>22517</v>
      </c>
      <c r="J400" s="195" t="n">
        <v>10.022</v>
      </c>
      <c r="K400" s="196" t="n">
        <v>14.9</v>
      </c>
      <c r="L400" s="197" t="n">
        <v>0</v>
      </c>
      <c r="M400" s="197" t="n">
        <v>1</v>
      </c>
      <c r="N400" s="195" t="n">
        <v>74.9986</v>
      </c>
      <c r="O400" s="194" t="n">
        <v>3560903</v>
      </c>
    </row>
    <row r="401" customFormat="false" ht="12.75" hidden="false" customHeight="true" outlineLevel="0" collapsed="false">
      <c r="B401" s="184" t="s">
        <v>34</v>
      </c>
      <c r="C401" s="185" t="n">
        <v>2022</v>
      </c>
      <c r="D401" s="186" t="n">
        <v>29.22</v>
      </c>
      <c r="E401" s="186" t="n">
        <v>75</v>
      </c>
      <c r="F401" s="187" t="n">
        <v>7011</v>
      </c>
      <c r="G401" s="188" t="n">
        <v>6.8721</v>
      </c>
      <c r="H401" s="188" t="n">
        <v>7.8148</v>
      </c>
      <c r="I401" s="187" t="n">
        <v>28407</v>
      </c>
      <c r="J401" s="188" t="n">
        <v>10.2544</v>
      </c>
      <c r="K401" s="189" t="n">
        <v>11.7</v>
      </c>
      <c r="L401" s="190" t="n">
        <v>0</v>
      </c>
      <c r="M401" s="190" t="n">
        <v>0</v>
      </c>
      <c r="N401" s="188" t="n">
        <v>74.9986</v>
      </c>
      <c r="O401" s="187" t="n">
        <v>3302729</v>
      </c>
    </row>
    <row r="402" customFormat="false" ht="12.75" hidden="false" customHeight="true" outlineLevel="0" collapsed="false">
      <c r="B402" s="191" t="s">
        <v>34</v>
      </c>
      <c r="C402" s="192" t="n">
        <v>2023</v>
      </c>
      <c r="D402" s="193" t="n">
        <v>21.38</v>
      </c>
      <c r="E402" s="193" t="n">
        <v>0.09</v>
      </c>
      <c r="F402" s="194" t="n">
        <v>7014</v>
      </c>
      <c r="G402" s="195" t="n">
        <v>6.5596</v>
      </c>
      <c r="H402" s="195" t="n">
        <v>1.0986</v>
      </c>
      <c r="I402" s="194" t="n">
        <v>30805</v>
      </c>
      <c r="J402" s="195" t="n">
        <v>10.3354</v>
      </c>
      <c r="K402" s="196" t="n">
        <v>10.3</v>
      </c>
      <c r="L402" s="197" t="n">
        <v>1</v>
      </c>
      <c r="M402" s="197" t="n">
        <v>0</v>
      </c>
      <c r="N402" s="195" t="n">
        <v>74.9986</v>
      </c>
      <c r="O402" s="194" t="n">
        <v>3302729</v>
      </c>
    </row>
    <row r="403" customFormat="false" ht="12.75" hidden="false" customHeight="true" outlineLevel="0" collapsed="false">
      <c r="B403" s="184" t="s">
        <v>34</v>
      </c>
      <c r="C403" s="185" t="n">
        <v>2024</v>
      </c>
      <c r="D403" s="186" t="n">
        <v>17.59</v>
      </c>
      <c r="E403" s="186" t="n">
        <v>18.92</v>
      </c>
      <c r="F403" s="187" t="n">
        <v>7666</v>
      </c>
      <c r="G403" s="188" t="n">
        <v>6.4069</v>
      </c>
      <c r="H403" s="188" t="n">
        <v>6.48</v>
      </c>
      <c r="I403" s="187" t="n">
        <v>32670</v>
      </c>
      <c r="J403" s="188" t="n">
        <v>10.3942</v>
      </c>
      <c r="K403" s="189" t="n">
        <v>9.1</v>
      </c>
      <c r="L403" s="190" t="n">
        <v>1</v>
      </c>
      <c r="M403" s="190" t="n">
        <v>0</v>
      </c>
      <c r="N403" s="188" t="n">
        <v>74.9986</v>
      </c>
      <c r="O403" s="187" t="n">
        <v>3446071</v>
      </c>
    </row>
    <row r="404" customFormat="false" ht="12.75" hidden="false" customHeight="true" outlineLevel="0" collapsed="false">
      <c r="B404" s="170" t="s">
        <v>35</v>
      </c>
      <c r="C404" s="171" t="n">
        <v>2005</v>
      </c>
      <c r="D404" s="172" t="n">
        <v>24.05</v>
      </c>
      <c r="E404" s="172" t="n">
        <v>0</v>
      </c>
      <c r="F404" s="173" t="n">
        <v>0</v>
      </c>
      <c r="G404" s="174" t="n">
        <v>5.9108</v>
      </c>
      <c r="H404" s="174"/>
      <c r="I404" s="173" t="n">
        <v>8396</v>
      </c>
      <c r="J404" s="174" t="n">
        <v>9.0355</v>
      </c>
      <c r="K404" s="175" t="n">
        <v>7.68</v>
      </c>
      <c r="L404" s="176" t="n">
        <v>0</v>
      </c>
      <c r="M404" s="176" t="n">
        <v>0</v>
      </c>
      <c r="N404" s="174" t="n">
        <v>351.0001</v>
      </c>
      <c r="O404" s="173" t="n">
        <v>1534594</v>
      </c>
    </row>
    <row r="405" customFormat="false" ht="12.75" hidden="false" customHeight="true" outlineLevel="0" collapsed="false">
      <c r="B405" s="177" t="s">
        <v>35</v>
      </c>
      <c r="C405" s="178" t="n">
        <v>2006</v>
      </c>
      <c r="D405" s="179" t="n">
        <v>24.83</v>
      </c>
      <c r="E405" s="179" t="n">
        <v>0.13</v>
      </c>
      <c r="F405" s="180" t="n">
        <v>2</v>
      </c>
      <c r="G405" s="181" t="n">
        <v>5.961</v>
      </c>
      <c r="H405" s="181" t="n">
        <v>0.6931</v>
      </c>
      <c r="I405" s="180" t="n">
        <v>8389</v>
      </c>
      <c r="J405" s="181" t="n">
        <v>9.0347</v>
      </c>
      <c r="K405" s="182" t="n">
        <v>7.72</v>
      </c>
      <c r="L405" s="183" t="n">
        <v>0</v>
      </c>
      <c r="M405" s="183" t="n">
        <v>0</v>
      </c>
      <c r="N405" s="181" t="n">
        <v>351.0001</v>
      </c>
      <c r="O405" s="180" t="n">
        <v>1562417</v>
      </c>
    </row>
    <row r="406" customFormat="false" ht="12.75" hidden="false" customHeight="true" outlineLevel="0" collapsed="false">
      <c r="B406" s="170" t="s">
        <v>35</v>
      </c>
      <c r="C406" s="171" t="n">
        <v>2007</v>
      </c>
      <c r="D406" s="172" t="n">
        <v>22.22</v>
      </c>
      <c r="E406" s="172" t="n">
        <v>0</v>
      </c>
      <c r="F406" s="173" t="n">
        <v>2</v>
      </c>
      <c r="G406" s="174" t="n">
        <v>5.7777</v>
      </c>
      <c r="H406" s="174"/>
      <c r="I406" s="173" t="n">
        <v>10320</v>
      </c>
      <c r="J406" s="174" t="n">
        <v>9.2418</v>
      </c>
      <c r="K406" s="175" t="n">
        <v>8.37</v>
      </c>
      <c r="L406" s="176" t="n">
        <v>0</v>
      </c>
      <c r="M406" s="176" t="n">
        <v>0</v>
      </c>
      <c r="N406" s="174" t="n">
        <v>351.0001</v>
      </c>
      <c r="O406" s="173" t="n">
        <v>1453756</v>
      </c>
    </row>
    <row r="407" customFormat="false" ht="12.75" hidden="false" customHeight="true" outlineLevel="0" collapsed="false">
      <c r="B407" s="177" t="s">
        <v>35</v>
      </c>
      <c r="C407" s="178" t="n">
        <v>2008</v>
      </c>
      <c r="D407" s="179" t="n">
        <v>18.95</v>
      </c>
      <c r="E407" s="179" t="n">
        <v>0</v>
      </c>
      <c r="F407" s="180" t="n">
        <v>2</v>
      </c>
      <c r="G407" s="181" t="n">
        <v>5.6454</v>
      </c>
      <c r="H407" s="181"/>
      <c r="I407" s="180" t="n">
        <v>11977</v>
      </c>
      <c r="J407" s="181" t="n">
        <v>9.3907</v>
      </c>
      <c r="K407" s="182" t="n">
        <v>8.05</v>
      </c>
      <c r="L407" s="183" t="n">
        <v>0</v>
      </c>
      <c r="M407" s="183" t="n">
        <v>0</v>
      </c>
      <c r="N407" s="181" t="n">
        <v>351.0001</v>
      </c>
      <c r="O407" s="180" t="n">
        <v>1493565</v>
      </c>
    </row>
    <row r="408" customFormat="false" ht="12.75" hidden="false" customHeight="true" outlineLevel="0" collapsed="false">
      <c r="B408" s="170" t="s">
        <v>35</v>
      </c>
      <c r="C408" s="171" t="n">
        <v>2009</v>
      </c>
      <c r="D408" s="172" t="n">
        <v>23.21</v>
      </c>
      <c r="E408" s="172" t="n">
        <v>0</v>
      </c>
      <c r="F408" s="173" t="n">
        <v>2</v>
      </c>
      <c r="G408" s="174" t="n">
        <v>5.8551</v>
      </c>
      <c r="H408" s="174"/>
      <c r="I408" s="173" t="n">
        <v>13455</v>
      </c>
      <c r="J408" s="174" t="n">
        <v>9.5071</v>
      </c>
      <c r="K408" s="175" t="n">
        <v>9.12</v>
      </c>
      <c r="L408" s="176" t="n">
        <v>0</v>
      </c>
      <c r="M408" s="176" t="n">
        <v>0</v>
      </c>
      <c r="N408" s="174" t="n">
        <v>351.0001</v>
      </c>
      <c r="O408" s="173" t="n">
        <v>1503928</v>
      </c>
    </row>
    <row r="409" customFormat="false" ht="12.75" hidden="false" customHeight="true" outlineLevel="0" collapsed="false">
      <c r="B409" s="177" t="s">
        <v>35</v>
      </c>
      <c r="C409" s="178" t="n">
        <v>2010</v>
      </c>
      <c r="D409" s="179" t="n">
        <v>22.27</v>
      </c>
      <c r="E409" s="179" t="n">
        <v>0.51</v>
      </c>
      <c r="F409" s="180" t="n">
        <v>10</v>
      </c>
      <c r="G409" s="181" t="n">
        <v>5.8522</v>
      </c>
      <c r="H409" s="181" t="n">
        <v>2.0794</v>
      </c>
      <c r="I409" s="180" t="n">
        <v>15302</v>
      </c>
      <c r="J409" s="181" t="n">
        <v>9.6357</v>
      </c>
      <c r="K409" s="182" t="n">
        <v>6.66</v>
      </c>
      <c r="L409" s="183" t="n">
        <v>0</v>
      </c>
      <c r="M409" s="183" t="n">
        <v>0</v>
      </c>
      <c r="N409" s="181" t="n">
        <v>351.0001</v>
      </c>
      <c r="O409" s="180" t="n">
        <v>1562409</v>
      </c>
    </row>
    <row r="410" customFormat="false" ht="12.75" hidden="false" customHeight="true" outlineLevel="0" collapsed="false">
      <c r="B410" s="170" t="s">
        <v>35</v>
      </c>
      <c r="C410" s="171" t="n">
        <v>2011</v>
      </c>
      <c r="D410" s="172" t="n">
        <v>18.08</v>
      </c>
      <c r="E410" s="172" t="n">
        <v>0.06</v>
      </c>
      <c r="F410" s="173" t="n">
        <v>11</v>
      </c>
      <c r="G410" s="174" t="n">
        <v>5.6525</v>
      </c>
      <c r="H410" s="174" t="n">
        <v>0</v>
      </c>
      <c r="I410" s="173" t="n">
        <v>17492</v>
      </c>
      <c r="J410" s="174" t="n">
        <v>9.7695</v>
      </c>
      <c r="K410" s="175" t="n">
        <v>4.21</v>
      </c>
      <c r="L410" s="176" t="n">
        <v>0</v>
      </c>
      <c r="M410" s="176" t="n">
        <v>0</v>
      </c>
      <c r="N410" s="174" t="n">
        <v>351.0001</v>
      </c>
      <c r="O410" s="173" t="n">
        <v>1576455</v>
      </c>
    </row>
    <row r="411" customFormat="false" ht="12.75" hidden="false" customHeight="true" outlineLevel="0" collapsed="false">
      <c r="B411" s="177" t="s">
        <v>35</v>
      </c>
      <c r="C411" s="178" t="n">
        <v>2012</v>
      </c>
      <c r="D411" s="179" t="n">
        <v>21.26</v>
      </c>
      <c r="E411" s="179" t="n">
        <v>0.13</v>
      </c>
      <c r="F411" s="180" t="n">
        <v>13</v>
      </c>
      <c r="G411" s="181" t="n">
        <v>5.823</v>
      </c>
      <c r="H411" s="181" t="n">
        <v>0.6931</v>
      </c>
      <c r="I411" s="180" t="n">
        <v>18939</v>
      </c>
      <c r="J411" s="181" t="n">
        <v>9.849</v>
      </c>
      <c r="K411" s="182" t="n">
        <v>6.39</v>
      </c>
      <c r="L411" s="183" t="n">
        <v>0</v>
      </c>
      <c r="M411" s="183" t="n">
        <v>0</v>
      </c>
      <c r="N411" s="181" t="n">
        <v>351.0001</v>
      </c>
      <c r="O411" s="180" t="n">
        <v>1590011</v>
      </c>
    </row>
    <row r="412" customFormat="false" ht="12.75" hidden="false" customHeight="true" outlineLevel="0" collapsed="false">
      <c r="B412" s="170" t="s">
        <v>35</v>
      </c>
      <c r="C412" s="171" t="n">
        <v>2013</v>
      </c>
      <c r="D412" s="172" t="n">
        <v>17.36</v>
      </c>
      <c r="E412" s="172" t="n">
        <v>0</v>
      </c>
      <c r="F412" s="173" t="n">
        <v>13</v>
      </c>
      <c r="G412" s="174" t="n">
        <v>5.7038</v>
      </c>
      <c r="H412" s="174"/>
      <c r="I412" s="173" t="n">
        <v>18008</v>
      </c>
      <c r="J412" s="174" t="n">
        <v>9.7986</v>
      </c>
      <c r="K412" s="175" t="n">
        <v>6.1</v>
      </c>
      <c r="L412" s="176" t="n">
        <v>0</v>
      </c>
      <c r="M412" s="176" t="n">
        <v>0</v>
      </c>
      <c r="N412" s="174" t="n">
        <v>351.0001</v>
      </c>
      <c r="O412" s="173" t="n">
        <v>1728214</v>
      </c>
    </row>
    <row r="413" customFormat="false" ht="12.75" hidden="false" customHeight="true" outlineLevel="0" collapsed="false">
      <c r="B413" s="177" t="s">
        <v>35</v>
      </c>
      <c r="C413" s="178" t="n">
        <v>2014</v>
      </c>
      <c r="D413" s="179" t="n">
        <v>22.76</v>
      </c>
      <c r="E413" s="179" t="n">
        <v>0.17</v>
      </c>
      <c r="F413" s="180" t="n">
        <v>16</v>
      </c>
      <c r="G413" s="181" t="n">
        <v>5.9865</v>
      </c>
      <c r="H413" s="181" t="n">
        <v>1.0986</v>
      </c>
      <c r="I413" s="180" t="n">
        <v>19463</v>
      </c>
      <c r="J413" s="181" t="n">
        <v>9.8763</v>
      </c>
      <c r="K413" s="182" t="n">
        <v>5.41</v>
      </c>
      <c r="L413" s="183" t="n">
        <v>0</v>
      </c>
      <c r="M413" s="183" t="n">
        <v>0</v>
      </c>
      <c r="N413" s="181" t="n">
        <v>351.0001</v>
      </c>
      <c r="O413" s="180" t="n">
        <v>1748531</v>
      </c>
    </row>
    <row r="414" customFormat="false" ht="12.75" hidden="false" customHeight="true" outlineLevel="0" collapsed="false">
      <c r="B414" s="170" t="s">
        <v>35</v>
      </c>
      <c r="C414" s="171" t="n">
        <v>2015</v>
      </c>
      <c r="D414" s="172" t="n">
        <v>21.6</v>
      </c>
      <c r="E414" s="172" t="n">
        <v>0.23</v>
      </c>
      <c r="F414" s="173" t="n">
        <v>20</v>
      </c>
      <c r="G414" s="174" t="n">
        <v>5.9454</v>
      </c>
      <c r="H414" s="174" t="n">
        <v>1.3863</v>
      </c>
      <c r="I414" s="173" t="n">
        <v>20678</v>
      </c>
      <c r="J414" s="174" t="n">
        <v>9.9368</v>
      </c>
      <c r="K414" s="175" t="n">
        <v>5.7</v>
      </c>
      <c r="L414" s="176" t="n">
        <v>0</v>
      </c>
      <c r="M414" s="176" t="n">
        <v>0</v>
      </c>
      <c r="N414" s="174" t="n">
        <v>351.0001</v>
      </c>
      <c r="O414" s="173" t="n">
        <v>1768204</v>
      </c>
    </row>
    <row r="415" customFormat="false" ht="12.75" hidden="false" customHeight="true" outlineLevel="0" collapsed="false">
      <c r="B415" s="184" t="s">
        <v>35</v>
      </c>
      <c r="C415" s="185" t="n">
        <v>2016</v>
      </c>
      <c r="D415" s="186" t="n">
        <v>26.02</v>
      </c>
      <c r="E415" s="186" t="n">
        <v>4.7</v>
      </c>
      <c r="F415" s="187" t="n">
        <v>104</v>
      </c>
      <c r="G415" s="188" t="n">
        <v>6.142</v>
      </c>
      <c r="H415" s="188" t="n">
        <v>4.4308</v>
      </c>
      <c r="I415" s="187" t="n">
        <v>22078</v>
      </c>
      <c r="J415" s="188" t="n">
        <v>10.0023</v>
      </c>
      <c r="K415" s="189" t="n">
        <v>8</v>
      </c>
      <c r="L415" s="190" t="n">
        <v>0</v>
      </c>
      <c r="M415" s="190" t="n">
        <v>0</v>
      </c>
      <c r="N415" s="188" t="n">
        <v>351.0001</v>
      </c>
      <c r="O415" s="187" t="n">
        <v>1787279</v>
      </c>
    </row>
    <row r="416" customFormat="false" ht="12.75" hidden="false" customHeight="true" outlineLevel="0" collapsed="false">
      <c r="B416" s="191" t="s">
        <v>35</v>
      </c>
      <c r="C416" s="192" t="n">
        <v>2017</v>
      </c>
      <c r="D416" s="193" t="n">
        <v>20.82</v>
      </c>
      <c r="E416" s="193" t="n">
        <v>4.87</v>
      </c>
      <c r="F416" s="194" t="n">
        <v>192</v>
      </c>
      <c r="G416" s="195" t="n">
        <v>5.9296</v>
      </c>
      <c r="H416" s="195" t="n">
        <v>4.4773</v>
      </c>
      <c r="I416" s="194" t="n">
        <v>24098</v>
      </c>
      <c r="J416" s="195" t="n">
        <v>10.0899</v>
      </c>
      <c r="K416" s="196" t="n">
        <v>8.2</v>
      </c>
      <c r="L416" s="197" t="n">
        <v>0</v>
      </c>
      <c r="M416" s="197" t="n">
        <v>0</v>
      </c>
      <c r="N416" s="195" t="n">
        <v>351.0001</v>
      </c>
      <c r="O416" s="194" t="n">
        <v>1805788</v>
      </c>
    </row>
    <row r="417" customFormat="false" ht="12.75" hidden="false" customHeight="true" outlineLevel="0" collapsed="false">
      <c r="B417" s="184" t="s">
        <v>35</v>
      </c>
      <c r="C417" s="185" t="n">
        <v>2018</v>
      </c>
      <c r="D417" s="186" t="n">
        <v>17.18</v>
      </c>
      <c r="E417" s="186" t="n">
        <v>11.78</v>
      </c>
      <c r="F417" s="187" t="n">
        <v>399</v>
      </c>
      <c r="G417" s="188" t="n">
        <v>5.7104</v>
      </c>
      <c r="H417" s="188" t="n">
        <v>5.3327</v>
      </c>
      <c r="I417" s="187" t="n">
        <v>25554</v>
      </c>
      <c r="J417" s="188" t="n">
        <v>10.1485</v>
      </c>
      <c r="K417" s="189" t="n">
        <v>9.2</v>
      </c>
      <c r="L417" s="190" t="n">
        <v>0</v>
      </c>
      <c r="M417" s="190" t="n">
        <v>0</v>
      </c>
      <c r="N417" s="188" t="n">
        <v>351.0001</v>
      </c>
      <c r="O417" s="187" t="n">
        <v>1757589</v>
      </c>
    </row>
    <row r="418" customFormat="false" ht="12.75" hidden="false" customHeight="true" outlineLevel="0" collapsed="false">
      <c r="B418" s="191" t="s">
        <v>35</v>
      </c>
      <c r="C418" s="192" t="n">
        <v>2019</v>
      </c>
      <c r="D418" s="193" t="n">
        <v>14.52</v>
      </c>
      <c r="E418" s="193" t="n">
        <v>53.79</v>
      </c>
      <c r="F418" s="194" t="n">
        <v>1355</v>
      </c>
      <c r="G418" s="195" t="n">
        <v>5.553</v>
      </c>
      <c r="H418" s="195" t="n">
        <v>6.8628</v>
      </c>
      <c r="I418" s="194" t="n">
        <v>26497</v>
      </c>
      <c r="J418" s="195" t="n">
        <v>10.1848</v>
      </c>
      <c r="K418" s="196" t="n">
        <v>8.1</v>
      </c>
      <c r="L418" s="197" t="n">
        <v>0</v>
      </c>
      <c r="M418" s="197" t="n">
        <v>0</v>
      </c>
      <c r="N418" s="195" t="n">
        <v>351.0001</v>
      </c>
      <c r="O418" s="194" t="n">
        <v>1777225</v>
      </c>
    </row>
    <row r="419" customFormat="false" ht="12.75" hidden="false" customHeight="true" outlineLevel="0" collapsed="false">
      <c r="B419" s="184" t="s">
        <v>35</v>
      </c>
      <c r="C419" s="185" t="n">
        <v>2020</v>
      </c>
      <c r="D419" s="186" t="n">
        <v>14.25</v>
      </c>
      <c r="E419" s="186" t="n">
        <v>105.71</v>
      </c>
      <c r="F419" s="187" t="n">
        <v>3254</v>
      </c>
      <c r="G419" s="188" t="n">
        <v>5.5452</v>
      </c>
      <c r="H419" s="188" t="n">
        <v>7.5491</v>
      </c>
      <c r="I419" s="187" t="n">
        <v>28722</v>
      </c>
      <c r="J419" s="188" t="n">
        <v>10.2654</v>
      </c>
      <c r="K419" s="189" t="n">
        <v>10.6</v>
      </c>
      <c r="L419" s="190" t="n">
        <v>0</v>
      </c>
      <c r="M419" s="190" t="n">
        <v>1</v>
      </c>
      <c r="N419" s="188" t="n">
        <v>351.0001</v>
      </c>
      <c r="O419" s="187" t="n">
        <v>1796460</v>
      </c>
    </row>
    <row r="420" customFormat="false" ht="12.75" hidden="false" customHeight="true" outlineLevel="0" collapsed="false">
      <c r="B420" s="191" t="s">
        <v>35</v>
      </c>
      <c r="C420" s="192" t="n">
        <v>2021</v>
      </c>
      <c r="D420" s="193" t="n">
        <v>17.85</v>
      </c>
      <c r="E420" s="193" t="n">
        <v>195.18</v>
      </c>
      <c r="F420" s="194" t="n">
        <v>6797</v>
      </c>
      <c r="G420" s="195" t="n">
        <v>5.7807</v>
      </c>
      <c r="H420" s="195" t="n">
        <v>8.1727</v>
      </c>
      <c r="I420" s="194" t="n">
        <v>32045</v>
      </c>
      <c r="J420" s="195" t="n">
        <v>10.3749</v>
      </c>
      <c r="K420" s="196" t="n">
        <v>8.9</v>
      </c>
      <c r="L420" s="197" t="n">
        <v>0</v>
      </c>
      <c r="M420" s="197" t="n">
        <v>1</v>
      </c>
      <c r="N420" s="195" t="n">
        <v>351.0001</v>
      </c>
      <c r="O420" s="194" t="n">
        <v>1815278</v>
      </c>
    </row>
    <row r="421" customFormat="false" ht="12.75" hidden="false" customHeight="true" outlineLevel="0" collapsed="false">
      <c r="B421" s="184" t="s">
        <v>35</v>
      </c>
      <c r="C421" s="185" t="n">
        <v>2022</v>
      </c>
      <c r="D421" s="186" t="n">
        <v>23.91</v>
      </c>
      <c r="E421" s="186" t="n">
        <v>351</v>
      </c>
      <c r="F421" s="187" t="n">
        <v>12347</v>
      </c>
      <c r="G421" s="188" t="n">
        <v>5.9349</v>
      </c>
      <c r="H421" s="188" t="n">
        <v>8.6216</v>
      </c>
      <c r="I421" s="187" t="n">
        <v>42244</v>
      </c>
      <c r="J421" s="188" t="n">
        <v>10.6512</v>
      </c>
      <c r="K421" s="189" t="n">
        <v>4.9</v>
      </c>
      <c r="L421" s="190" t="n">
        <v>0</v>
      </c>
      <c r="M421" s="190" t="n">
        <v>0</v>
      </c>
      <c r="N421" s="188" t="n">
        <v>351.0001</v>
      </c>
      <c r="O421" s="187" t="n">
        <v>1581196</v>
      </c>
    </row>
    <row r="422" customFormat="false" ht="12.75" hidden="false" customHeight="true" outlineLevel="0" collapsed="false">
      <c r="B422" s="191" t="s">
        <v>35</v>
      </c>
      <c r="C422" s="192" t="n">
        <v>2023</v>
      </c>
      <c r="D422" s="193" t="n">
        <v>20.68</v>
      </c>
      <c r="E422" s="193" t="n">
        <v>0.51</v>
      </c>
      <c r="F422" s="194" t="n">
        <v>12355</v>
      </c>
      <c r="G422" s="195" t="n">
        <v>5.79</v>
      </c>
      <c r="H422" s="195" t="n">
        <v>2.0794</v>
      </c>
      <c r="I422" s="194" t="n">
        <v>48353</v>
      </c>
      <c r="J422" s="195" t="n">
        <v>10.7863</v>
      </c>
      <c r="K422" s="196" t="n">
        <v>2.9</v>
      </c>
      <c r="L422" s="197" t="n">
        <v>1</v>
      </c>
      <c r="M422" s="197" t="n">
        <v>0</v>
      </c>
      <c r="N422" s="195" t="n">
        <v>351.0001</v>
      </c>
      <c r="O422" s="194" t="n">
        <v>1581196</v>
      </c>
    </row>
    <row r="423" customFormat="false" ht="12.75" hidden="false" customHeight="true" outlineLevel="0" collapsed="false">
      <c r="B423" s="184" t="s">
        <v>35</v>
      </c>
      <c r="C423" s="185" t="n">
        <v>2024</v>
      </c>
      <c r="D423" s="186" t="n">
        <v>18.96</v>
      </c>
      <c r="E423" s="186" t="n">
        <v>21.65</v>
      </c>
      <c r="F423" s="187" t="n">
        <v>12733</v>
      </c>
      <c r="G423" s="188" t="n">
        <v>5.8021</v>
      </c>
      <c r="H423" s="188" t="n">
        <v>5.9349</v>
      </c>
      <c r="I423" s="187" t="n">
        <v>48766</v>
      </c>
      <c r="J423" s="188" t="n">
        <v>10.7948</v>
      </c>
      <c r="K423" s="189" t="n">
        <v>2.9</v>
      </c>
      <c r="L423" s="190" t="n">
        <v>1</v>
      </c>
      <c r="M423" s="190" t="n">
        <v>0</v>
      </c>
      <c r="N423" s="188" t="n">
        <v>351.0001</v>
      </c>
      <c r="O423" s="187" t="n">
        <v>1746227</v>
      </c>
    </row>
    <row r="424" customFormat="false" ht="12.75" hidden="false" customHeight="true" outlineLevel="0" collapsed="false">
      <c r="B424" s="170" t="s">
        <v>36</v>
      </c>
      <c r="C424" s="171" t="n">
        <v>2005</v>
      </c>
      <c r="D424" s="172" t="n">
        <v>7.16</v>
      </c>
      <c r="E424" s="172" t="n">
        <v>0.51</v>
      </c>
      <c r="F424" s="173" t="n">
        <v>2</v>
      </c>
      <c r="G424" s="174" t="n">
        <v>3.3322</v>
      </c>
      <c r="H424" s="174" t="n">
        <v>0.6931</v>
      </c>
      <c r="I424" s="173" t="n">
        <v>8124</v>
      </c>
      <c r="J424" s="174" t="n">
        <v>9.0026</v>
      </c>
      <c r="K424" s="175" t="n">
        <v>16.89</v>
      </c>
      <c r="L424" s="176" t="n">
        <v>0</v>
      </c>
      <c r="M424" s="176" t="n">
        <v>0</v>
      </c>
      <c r="N424" s="174" t="n">
        <v>80.8849</v>
      </c>
      <c r="O424" s="173" t="n">
        <v>391317</v>
      </c>
    </row>
    <row r="425" customFormat="false" ht="12.75" hidden="false" customHeight="true" outlineLevel="0" collapsed="false">
      <c r="B425" s="177" t="s">
        <v>36</v>
      </c>
      <c r="C425" s="178" t="n">
        <v>2006</v>
      </c>
      <c r="D425" s="179" t="n">
        <v>9.42</v>
      </c>
      <c r="E425" s="179" t="n">
        <v>0</v>
      </c>
      <c r="F425" s="180" t="n">
        <v>2</v>
      </c>
      <c r="G425" s="181" t="n">
        <v>3.6376</v>
      </c>
      <c r="H425" s="181"/>
      <c r="I425" s="180" t="n">
        <v>9074</v>
      </c>
      <c r="J425" s="181" t="n">
        <v>9.1132</v>
      </c>
      <c r="K425" s="182" t="n">
        <v>9.91</v>
      </c>
      <c r="L425" s="183" t="n">
        <v>0</v>
      </c>
      <c r="M425" s="183" t="n">
        <v>0</v>
      </c>
      <c r="N425" s="181" t="n">
        <v>80.8849</v>
      </c>
      <c r="O425" s="180" t="n">
        <v>403344</v>
      </c>
    </row>
    <row r="426" customFormat="false" ht="12.75" hidden="false" customHeight="true" outlineLevel="0" collapsed="false">
      <c r="B426" s="170" t="s">
        <v>36</v>
      </c>
      <c r="C426" s="171" t="n">
        <v>2007</v>
      </c>
      <c r="D426" s="172" t="n">
        <v>7.08</v>
      </c>
      <c r="E426" s="172" t="n">
        <v>0</v>
      </c>
      <c r="F426" s="173" t="n">
        <v>2</v>
      </c>
      <c r="G426" s="174" t="n">
        <v>3.3322</v>
      </c>
      <c r="H426" s="174"/>
      <c r="I426" s="173" t="n">
        <v>10535</v>
      </c>
      <c r="J426" s="174" t="n">
        <v>9.2625</v>
      </c>
      <c r="K426" s="175" t="n">
        <v>12.07</v>
      </c>
      <c r="L426" s="176" t="n">
        <v>0</v>
      </c>
      <c r="M426" s="176" t="n">
        <v>0</v>
      </c>
      <c r="N426" s="174" t="n">
        <v>80.8849</v>
      </c>
      <c r="O426" s="173" t="n">
        <v>395725</v>
      </c>
    </row>
    <row r="427" customFormat="false" ht="12.75" hidden="false" customHeight="true" outlineLevel="0" collapsed="false">
      <c r="B427" s="177" t="s">
        <v>36</v>
      </c>
      <c r="C427" s="178" t="n">
        <v>2008</v>
      </c>
      <c r="D427" s="179" t="n">
        <v>7.03</v>
      </c>
      <c r="E427" s="179" t="n">
        <v>0</v>
      </c>
      <c r="F427" s="180" t="n">
        <v>2</v>
      </c>
      <c r="G427" s="181" t="n">
        <v>3.3673</v>
      </c>
      <c r="H427" s="181"/>
      <c r="I427" s="180" t="n">
        <v>11844</v>
      </c>
      <c r="J427" s="181" t="n">
        <v>9.3796</v>
      </c>
      <c r="K427" s="182" t="n">
        <v>7.35</v>
      </c>
      <c r="L427" s="183" t="n">
        <v>0</v>
      </c>
      <c r="M427" s="183" t="n">
        <v>0</v>
      </c>
      <c r="N427" s="181" t="n">
        <v>80.8849</v>
      </c>
      <c r="O427" s="180" t="n">
        <v>412783</v>
      </c>
    </row>
    <row r="428" customFormat="false" ht="12.75" hidden="false" customHeight="true" outlineLevel="0" collapsed="false">
      <c r="B428" s="170" t="s">
        <v>36</v>
      </c>
      <c r="C428" s="171" t="n">
        <v>2009</v>
      </c>
      <c r="D428" s="172" t="n">
        <v>6.41</v>
      </c>
      <c r="E428" s="172" t="n">
        <v>0</v>
      </c>
      <c r="F428" s="173" t="n">
        <v>2</v>
      </c>
      <c r="G428" s="174" t="n">
        <v>3.2958</v>
      </c>
      <c r="H428" s="174"/>
      <c r="I428" s="173" t="n">
        <v>13269</v>
      </c>
      <c r="J428" s="174" t="n">
        <v>9.4932</v>
      </c>
      <c r="K428" s="175" t="n">
        <v>11.32</v>
      </c>
      <c r="L428" s="176" t="n">
        <v>0</v>
      </c>
      <c r="M428" s="176" t="n">
        <v>0</v>
      </c>
      <c r="N428" s="174" t="n">
        <v>80.8849</v>
      </c>
      <c r="O428" s="173" t="n">
        <v>421499</v>
      </c>
    </row>
    <row r="429" customFormat="false" ht="12.75" hidden="false" customHeight="true" outlineLevel="0" collapsed="false">
      <c r="B429" s="177" t="s">
        <v>36</v>
      </c>
      <c r="C429" s="178" t="n">
        <v>2010</v>
      </c>
      <c r="D429" s="179" t="n">
        <v>6.44</v>
      </c>
      <c r="E429" s="179" t="n">
        <v>0.44</v>
      </c>
      <c r="F429" s="180" t="n">
        <v>4</v>
      </c>
      <c r="G429" s="181" t="n">
        <v>3.3673</v>
      </c>
      <c r="H429" s="181" t="n">
        <v>0.6931</v>
      </c>
      <c r="I429" s="180" t="n">
        <v>14738</v>
      </c>
      <c r="J429" s="181" t="n">
        <v>9.5982</v>
      </c>
      <c r="K429" s="182" t="n">
        <v>10.54</v>
      </c>
      <c r="L429" s="183" t="n">
        <v>0</v>
      </c>
      <c r="M429" s="183" t="n">
        <v>0</v>
      </c>
      <c r="N429" s="181" t="n">
        <v>80.8849</v>
      </c>
      <c r="O429" s="180" t="n">
        <v>450479</v>
      </c>
    </row>
    <row r="430" customFormat="false" ht="12.75" hidden="false" customHeight="true" outlineLevel="0" collapsed="false">
      <c r="B430" s="170" t="s">
        <v>36</v>
      </c>
      <c r="C430" s="171" t="n">
        <v>2011</v>
      </c>
      <c r="D430" s="172" t="n">
        <v>5.43</v>
      </c>
      <c r="E430" s="172" t="n">
        <v>0.65</v>
      </c>
      <c r="F430" s="173" t="n">
        <v>7</v>
      </c>
      <c r="G430" s="174" t="n">
        <v>3.2189</v>
      </c>
      <c r="H430" s="174" t="n">
        <v>1.0986</v>
      </c>
      <c r="I430" s="173" t="n">
        <v>15872</v>
      </c>
      <c r="J430" s="174" t="n">
        <v>9.6723</v>
      </c>
      <c r="K430" s="175" t="n">
        <v>9.77</v>
      </c>
      <c r="L430" s="176" t="n">
        <v>0</v>
      </c>
      <c r="M430" s="176" t="n">
        <v>0</v>
      </c>
      <c r="N430" s="174" t="n">
        <v>80.8849</v>
      </c>
      <c r="O430" s="173" t="n">
        <v>460165</v>
      </c>
    </row>
    <row r="431" customFormat="false" ht="12.75" hidden="false" customHeight="true" outlineLevel="0" collapsed="false">
      <c r="B431" s="177" t="s">
        <v>36</v>
      </c>
      <c r="C431" s="178" t="n">
        <v>2012</v>
      </c>
      <c r="D431" s="179" t="n">
        <v>6.82</v>
      </c>
      <c r="E431" s="179" t="n">
        <v>1.7</v>
      </c>
      <c r="F431" s="180" t="n">
        <v>15</v>
      </c>
      <c r="G431" s="181" t="n">
        <v>3.4657</v>
      </c>
      <c r="H431" s="181" t="n">
        <v>2.0794</v>
      </c>
      <c r="I431" s="180" t="n">
        <v>16424</v>
      </c>
      <c r="J431" s="181" t="n">
        <v>9.7065</v>
      </c>
      <c r="K431" s="182" t="n">
        <v>10.18</v>
      </c>
      <c r="L431" s="183" t="n">
        <v>0</v>
      </c>
      <c r="M431" s="183" t="n">
        <v>0</v>
      </c>
      <c r="N431" s="181" t="n">
        <v>80.8849</v>
      </c>
      <c r="O431" s="180" t="n">
        <v>469524</v>
      </c>
    </row>
    <row r="432" customFormat="false" ht="12.75" hidden="false" customHeight="true" outlineLevel="0" collapsed="false">
      <c r="B432" s="170" t="s">
        <v>36</v>
      </c>
      <c r="C432" s="171" t="n">
        <v>2013</v>
      </c>
      <c r="D432" s="172" t="n">
        <v>14.14</v>
      </c>
      <c r="E432" s="172" t="n">
        <v>0</v>
      </c>
      <c r="F432" s="173" t="n">
        <v>15</v>
      </c>
      <c r="G432" s="174" t="n">
        <v>4.2341</v>
      </c>
      <c r="H432" s="174"/>
      <c r="I432" s="173" t="n">
        <v>18462</v>
      </c>
      <c r="J432" s="174" t="n">
        <v>9.8235</v>
      </c>
      <c r="K432" s="175" t="n">
        <v>7.96</v>
      </c>
      <c r="L432" s="176" t="n">
        <v>0</v>
      </c>
      <c r="M432" s="176" t="n">
        <v>0</v>
      </c>
      <c r="N432" s="174" t="n">
        <v>80.8849</v>
      </c>
      <c r="O432" s="173" t="n">
        <v>488072</v>
      </c>
    </row>
    <row r="433" customFormat="false" ht="12.75" hidden="false" customHeight="true" outlineLevel="0" collapsed="false">
      <c r="B433" s="177" t="s">
        <v>36</v>
      </c>
      <c r="C433" s="178" t="n">
        <v>2014</v>
      </c>
      <c r="D433" s="179" t="n">
        <v>9.46</v>
      </c>
      <c r="E433" s="179" t="n">
        <v>0.2</v>
      </c>
      <c r="F433" s="180" t="n">
        <v>16</v>
      </c>
      <c r="G433" s="181" t="n">
        <v>3.8501</v>
      </c>
      <c r="H433" s="181" t="n">
        <v>0</v>
      </c>
      <c r="I433" s="180" t="n">
        <v>19608</v>
      </c>
      <c r="J433" s="181" t="n">
        <v>9.8837</v>
      </c>
      <c r="K433" s="182" t="n">
        <v>8.24</v>
      </c>
      <c r="L433" s="183" t="n">
        <v>0</v>
      </c>
      <c r="M433" s="183" t="n">
        <v>0</v>
      </c>
      <c r="N433" s="181" t="n">
        <v>80.8849</v>
      </c>
      <c r="O433" s="180" t="n">
        <v>496936</v>
      </c>
    </row>
    <row r="434" customFormat="false" ht="12.75" hidden="false" customHeight="true" outlineLevel="0" collapsed="false">
      <c r="B434" s="170" t="s">
        <v>36</v>
      </c>
      <c r="C434" s="171" t="n">
        <v>2015</v>
      </c>
      <c r="D434" s="172" t="n">
        <v>11.67</v>
      </c>
      <c r="E434" s="172" t="n">
        <v>0.2</v>
      </c>
      <c r="F434" s="173" t="n">
        <v>17</v>
      </c>
      <c r="G434" s="174" t="n">
        <v>4.0775</v>
      </c>
      <c r="H434" s="174" t="n">
        <v>0</v>
      </c>
      <c r="I434" s="173" t="n">
        <v>20256</v>
      </c>
      <c r="J434" s="174" t="n">
        <v>9.9162</v>
      </c>
      <c r="K434" s="175" t="n">
        <v>8.7</v>
      </c>
      <c r="L434" s="176" t="n">
        <v>0</v>
      </c>
      <c r="M434" s="176" t="n">
        <v>0</v>
      </c>
      <c r="N434" s="174" t="n">
        <v>80.8849</v>
      </c>
      <c r="O434" s="173" t="n">
        <v>505665</v>
      </c>
    </row>
    <row r="435" customFormat="false" ht="12.75" hidden="false" customHeight="true" outlineLevel="0" collapsed="false">
      <c r="B435" s="184" t="s">
        <v>36</v>
      </c>
      <c r="C435" s="185" t="n">
        <v>2016</v>
      </c>
      <c r="D435" s="186" t="n">
        <v>13.61</v>
      </c>
      <c r="E435" s="186" t="n">
        <v>0</v>
      </c>
      <c r="F435" s="187" t="n">
        <v>17</v>
      </c>
      <c r="G435" s="188" t="n">
        <v>4.2485</v>
      </c>
      <c r="H435" s="188"/>
      <c r="I435" s="187" t="n">
        <v>21417</v>
      </c>
      <c r="J435" s="188" t="n">
        <v>9.9719</v>
      </c>
      <c r="K435" s="189" t="n">
        <v>8.9</v>
      </c>
      <c r="L435" s="190" t="n">
        <v>0</v>
      </c>
      <c r="M435" s="190" t="n">
        <v>0</v>
      </c>
      <c r="N435" s="188" t="n">
        <v>80.8849</v>
      </c>
      <c r="O435" s="187" t="n">
        <v>514229</v>
      </c>
    </row>
    <row r="436" customFormat="false" ht="12.75" hidden="false" customHeight="true" outlineLevel="0" collapsed="false">
      <c r="B436" s="191" t="s">
        <v>36</v>
      </c>
      <c r="C436" s="192" t="n">
        <v>2017</v>
      </c>
      <c r="D436" s="193" t="n">
        <v>18.37</v>
      </c>
      <c r="E436" s="193" t="n">
        <v>1.34</v>
      </c>
      <c r="F436" s="194" t="n">
        <v>24</v>
      </c>
      <c r="G436" s="195" t="n">
        <v>4.5643</v>
      </c>
      <c r="H436" s="195" t="n">
        <v>1.9459</v>
      </c>
      <c r="I436" s="194" t="n">
        <v>23161</v>
      </c>
      <c r="J436" s="195" t="n">
        <v>10.0502</v>
      </c>
      <c r="K436" s="196" t="n">
        <v>10</v>
      </c>
      <c r="L436" s="197" t="n">
        <v>0</v>
      </c>
      <c r="M436" s="197" t="n">
        <v>0</v>
      </c>
      <c r="N436" s="195" t="n">
        <v>80.8849</v>
      </c>
      <c r="O436" s="194" t="n">
        <v>522636</v>
      </c>
    </row>
    <row r="437" customFormat="false" ht="12.75" hidden="false" customHeight="true" outlineLevel="0" collapsed="false">
      <c r="B437" s="184" t="s">
        <v>36</v>
      </c>
      <c r="C437" s="185" t="n">
        <v>2018</v>
      </c>
      <c r="D437" s="186" t="n">
        <v>31.57</v>
      </c>
      <c r="E437" s="186" t="n">
        <v>2.78</v>
      </c>
      <c r="F437" s="187" t="n">
        <v>40</v>
      </c>
      <c r="G437" s="188" t="n">
        <v>5.204</v>
      </c>
      <c r="H437" s="188" t="n">
        <v>2.7726</v>
      </c>
      <c r="I437" s="187" t="n">
        <v>23189</v>
      </c>
      <c r="J437" s="188" t="n">
        <v>10.0514</v>
      </c>
      <c r="K437" s="189" t="n">
        <v>12.4</v>
      </c>
      <c r="L437" s="190" t="n">
        <v>0</v>
      </c>
      <c r="M437" s="190" t="n">
        <v>0</v>
      </c>
      <c r="N437" s="188" t="n">
        <v>80.8849</v>
      </c>
      <c r="O437" s="187" t="n">
        <v>576568</v>
      </c>
    </row>
    <row r="438" customFormat="false" ht="12.75" hidden="false" customHeight="true" outlineLevel="0" collapsed="false">
      <c r="B438" s="191" t="s">
        <v>36</v>
      </c>
      <c r="C438" s="192" t="n">
        <v>2019</v>
      </c>
      <c r="D438" s="193" t="n">
        <v>13.7</v>
      </c>
      <c r="E438" s="193" t="n">
        <v>10.4</v>
      </c>
      <c r="F438" s="194" t="n">
        <v>103</v>
      </c>
      <c r="G438" s="195" t="n">
        <v>4.4188</v>
      </c>
      <c r="H438" s="195" t="n">
        <v>4.1431</v>
      </c>
      <c r="I438" s="194" t="n">
        <v>23594</v>
      </c>
      <c r="J438" s="195" t="n">
        <v>10.0687</v>
      </c>
      <c r="K438" s="196" t="n">
        <v>15.1</v>
      </c>
      <c r="L438" s="197" t="n">
        <v>0</v>
      </c>
      <c r="M438" s="197" t="n">
        <v>0</v>
      </c>
      <c r="N438" s="195" t="n">
        <v>80.8849</v>
      </c>
      <c r="O438" s="194" t="n">
        <v>605761</v>
      </c>
    </row>
    <row r="439" customFormat="false" ht="12.75" hidden="false" customHeight="true" outlineLevel="0" collapsed="false">
      <c r="B439" s="184" t="s">
        <v>36</v>
      </c>
      <c r="C439" s="185" t="n">
        <v>2020</v>
      </c>
      <c r="D439" s="186" t="n">
        <v>16</v>
      </c>
      <c r="E439" s="186" t="n">
        <v>16.48</v>
      </c>
      <c r="F439" s="187" t="n">
        <v>207</v>
      </c>
      <c r="G439" s="188" t="n">
        <v>4.6151</v>
      </c>
      <c r="H439" s="188" t="n">
        <v>4.6444</v>
      </c>
      <c r="I439" s="187" t="n">
        <v>25388</v>
      </c>
      <c r="J439" s="188" t="n">
        <v>10.142</v>
      </c>
      <c r="K439" s="189" t="n">
        <v>16.8</v>
      </c>
      <c r="L439" s="190" t="n">
        <v>0</v>
      </c>
      <c r="M439" s="190" t="n">
        <v>1</v>
      </c>
      <c r="N439" s="188" t="n">
        <v>80.8849</v>
      </c>
      <c r="O439" s="187" t="n">
        <v>631181</v>
      </c>
    </row>
    <row r="440" customFormat="false" ht="12.75" hidden="false" customHeight="true" outlineLevel="0" collapsed="false">
      <c r="B440" s="191" t="s">
        <v>36</v>
      </c>
      <c r="C440" s="192" t="n">
        <v>2021</v>
      </c>
      <c r="D440" s="193" t="n">
        <v>16.09</v>
      </c>
      <c r="E440" s="193" t="n">
        <v>36.92</v>
      </c>
      <c r="F440" s="194" t="n">
        <v>448</v>
      </c>
      <c r="G440" s="195" t="n">
        <v>4.654</v>
      </c>
      <c r="H440" s="195" t="n">
        <v>5.4848</v>
      </c>
      <c r="I440" s="194" t="n">
        <v>27888</v>
      </c>
      <c r="J440" s="195" t="n">
        <v>10.236</v>
      </c>
      <c r="K440" s="196" t="n">
        <v>12.1</v>
      </c>
      <c r="L440" s="197" t="n">
        <v>0</v>
      </c>
      <c r="M440" s="197" t="n">
        <v>1</v>
      </c>
      <c r="N440" s="195" t="n">
        <v>80.8849</v>
      </c>
      <c r="O440" s="194" t="n">
        <v>652713</v>
      </c>
    </row>
    <row r="441" customFormat="false" ht="12.75" hidden="false" customHeight="true" outlineLevel="0" collapsed="false">
      <c r="B441" s="184" t="s">
        <v>36</v>
      </c>
      <c r="C441" s="185" t="n">
        <v>2022</v>
      </c>
      <c r="D441" s="186" t="n">
        <v>16.18</v>
      </c>
      <c r="E441" s="186" t="n">
        <v>80.88</v>
      </c>
      <c r="F441" s="187" t="n">
        <v>963</v>
      </c>
      <c r="G441" s="188" t="n">
        <v>4.6347</v>
      </c>
      <c r="H441" s="188" t="n">
        <v>6.2442</v>
      </c>
      <c r="I441" s="187" t="n">
        <v>33132</v>
      </c>
      <c r="J441" s="188" t="n">
        <v>10.4083</v>
      </c>
      <c r="K441" s="189" t="n">
        <v>6.1</v>
      </c>
      <c r="L441" s="190" t="n">
        <v>0</v>
      </c>
      <c r="M441" s="190" t="n">
        <v>0</v>
      </c>
      <c r="N441" s="188" t="n">
        <v>80.8849</v>
      </c>
      <c r="O441" s="187" t="n">
        <v>636707</v>
      </c>
    </row>
    <row r="442" customFormat="false" ht="12.75" hidden="false" customHeight="true" outlineLevel="0" collapsed="false">
      <c r="B442" s="191" t="s">
        <v>36</v>
      </c>
      <c r="C442" s="192" t="n">
        <v>2023</v>
      </c>
      <c r="D442" s="193" t="n">
        <v>16.49</v>
      </c>
      <c r="E442" s="193" t="n">
        <v>0.94</v>
      </c>
      <c r="F442" s="194" t="n">
        <v>969</v>
      </c>
      <c r="G442" s="195" t="n">
        <v>4.654</v>
      </c>
      <c r="H442" s="195" t="n">
        <v>1.7918</v>
      </c>
      <c r="I442" s="194" t="n">
        <v>39461</v>
      </c>
      <c r="J442" s="195" t="n">
        <v>10.5831</v>
      </c>
      <c r="K442" s="196" t="n">
        <v>6.7</v>
      </c>
      <c r="L442" s="197" t="n">
        <v>1</v>
      </c>
      <c r="M442" s="197" t="n">
        <v>0</v>
      </c>
      <c r="N442" s="195" t="n">
        <v>80.8849</v>
      </c>
      <c r="O442" s="194" t="n">
        <v>636707</v>
      </c>
    </row>
    <row r="443" customFormat="false" ht="12.75" hidden="false" customHeight="true" outlineLevel="0" collapsed="false">
      <c r="B443" s="184" t="s">
        <v>36</v>
      </c>
      <c r="C443" s="185" t="n">
        <v>2024</v>
      </c>
      <c r="D443" s="186" t="n">
        <v>9.63</v>
      </c>
      <c r="E443" s="186" t="n">
        <v>7.81</v>
      </c>
      <c r="F443" s="187" t="n">
        <v>1025</v>
      </c>
      <c r="G443" s="188" t="n">
        <v>4.2341</v>
      </c>
      <c r="H443" s="188" t="n">
        <v>4.0254</v>
      </c>
      <c r="I443" s="187" t="n">
        <v>39946</v>
      </c>
      <c r="J443" s="188" t="n">
        <v>10.5953</v>
      </c>
      <c r="K443" s="189" t="n">
        <v>6.8</v>
      </c>
      <c r="L443" s="190" t="n">
        <v>1</v>
      </c>
      <c r="M443" s="190" t="n">
        <v>0</v>
      </c>
      <c r="N443" s="188" t="n">
        <v>80.8849</v>
      </c>
      <c r="O443" s="187" t="n">
        <v>716793</v>
      </c>
    </row>
    <row r="444" customFormat="false" ht="12.75" hidden="false" customHeight="true" outlineLevel="0" collapsed="false">
      <c r="B444" s="170" t="s">
        <v>37</v>
      </c>
      <c r="C444" s="171" t="n">
        <v>2005</v>
      </c>
      <c r="D444" s="172" t="n">
        <v>13.56</v>
      </c>
      <c r="E444" s="172" t="n">
        <v>1.38</v>
      </c>
      <c r="F444" s="173" t="n">
        <v>150</v>
      </c>
      <c r="G444" s="174" t="n">
        <v>7.2937</v>
      </c>
      <c r="H444" s="174" t="n">
        <v>5.0106</v>
      </c>
      <c r="I444" s="173" t="n">
        <v>13298</v>
      </c>
      <c r="J444" s="174" t="n">
        <v>9.4954</v>
      </c>
      <c r="K444" s="175" t="n">
        <v>7.21</v>
      </c>
      <c r="L444" s="176" t="n">
        <v>0</v>
      </c>
      <c r="M444" s="176" t="n">
        <v>0</v>
      </c>
      <c r="N444" s="174" t="n">
        <v>273.3079</v>
      </c>
      <c r="O444" s="173" t="n">
        <v>10845087</v>
      </c>
    </row>
    <row r="445" customFormat="false" ht="12.75" hidden="false" customHeight="true" outlineLevel="0" collapsed="false">
      <c r="B445" s="177" t="s">
        <v>37</v>
      </c>
      <c r="C445" s="178" t="n">
        <v>2006</v>
      </c>
      <c r="D445" s="179" t="n">
        <v>12.94</v>
      </c>
      <c r="E445" s="179" t="n">
        <v>10.8</v>
      </c>
      <c r="F445" s="180" t="n">
        <v>1334</v>
      </c>
      <c r="G445" s="181" t="n">
        <v>7.2577</v>
      </c>
      <c r="H445" s="181" t="n">
        <v>7.0767</v>
      </c>
      <c r="I445" s="180" t="n">
        <v>14305</v>
      </c>
      <c r="J445" s="181" t="n">
        <v>9.5684</v>
      </c>
      <c r="K445" s="182" t="n">
        <v>6.92</v>
      </c>
      <c r="L445" s="183" t="n">
        <v>0</v>
      </c>
      <c r="M445" s="183" t="n">
        <v>0</v>
      </c>
      <c r="N445" s="181" t="n">
        <v>273.3079</v>
      </c>
      <c r="O445" s="180" t="n">
        <v>10963219</v>
      </c>
    </row>
    <row r="446" customFormat="false" ht="12.75" hidden="false" customHeight="true" outlineLevel="0" collapsed="false">
      <c r="B446" s="170" t="s">
        <v>37</v>
      </c>
      <c r="C446" s="171" t="n">
        <v>2007</v>
      </c>
      <c r="D446" s="172" t="n">
        <v>15.64</v>
      </c>
      <c r="E446" s="172" t="n">
        <v>3.62</v>
      </c>
      <c r="F446" s="173" t="n">
        <v>1717</v>
      </c>
      <c r="G446" s="174" t="n">
        <v>7.4116</v>
      </c>
      <c r="H446" s="174" t="n">
        <v>5.948</v>
      </c>
      <c r="I446" s="173" t="n">
        <v>16689</v>
      </c>
      <c r="J446" s="174" t="n">
        <v>9.7225</v>
      </c>
      <c r="K446" s="175" t="n">
        <v>7.33</v>
      </c>
      <c r="L446" s="176" t="n">
        <v>0</v>
      </c>
      <c r="M446" s="176" t="n">
        <v>0</v>
      </c>
      <c r="N446" s="174" t="n">
        <v>273.3079</v>
      </c>
      <c r="O446" s="173" t="n">
        <v>10582887</v>
      </c>
    </row>
    <row r="447" customFormat="false" ht="12.75" hidden="false" customHeight="true" outlineLevel="0" collapsed="false">
      <c r="B447" s="177" t="s">
        <v>37</v>
      </c>
      <c r="C447" s="178" t="n">
        <v>2008</v>
      </c>
      <c r="D447" s="179" t="n">
        <v>16.54</v>
      </c>
      <c r="E447" s="179" t="n">
        <v>2.93</v>
      </c>
      <c r="F447" s="180" t="n">
        <v>2035</v>
      </c>
      <c r="G447" s="181" t="n">
        <v>7.4928</v>
      </c>
      <c r="H447" s="181" t="n">
        <v>5.7621</v>
      </c>
      <c r="I447" s="180" t="n">
        <v>18378</v>
      </c>
      <c r="J447" s="181" t="n">
        <v>9.8189</v>
      </c>
      <c r="K447" s="182" t="n">
        <v>6.08</v>
      </c>
      <c r="L447" s="183" t="n">
        <v>0</v>
      </c>
      <c r="M447" s="183" t="n">
        <v>0</v>
      </c>
      <c r="N447" s="181" t="n">
        <v>273.3079</v>
      </c>
      <c r="O447" s="180" t="n">
        <v>10855228</v>
      </c>
    </row>
    <row r="448" customFormat="false" ht="12.75" hidden="false" customHeight="true" outlineLevel="0" collapsed="false">
      <c r="B448" s="170" t="s">
        <v>37</v>
      </c>
      <c r="C448" s="171" t="n">
        <v>2009</v>
      </c>
      <c r="D448" s="172" t="n">
        <v>15.04</v>
      </c>
      <c r="E448" s="172" t="n">
        <v>4.37</v>
      </c>
      <c r="F448" s="173" t="n">
        <v>2512</v>
      </c>
      <c r="G448" s="174" t="n">
        <v>7.4031</v>
      </c>
      <c r="H448" s="174" t="n">
        <v>6.1675</v>
      </c>
      <c r="I448" s="173" t="n">
        <v>19778</v>
      </c>
      <c r="J448" s="174" t="n">
        <v>9.8923</v>
      </c>
      <c r="K448" s="175" t="n">
        <v>6.69</v>
      </c>
      <c r="L448" s="176" t="n">
        <v>0</v>
      </c>
      <c r="M448" s="176" t="n">
        <v>0</v>
      </c>
      <c r="N448" s="174" t="n">
        <v>273.3079</v>
      </c>
      <c r="O448" s="173" t="n">
        <v>10914128</v>
      </c>
    </row>
    <row r="449" customFormat="false" ht="12.75" hidden="false" customHeight="true" outlineLevel="0" collapsed="false">
      <c r="B449" s="177" t="s">
        <v>37</v>
      </c>
      <c r="C449" s="178" t="n">
        <v>2010</v>
      </c>
      <c r="D449" s="179" t="n">
        <v>13.98</v>
      </c>
      <c r="E449" s="179" t="n">
        <v>3.4</v>
      </c>
      <c r="F449" s="180" t="n">
        <v>2876</v>
      </c>
      <c r="G449" s="181" t="n">
        <v>7.3099</v>
      </c>
      <c r="H449" s="181" t="n">
        <v>5.8972</v>
      </c>
      <c r="I449" s="180" t="n">
        <v>22559</v>
      </c>
      <c r="J449" s="181" t="n">
        <v>10.0239</v>
      </c>
      <c r="K449" s="182" t="n">
        <v>5.85</v>
      </c>
      <c r="L449" s="183" t="n">
        <v>0</v>
      </c>
      <c r="M449" s="183" t="n">
        <v>0</v>
      </c>
      <c r="N449" s="181" t="n">
        <v>273.3079</v>
      </c>
      <c r="O449" s="180" t="n">
        <v>10693929</v>
      </c>
    </row>
    <row r="450" customFormat="false" ht="12.75" hidden="false" customHeight="true" outlineLevel="0" collapsed="false">
      <c r="B450" s="170" t="s">
        <v>37</v>
      </c>
      <c r="C450" s="171" t="n">
        <v>2011</v>
      </c>
      <c r="D450" s="172" t="n">
        <v>14.25</v>
      </c>
      <c r="E450" s="172" t="n">
        <v>8.53</v>
      </c>
      <c r="F450" s="173" t="n">
        <v>3791</v>
      </c>
      <c r="G450" s="174" t="n">
        <v>7.3324</v>
      </c>
      <c r="H450" s="174" t="n">
        <v>6.8189</v>
      </c>
      <c r="I450" s="173" t="n">
        <v>24695</v>
      </c>
      <c r="J450" s="174" t="n">
        <v>10.1144</v>
      </c>
      <c r="K450" s="175" t="n">
        <v>5.01</v>
      </c>
      <c r="L450" s="176" t="n">
        <v>0</v>
      </c>
      <c r="M450" s="176" t="n">
        <v>0</v>
      </c>
      <c r="N450" s="174" t="n">
        <v>273.3079</v>
      </c>
      <c r="O450" s="173" t="n">
        <v>10733030</v>
      </c>
    </row>
    <row r="451" customFormat="false" ht="12.75" hidden="false" customHeight="true" outlineLevel="0" collapsed="false">
      <c r="B451" s="177" t="s">
        <v>37</v>
      </c>
      <c r="C451" s="178" t="n">
        <v>2012</v>
      </c>
      <c r="D451" s="179" t="n">
        <v>16.13</v>
      </c>
      <c r="E451" s="179" t="n">
        <v>4.53</v>
      </c>
      <c r="F451" s="180" t="n">
        <v>4279</v>
      </c>
      <c r="G451" s="181" t="n">
        <v>7.4599</v>
      </c>
      <c r="H451" s="181" t="n">
        <v>6.1903</v>
      </c>
      <c r="I451" s="180" t="n">
        <v>26707</v>
      </c>
      <c r="J451" s="181" t="n">
        <v>10.1927</v>
      </c>
      <c r="K451" s="182" t="n">
        <v>4.96</v>
      </c>
      <c r="L451" s="183" t="n">
        <v>0</v>
      </c>
      <c r="M451" s="183" t="n">
        <v>0</v>
      </c>
      <c r="N451" s="181" t="n">
        <v>273.3079</v>
      </c>
      <c r="O451" s="180" t="n">
        <v>10768025</v>
      </c>
    </row>
    <row r="452" customFormat="false" ht="12.75" hidden="false" customHeight="true" outlineLevel="0" collapsed="false">
      <c r="B452" s="170" t="s">
        <v>37</v>
      </c>
      <c r="C452" s="171" t="n">
        <v>2013</v>
      </c>
      <c r="D452" s="172" t="n">
        <v>15.33</v>
      </c>
      <c r="E452" s="172" t="n">
        <v>1.87</v>
      </c>
      <c r="F452" s="173" t="n">
        <v>4488</v>
      </c>
      <c r="G452" s="174" t="n">
        <v>7.4448</v>
      </c>
      <c r="H452" s="174" t="n">
        <v>5.3423</v>
      </c>
      <c r="I452" s="173" t="n">
        <v>29765</v>
      </c>
      <c r="J452" s="174" t="n">
        <v>10.3011</v>
      </c>
      <c r="K452" s="175" t="n">
        <v>4.82</v>
      </c>
      <c r="L452" s="176" t="n">
        <v>0</v>
      </c>
      <c r="M452" s="176" t="n">
        <v>0</v>
      </c>
      <c r="N452" s="174" t="n">
        <v>273.3079</v>
      </c>
      <c r="O452" s="173" t="n">
        <v>11164043</v>
      </c>
    </row>
    <row r="453" customFormat="false" ht="12.75" hidden="false" customHeight="true" outlineLevel="0" collapsed="false">
      <c r="B453" s="177" t="s">
        <v>37</v>
      </c>
      <c r="C453" s="178" t="n">
        <v>2014</v>
      </c>
      <c r="D453" s="179" t="n">
        <v>18.31</v>
      </c>
      <c r="E453" s="179" t="n">
        <v>1.86</v>
      </c>
      <c r="F453" s="180" t="n">
        <v>4696</v>
      </c>
      <c r="G453" s="181" t="n">
        <v>7.6266</v>
      </c>
      <c r="H453" s="181" t="n">
        <v>5.3375</v>
      </c>
      <c r="I453" s="180" t="n">
        <v>31927</v>
      </c>
      <c r="J453" s="181" t="n">
        <v>10.3712</v>
      </c>
      <c r="K453" s="182" t="n">
        <v>5</v>
      </c>
      <c r="L453" s="183" t="n">
        <v>0</v>
      </c>
      <c r="M453" s="183" t="n">
        <v>0</v>
      </c>
      <c r="N453" s="181" t="n">
        <v>273.3079</v>
      </c>
      <c r="O453" s="180" t="n">
        <v>11207274</v>
      </c>
    </row>
    <row r="454" customFormat="false" ht="12.75" hidden="false" customHeight="true" outlineLevel="0" collapsed="false">
      <c r="B454" s="170" t="s">
        <v>37</v>
      </c>
      <c r="C454" s="171" t="n">
        <v>2015</v>
      </c>
      <c r="D454" s="172" t="n">
        <v>20.28</v>
      </c>
      <c r="E454" s="172" t="n">
        <v>4.23</v>
      </c>
      <c r="F454" s="173" t="n">
        <v>5172</v>
      </c>
      <c r="G454" s="174" t="n">
        <v>7.7324</v>
      </c>
      <c r="H454" s="174" t="n">
        <v>6.1654</v>
      </c>
      <c r="I454" s="173" t="n">
        <v>33961</v>
      </c>
      <c r="J454" s="174" t="n">
        <v>10.433</v>
      </c>
      <c r="K454" s="175" t="n">
        <v>6.4</v>
      </c>
      <c r="L454" s="176" t="n">
        <v>0</v>
      </c>
      <c r="M454" s="176" t="n">
        <v>0</v>
      </c>
      <c r="N454" s="174" t="n">
        <v>273.3079</v>
      </c>
      <c r="O454" s="173" t="n">
        <v>11247972</v>
      </c>
    </row>
    <row r="455" customFormat="false" ht="12.75" hidden="false" customHeight="true" outlineLevel="0" collapsed="false">
      <c r="B455" s="184" t="s">
        <v>37</v>
      </c>
      <c r="C455" s="185" t="n">
        <v>2016</v>
      </c>
      <c r="D455" s="186" t="n">
        <v>22.2</v>
      </c>
      <c r="E455" s="186" t="n">
        <v>7.65</v>
      </c>
      <c r="F455" s="187" t="n">
        <v>6035</v>
      </c>
      <c r="G455" s="188" t="n">
        <v>7.8264</v>
      </c>
      <c r="H455" s="188" t="n">
        <v>6.7604</v>
      </c>
      <c r="I455" s="187" t="n">
        <v>36219</v>
      </c>
      <c r="J455" s="188" t="n">
        <v>10.4973</v>
      </c>
      <c r="K455" s="189" t="n">
        <v>8.3</v>
      </c>
      <c r="L455" s="190" t="n">
        <v>0</v>
      </c>
      <c r="M455" s="190" t="n">
        <v>0</v>
      </c>
      <c r="N455" s="188" t="n">
        <v>273.3079</v>
      </c>
      <c r="O455" s="187" t="n">
        <v>11286500</v>
      </c>
    </row>
    <row r="456" customFormat="false" ht="12.75" hidden="false" customHeight="true" outlineLevel="0" collapsed="false">
      <c r="B456" s="191" t="s">
        <v>37</v>
      </c>
      <c r="C456" s="192" t="n">
        <v>2017</v>
      </c>
      <c r="D456" s="193" t="n">
        <v>22.8</v>
      </c>
      <c r="E456" s="193" t="n">
        <v>12.89</v>
      </c>
      <c r="F456" s="194" t="n">
        <v>7495</v>
      </c>
      <c r="G456" s="195" t="n">
        <v>7.8563</v>
      </c>
      <c r="H456" s="195" t="n">
        <v>7.2862</v>
      </c>
      <c r="I456" s="194" t="n">
        <v>37382</v>
      </c>
      <c r="J456" s="195" t="n">
        <v>10.5289</v>
      </c>
      <c r="K456" s="196" t="n">
        <v>8.5</v>
      </c>
      <c r="L456" s="197" t="n">
        <v>0</v>
      </c>
      <c r="M456" s="197" t="n">
        <v>0</v>
      </c>
      <c r="N456" s="195" t="n">
        <v>273.3079</v>
      </c>
      <c r="O456" s="194" t="n">
        <v>11322895</v>
      </c>
    </row>
    <row r="457" customFormat="false" ht="12.75" hidden="false" customHeight="true" outlineLevel="0" collapsed="false">
      <c r="B457" s="184" t="s">
        <v>37</v>
      </c>
      <c r="C457" s="185" t="n">
        <v>2018</v>
      </c>
      <c r="D457" s="186" t="n">
        <v>18.26</v>
      </c>
      <c r="E457" s="186" t="n">
        <v>18.17</v>
      </c>
      <c r="F457" s="187" t="n">
        <v>9554</v>
      </c>
      <c r="G457" s="188" t="n">
        <v>7.6348</v>
      </c>
      <c r="H457" s="188" t="n">
        <v>7.63</v>
      </c>
      <c r="I457" s="187" t="n">
        <v>40363</v>
      </c>
      <c r="J457" s="188" t="n">
        <v>10.6057</v>
      </c>
      <c r="K457" s="189" t="n">
        <v>8.2</v>
      </c>
      <c r="L457" s="190" t="n">
        <v>0</v>
      </c>
      <c r="M457" s="190" t="n">
        <v>0</v>
      </c>
      <c r="N457" s="188" t="n">
        <v>273.3079</v>
      </c>
      <c r="O457" s="187" t="n">
        <v>11329605</v>
      </c>
    </row>
    <row r="458" customFormat="false" ht="12.75" hidden="false" customHeight="true" outlineLevel="0" collapsed="false">
      <c r="B458" s="191" t="s">
        <v>37</v>
      </c>
      <c r="C458" s="192" t="n">
        <v>2019</v>
      </c>
      <c r="D458" s="193" t="n">
        <v>14.05</v>
      </c>
      <c r="E458" s="193" t="n">
        <v>96.31</v>
      </c>
      <c r="F458" s="194" t="n">
        <v>20511</v>
      </c>
      <c r="G458" s="195" t="n">
        <v>7.3771</v>
      </c>
      <c r="H458" s="195" t="n">
        <v>9.3017</v>
      </c>
      <c r="I458" s="194" t="n">
        <v>42406</v>
      </c>
      <c r="J458" s="195" t="n">
        <v>10.655</v>
      </c>
      <c r="K458" s="196" t="n">
        <v>8.2</v>
      </c>
      <c r="L458" s="197" t="n">
        <v>0</v>
      </c>
      <c r="M458" s="197" t="n">
        <v>0</v>
      </c>
      <c r="N458" s="195" t="n">
        <v>273.3079</v>
      </c>
      <c r="O458" s="194" t="n">
        <v>11377239</v>
      </c>
    </row>
    <row r="459" customFormat="false" ht="12.75" hidden="false" customHeight="true" outlineLevel="0" collapsed="false">
      <c r="B459" s="184" t="s">
        <v>37</v>
      </c>
      <c r="C459" s="185" t="n">
        <v>2020</v>
      </c>
      <c r="D459" s="186" t="n">
        <v>13.46</v>
      </c>
      <c r="E459" s="186" t="n">
        <v>138.97</v>
      </c>
      <c r="F459" s="187" t="n">
        <v>36386</v>
      </c>
      <c r="G459" s="188" t="n">
        <v>7.3376</v>
      </c>
      <c r="H459" s="188" t="n">
        <v>9.6725</v>
      </c>
      <c r="I459" s="187" t="n">
        <v>41228</v>
      </c>
      <c r="J459" s="188" t="n">
        <v>10.6269</v>
      </c>
      <c r="K459" s="189" t="n">
        <v>9.3</v>
      </c>
      <c r="L459" s="190" t="n">
        <v>0</v>
      </c>
      <c r="M459" s="190" t="n">
        <v>1</v>
      </c>
      <c r="N459" s="188" t="n">
        <v>273.3079</v>
      </c>
      <c r="O459" s="187" t="n">
        <v>11422973</v>
      </c>
    </row>
    <row r="460" customFormat="false" ht="12.75" hidden="false" customHeight="true" outlineLevel="0" collapsed="false">
      <c r="B460" s="191" t="s">
        <v>37</v>
      </c>
      <c r="C460" s="192" t="n">
        <v>2021</v>
      </c>
      <c r="D460" s="193" t="n">
        <v>12.02</v>
      </c>
      <c r="E460" s="193" t="n">
        <v>215.13</v>
      </c>
      <c r="F460" s="194" t="n">
        <v>61054</v>
      </c>
      <c r="G460" s="195" t="n">
        <v>7.2284</v>
      </c>
      <c r="H460" s="195" t="n">
        <v>10.1133</v>
      </c>
      <c r="I460" s="194" t="n">
        <v>50694</v>
      </c>
      <c r="J460" s="195" t="n">
        <v>10.8336</v>
      </c>
      <c r="K460" s="196" t="n">
        <v>8.7</v>
      </c>
      <c r="L460" s="197" t="n">
        <v>0</v>
      </c>
      <c r="M460" s="197" t="n">
        <v>1</v>
      </c>
      <c r="N460" s="195" t="n">
        <v>273.3079</v>
      </c>
      <c r="O460" s="194" t="n">
        <v>11466630</v>
      </c>
    </row>
    <row r="461" customFormat="false" ht="12.75" hidden="false" customHeight="true" outlineLevel="0" collapsed="false">
      <c r="B461" s="184" t="s">
        <v>37</v>
      </c>
      <c r="C461" s="185" t="n">
        <v>2022</v>
      </c>
      <c r="D461" s="186" t="n">
        <v>13.58</v>
      </c>
      <c r="E461" s="186" t="n">
        <v>273.31</v>
      </c>
      <c r="F461" s="187" t="n">
        <v>90798</v>
      </c>
      <c r="G461" s="188" t="n">
        <v>7.2984</v>
      </c>
      <c r="H461" s="188" t="n">
        <v>10.3004</v>
      </c>
      <c r="I461" s="187" t="n">
        <v>54547</v>
      </c>
      <c r="J461" s="188" t="n">
        <v>10.9068</v>
      </c>
      <c r="K461" s="189" t="n">
        <v>6.1</v>
      </c>
      <c r="L461" s="190" t="n">
        <v>0</v>
      </c>
      <c r="M461" s="190" t="n">
        <v>0</v>
      </c>
      <c r="N461" s="188" t="n">
        <v>273.3079</v>
      </c>
      <c r="O461" s="187" t="n">
        <v>10882965</v>
      </c>
    </row>
    <row r="462" customFormat="false" ht="12.75" hidden="false" customHeight="true" outlineLevel="0" collapsed="false">
      <c r="B462" s="191" t="s">
        <v>37</v>
      </c>
      <c r="C462" s="192" t="n">
        <v>2023</v>
      </c>
      <c r="D462" s="193" t="n">
        <v>12.93</v>
      </c>
      <c r="E462" s="193" t="n">
        <v>1.38</v>
      </c>
      <c r="F462" s="194" t="n">
        <v>90948</v>
      </c>
      <c r="G462" s="195" t="n">
        <v>7.2492</v>
      </c>
      <c r="H462" s="195" t="n">
        <v>5.0106</v>
      </c>
      <c r="I462" s="194" t="n">
        <v>59736</v>
      </c>
      <c r="J462" s="195" t="n">
        <v>10.9977</v>
      </c>
      <c r="K462" s="196" t="n">
        <v>5.3</v>
      </c>
      <c r="L462" s="197" t="n">
        <v>1</v>
      </c>
      <c r="M462" s="197" t="n">
        <v>0</v>
      </c>
      <c r="N462" s="195" t="n">
        <v>273.3079</v>
      </c>
      <c r="O462" s="194" t="n">
        <v>10882965</v>
      </c>
    </row>
    <row r="463" customFormat="false" ht="12.75" hidden="false" customHeight="true" outlineLevel="0" collapsed="false">
      <c r="B463" s="184" t="s">
        <v>37</v>
      </c>
      <c r="C463" s="185" t="n">
        <v>2024</v>
      </c>
      <c r="D463" s="186" t="n">
        <v>10.93</v>
      </c>
      <c r="E463" s="186" t="n">
        <v>47.75</v>
      </c>
      <c r="F463" s="187" t="n">
        <v>96310</v>
      </c>
      <c r="G463" s="188" t="n">
        <v>7.1123</v>
      </c>
      <c r="H463" s="188" t="n">
        <v>8.5871</v>
      </c>
      <c r="I463" s="187" t="n">
        <v>61199</v>
      </c>
      <c r="J463" s="188" t="n">
        <v>11.0219</v>
      </c>
      <c r="K463" s="189" t="n">
        <v>5.1</v>
      </c>
      <c r="L463" s="190" t="n">
        <v>1</v>
      </c>
      <c r="M463" s="190" t="n">
        <v>0</v>
      </c>
      <c r="N463" s="188" t="n">
        <v>273.3079</v>
      </c>
      <c r="O463" s="187" t="n">
        <v>11229915</v>
      </c>
    </row>
    <row r="464" customFormat="false" ht="12.75" hidden="false" customHeight="true" outlineLevel="0" collapsed="false">
      <c r="B464" s="170" t="s">
        <v>38</v>
      </c>
      <c r="C464" s="171" t="n">
        <v>2005</v>
      </c>
      <c r="D464" s="172" t="n">
        <v>6.58</v>
      </c>
      <c r="E464" s="172" t="n">
        <v>1.35</v>
      </c>
      <c r="F464" s="173" t="n">
        <v>79</v>
      </c>
      <c r="G464" s="174" t="n">
        <v>5.9558</v>
      </c>
      <c r="H464" s="174" t="n">
        <v>4.3694</v>
      </c>
      <c r="I464" s="173" t="n">
        <v>14543</v>
      </c>
      <c r="J464" s="174" t="n">
        <v>9.5849</v>
      </c>
      <c r="K464" s="175" t="n">
        <v>4.91</v>
      </c>
      <c r="L464" s="176" t="n">
        <v>0</v>
      </c>
      <c r="M464" s="176" t="n">
        <v>0</v>
      </c>
      <c r="N464" s="174" t="n">
        <v>371.165</v>
      </c>
      <c r="O464" s="173" t="n">
        <v>5866568</v>
      </c>
    </row>
    <row r="465" customFormat="false" ht="12.75" hidden="false" customHeight="true" outlineLevel="0" collapsed="false">
      <c r="B465" s="177" t="s">
        <v>38</v>
      </c>
      <c r="C465" s="178" t="n">
        <v>2006</v>
      </c>
      <c r="D465" s="179" t="n">
        <v>6.39</v>
      </c>
      <c r="E465" s="179" t="n">
        <v>0.89</v>
      </c>
      <c r="F465" s="180" t="n">
        <v>132</v>
      </c>
      <c r="G465" s="181" t="n">
        <v>5.9428</v>
      </c>
      <c r="H465" s="181" t="n">
        <v>3.9703</v>
      </c>
      <c r="I465" s="180" t="n">
        <v>15633</v>
      </c>
      <c r="J465" s="181" t="n">
        <v>9.6571</v>
      </c>
      <c r="K465" s="182" t="n">
        <v>5.16</v>
      </c>
      <c r="L465" s="183" t="n">
        <v>0</v>
      </c>
      <c r="M465" s="183" t="n">
        <v>0</v>
      </c>
      <c r="N465" s="181" t="n">
        <v>371.165</v>
      </c>
      <c r="O465" s="180" t="n">
        <v>5958266</v>
      </c>
    </row>
    <row r="466" customFormat="false" ht="12.75" hidden="false" customHeight="true" outlineLevel="0" collapsed="false">
      <c r="B466" s="170" t="s">
        <v>38</v>
      </c>
      <c r="C466" s="171" t="n">
        <v>2007</v>
      </c>
      <c r="D466" s="172" t="n">
        <v>6.44</v>
      </c>
      <c r="E466" s="172" t="n">
        <v>0.68</v>
      </c>
      <c r="F466" s="173" t="n">
        <v>172</v>
      </c>
      <c r="G466" s="174" t="n">
        <v>5.9349</v>
      </c>
      <c r="H466" s="174" t="n">
        <v>3.6889</v>
      </c>
      <c r="I466" s="173" t="n">
        <v>17834</v>
      </c>
      <c r="J466" s="174" t="n">
        <v>9.7889</v>
      </c>
      <c r="K466" s="175" t="n">
        <v>5.2</v>
      </c>
      <c r="L466" s="176" t="n">
        <v>0</v>
      </c>
      <c r="M466" s="176" t="n">
        <v>0</v>
      </c>
      <c r="N466" s="174" t="n">
        <v>371.165</v>
      </c>
      <c r="O466" s="173" t="n">
        <v>5866487</v>
      </c>
    </row>
    <row r="467" customFormat="false" ht="12.75" hidden="false" customHeight="true" outlineLevel="0" collapsed="false">
      <c r="B467" s="177" t="s">
        <v>38</v>
      </c>
      <c r="C467" s="178" t="n">
        <v>2008</v>
      </c>
      <c r="D467" s="179" t="n">
        <v>8.24</v>
      </c>
      <c r="E467" s="179" t="n">
        <v>1.14</v>
      </c>
      <c r="F467" s="180" t="n">
        <v>241</v>
      </c>
      <c r="G467" s="181" t="n">
        <v>6.2126</v>
      </c>
      <c r="H467" s="181" t="n">
        <v>4.2341</v>
      </c>
      <c r="I467" s="180" t="n">
        <v>20368</v>
      </c>
      <c r="J467" s="181" t="n">
        <v>9.9217</v>
      </c>
      <c r="K467" s="182" t="n">
        <v>4.75</v>
      </c>
      <c r="L467" s="183" t="n">
        <v>0</v>
      </c>
      <c r="M467" s="183" t="n">
        <v>0</v>
      </c>
      <c r="N467" s="181" t="n">
        <v>371.165</v>
      </c>
      <c r="O467" s="180" t="n">
        <v>6052587</v>
      </c>
    </row>
    <row r="468" customFormat="false" ht="12.75" hidden="false" customHeight="true" outlineLevel="0" collapsed="false">
      <c r="B468" s="170" t="s">
        <v>38</v>
      </c>
      <c r="C468" s="171" t="n">
        <v>2009</v>
      </c>
      <c r="D468" s="172" t="n">
        <v>8.25</v>
      </c>
      <c r="E468" s="172" t="n">
        <v>2.47</v>
      </c>
      <c r="F468" s="173" t="n">
        <v>392</v>
      </c>
      <c r="G468" s="174" t="n">
        <v>6.2246</v>
      </c>
      <c r="H468" s="174" t="n">
        <v>5.0173</v>
      </c>
      <c r="I468" s="173" t="n">
        <v>21214</v>
      </c>
      <c r="J468" s="174" t="n">
        <v>9.9624</v>
      </c>
      <c r="K468" s="175" t="n">
        <v>5.65</v>
      </c>
      <c r="L468" s="176" t="n">
        <v>0</v>
      </c>
      <c r="M468" s="176" t="n">
        <v>0</v>
      </c>
      <c r="N468" s="174" t="n">
        <v>371.165</v>
      </c>
      <c r="O468" s="173" t="n">
        <v>6118743</v>
      </c>
    </row>
    <row r="469" customFormat="false" ht="12.75" hidden="false" customHeight="true" outlineLevel="0" collapsed="false">
      <c r="B469" s="177" t="s">
        <v>38</v>
      </c>
      <c r="C469" s="178" t="n">
        <v>2010</v>
      </c>
      <c r="D469" s="179" t="n">
        <v>7.63</v>
      </c>
      <c r="E469" s="179" t="n">
        <v>1.95</v>
      </c>
      <c r="F469" s="180" t="n">
        <v>514</v>
      </c>
      <c r="G469" s="181" t="n">
        <v>6.1675</v>
      </c>
      <c r="H469" s="181" t="n">
        <v>4.804</v>
      </c>
      <c r="I469" s="180" t="n">
        <v>24602</v>
      </c>
      <c r="J469" s="181" t="n">
        <v>10.1106</v>
      </c>
      <c r="K469" s="182" t="n">
        <v>4.63</v>
      </c>
      <c r="L469" s="183" t="n">
        <v>0</v>
      </c>
      <c r="M469" s="183" t="n">
        <v>0</v>
      </c>
      <c r="N469" s="181" t="n">
        <v>371.165</v>
      </c>
      <c r="O469" s="180" t="n">
        <v>6248436</v>
      </c>
    </row>
    <row r="470" customFormat="false" ht="12.75" hidden="false" customHeight="true" outlineLevel="0" collapsed="false">
      <c r="B470" s="170" t="s">
        <v>38</v>
      </c>
      <c r="C470" s="171" t="n">
        <v>2011</v>
      </c>
      <c r="D470" s="172" t="n">
        <v>7.61</v>
      </c>
      <c r="E470" s="172" t="n">
        <v>3.09</v>
      </c>
      <c r="F470" s="173" t="n">
        <v>709</v>
      </c>
      <c r="G470" s="174" t="n">
        <v>6.1759</v>
      </c>
      <c r="H470" s="174" t="n">
        <v>5.273</v>
      </c>
      <c r="I470" s="173" t="n">
        <v>27555</v>
      </c>
      <c r="J470" s="174" t="n">
        <v>10.2239</v>
      </c>
      <c r="K470" s="175" t="n">
        <v>3.61</v>
      </c>
      <c r="L470" s="176" t="n">
        <v>0</v>
      </c>
      <c r="M470" s="176" t="n">
        <v>0</v>
      </c>
      <c r="N470" s="174" t="n">
        <v>371.165</v>
      </c>
      <c r="O470" s="173" t="n">
        <v>6317054</v>
      </c>
    </row>
    <row r="471" customFormat="false" ht="12.75" hidden="false" customHeight="true" outlineLevel="0" collapsed="false">
      <c r="B471" s="177" t="s">
        <v>38</v>
      </c>
      <c r="C471" s="178" t="n">
        <v>2012</v>
      </c>
      <c r="D471" s="179" t="n">
        <v>7.78</v>
      </c>
      <c r="E471" s="179" t="n">
        <v>2.45</v>
      </c>
      <c r="F471" s="180" t="n">
        <v>865</v>
      </c>
      <c r="G471" s="181" t="n">
        <v>6.2046</v>
      </c>
      <c r="H471" s="181" t="n">
        <v>5.0499</v>
      </c>
      <c r="I471" s="180" t="n">
        <v>30143</v>
      </c>
      <c r="J471" s="181" t="n">
        <v>10.3137</v>
      </c>
      <c r="K471" s="182" t="n">
        <v>3.14</v>
      </c>
      <c r="L471" s="183" t="n">
        <v>0</v>
      </c>
      <c r="M471" s="183" t="n">
        <v>0</v>
      </c>
      <c r="N471" s="181" t="n">
        <v>371.165</v>
      </c>
      <c r="O471" s="180" t="n">
        <v>6362734</v>
      </c>
    </row>
    <row r="472" customFormat="false" ht="12.75" hidden="false" customHeight="true" outlineLevel="0" collapsed="false">
      <c r="B472" s="170" t="s">
        <v>38</v>
      </c>
      <c r="C472" s="171" t="n">
        <v>2013</v>
      </c>
      <c r="D472" s="172" t="n">
        <v>6.62</v>
      </c>
      <c r="E472" s="172" t="n">
        <v>1.18</v>
      </c>
      <c r="F472" s="173" t="n">
        <v>943</v>
      </c>
      <c r="G472" s="174" t="n">
        <v>6.0845</v>
      </c>
      <c r="H472" s="174" t="n">
        <v>4.3567</v>
      </c>
      <c r="I472" s="173" t="n">
        <v>32334</v>
      </c>
      <c r="J472" s="174" t="n">
        <v>10.3839</v>
      </c>
      <c r="K472" s="175" t="n">
        <v>3.36</v>
      </c>
      <c r="L472" s="176" t="n">
        <v>0</v>
      </c>
      <c r="M472" s="176" t="n">
        <v>0</v>
      </c>
      <c r="N472" s="174" t="n">
        <v>371.165</v>
      </c>
      <c r="O472" s="173" t="n">
        <v>6634254</v>
      </c>
    </row>
    <row r="473" customFormat="false" ht="12.75" hidden="false" customHeight="true" outlineLevel="0" collapsed="false">
      <c r="B473" s="177" t="s">
        <v>38</v>
      </c>
      <c r="C473" s="178" t="n">
        <v>2014</v>
      </c>
      <c r="D473" s="179" t="n">
        <v>7.37</v>
      </c>
      <c r="E473" s="179" t="n">
        <v>2.04</v>
      </c>
      <c r="F473" s="180" t="n">
        <v>1080</v>
      </c>
      <c r="G473" s="181" t="n">
        <v>6.2066</v>
      </c>
      <c r="H473" s="181" t="n">
        <v>4.92</v>
      </c>
      <c r="I473" s="180" t="n">
        <v>36056</v>
      </c>
      <c r="J473" s="181" t="n">
        <v>10.4928</v>
      </c>
      <c r="K473" s="182" t="n">
        <v>3.13</v>
      </c>
      <c r="L473" s="183" t="n">
        <v>0</v>
      </c>
      <c r="M473" s="183" t="n">
        <v>0</v>
      </c>
      <c r="N473" s="181" t="n">
        <v>371.165</v>
      </c>
      <c r="O473" s="180" t="n">
        <v>6727148</v>
      </c>
    </row>
    <row r="474" customFormat="false" ht="12.75" hidden="false" customHeight="true" outlineLevel="0" collapsed="false">
      <c r="B474" s="170" t="s">
        <v>38</v>
      </c>
      <c r="C474" s="171" t="n">
        <v>2015</v>
      </c>
      <c r="D474" s="172" t="n">
        <v>8.26</v>
      </c>
      <c r="E474" s="172" t="n">
        <v>2.23</v>
      </c>
      <c r="F474" s="173" t="n">
        <v>1232</v>
      </c>
      <c r="G474" s="174" t="n">
        <v>6.3333</v>
      </c>
      <c r="H474" s="174" t="n">
        <v>5.0239</v>
      </c>
      <c r="I474" s="173" t="n">
        <v>36526</v>
      </c>
      <c r="J474" s="174" t="n">
        <v>10.5058</v>
      </c>
      <c r="K474" s="175" t="n">
        <v>4.2</v>
      </c>
      <c r="L474" s="176" t="n">
        <v>0</v>
      </c>
      <c r="M474" s="176" t="n">
        <v>0</v>
      </c>
      <c r="N474" s="174" t="n">
        <v>371.165</v>
      </c>
      <c r="O474" s="173" t="n">
        <v>6819190</v>
      </c>
    </row>
    <row r="475" customFormat="false" ht="12.75" hidden="false" customHeight="true" outlineLevel="0" collapsed="false">
      <c r="B475" s="184" t="s">
        <v>38</v>
      </c>
      <c r="C475" s="185" t="n">
        <v>2016</v>
      </c>
      <c r="D475" s="186" t="n">
        <v>8.8</v>
      </c>
      <c r="E475" s="186" t="n">
        <v>6.29</v>
      </c>
      <c r="F475" s="187" t="n">
        <v>1667</v>
      </c>
      <c r="G475" s="188" t="n">
        <v>6.4102</v>
      </c>
      <c r="H475" s="188" t="n">
        <v>6.0753</v>
      </c>
      <c r="I475" s="187" t="n">
        <v>37154</v>
      </c>
      <c r="J475" s="188" t="n">
        <v>10.5228</v>
      </c>
      <c r="K475" s="189" t="n">
        <v>6.4</v>
      </c>
      <c r="L475" s="190" t="n">
        <v>0</v>
      </c>
      <c r="M475" s="190" t="n">
        <v>0</v>
      </c>
      <c r="N475" s="188" t="n">
        <v>371.165</v>
      </c>
      <c r="O475" s="187" t="n">
        <v>6910553</v>
      </c>
    </row>
    <row r="476" customFormat="false" ht="12.75" hidden="false" customHeight="true" outlineLevel="0" collapsed="false">
      <c r="B476" s="191" t="s">
        <v>38</v>
      </c>
      <c r="C476" s="192" t="n">
        <v>2017</v>
      </c>
      <c r="D476" s="193" t="n">
        <v>9.56</v>
      </c>
      <c r="E476" s="193" t="n">
        <v>7.14</v>
      </c>
      <c r="F476" s="194" t="n">
        <v>2167</v>
      </c>
      <c r="G476" s="195" t="n">
        <v>6.5058</v>
      </c>
      <c r="H476" s="195" t="n">
        <v>6.2146</v>
      </c>
      <c r="I476" s="194" t="n">
        <v>39603</v>
      </c>
      <c r="J476" s="195" t="n">
        <v>10.5867</v>
      </c>
      <c r="K476" s="196" t="n">
        <v>7.2</v>
      </c>
      <c r="L476" s="197" t="n">
        <v>0</v>
      </c>
      <c r="M476" s="197" t="n">
        <v>0</v>
      </c>
      <c r="N476" s="195" t="n">
        <v>371.165</v>
      </c>
      <c r="O476" s="194" t="n">
        <v>7001161</v>
      </c>
    </row>
    <row r="477" customFormat="false" ht="12.75" hidden="false" customHeight="true" outlineLevel="0" collapsed="false">
      <c r="B477" s="184" t="s">
        <v>38</v>
      </c>
      <c r="C477" s="185" t="n">
        <v>2018</v>
      </c>
      <c r="D477" s="186" t="n">
        <v>6.35</v>
      </c>
      <c r="E477" s="186" t="n">
        <v>14.74</v>
      </c>
      <c r="F477" s="187" t="n">
        <v>3210</v>
      </c>
      <c r="G477" s="188" t="n">
        <v>6.107</v>
      </c>
      <c r="H477" s="188" t="n">
        <v>6.9499</v>
      </c>
      <c r="I477" s="187" t="n">
        <v>42149</v>
      </c>
      <c r="J477" s="188" t="n">
        <v>10.649</v>
      </c>
      <c r="K477" s="189" t="n">
        <v>6.5</v>
      </c>
      <c r="L477" s="190" t="n">
        <v>0</v>
      </c>
      <c r="M477" s="190" t="n">
        <v>0</v>
      </c>
      <c r="N477" s="188" t="n">
        <v>371.165</v>
      </c>
      <c r="O477" s="187" t="n">
        <v>7075494</v>
      </c>
    </row>
    <row r="478" customFormat="false" ht="12.75" hidden="false" customHeight="true" outlineLevel="0" collapsed="false">
      <c r="B478" s="191" t="s">
        <v>38</v>
      </c>
      <c r="C478" s="192" t="n">
        <v>2019</v>
      </c>
      <c r="D478" s="193" t="n">
        <v>5.51</v>
      </c>
      <c r="E478" s="193" t="n">
        <v>100.77</v>
      </c>
      <c r="F478" s="194" t="n">
        <v>10430</v>
      </c>
      <c r="G478" s="195" t="n">
        <v>5.9789</v>
      </c>
      <c r="H478" s="195" t="n">
        <v>8.8846</v>
      </c>
      <c r="I478" s="194" t="n">
        <v>45118</v>
      </c>
      <c r="J478" s="195" t="n">
        <v>10.717</v>
      </c>
      <c r="K478" s="196" t="n">
        <v>6.2</v>
      </c>
      <c r="L478" s="197" t="n">
        <v>0</v>
      </c>
      <c r="M478" s="197" t="n">
        <v>0</v>
      </c>
      <c r="N478" s="195" t="n">
        <v>371.165</v>
      </c>
      <c r="O478" s="194" t="n">
        <v>7164788</v>
      </c>
    </row>
    <row r="479" customFormat="false" ht="12.75" hidden="false" customHeight="true" outlineLevel="0" collapsed="false">
      <c r="B479" s="184" t="s">
        <v>38</v>
      </c>
      <c r="C479" s="185" t="n">
        <v>2020</v>
      </c>
      <c r="D479" s="186" t="n">
        <v>5.27</v>
      </c>
      <c r="E479" s="186" t="n">
        <v>179.33</v>
      </c>
      <c r="F479" s="187" t="n">
        <v>23436</v>
      </c>
      <c r="G479" s="188" t="n">
        <v>5.9454</v>
      </c>
      <c r="H479" s="188" t="n">
        <v>9.4732</v>
      </c>
      <c r="I479" s="187" t="n">
        <v>48159</v>
      </c>
      <c r="J479" s="188" t="n">
        <v>10.7823</v>
      </c>
      <c r="K479" s="189" t="n">
        <v>6.3</v>
      </c>
      <c r="L479" s="190" t="n">
        <v>0</v>
      </c>
      <c r="M479" s="190" t="n">
        <v>1</v>
      </c>
      <c r="N479" s="188" t="n">
        <v>371.165</v>
      </c>
      <c r="O479" s="187" t="n">
        <v>7252502</v>
      </c>
    </row>
    <row r="480" customFormat="false" ht="12.75" hidden="false" customHeight="true" outlineLevel="0" collapsed="false">
      <c r="B480" s="191" t="s">
        <v>38</v>
      </c>
      <c r="C480" s="192" t="n">
        <v>2021</v>
      </c>
      <c r="D480" s="193" t="n">
        <v>5.18</v>
      </c>
      <c r="E480" s="193" t="n">
        <v>153.79</v>
      </c>
      <c r="F480" s="194" t="n">
        <v>34722</v>
      </c>
      <c r="G480" s="195" t="n">
        <v>5.9402</v>
      </c>
      <c r="H480" s="195" t="n">
        <v>9.3313</v>
      </c>
      <c r="I480" s="194" t="n">
        <v>58401</v>
      </c>
      <c r="J480" s="195" t="n">
        <v>10.9751</v>
      </c>
      <c r="K480" s="196" t="n">
        <v>5.5</v>
      </c>
      <c r="L480" s="197" t="n">
        <v>0</v>
      </c>
      <c r="M480" s="197" t="n">
        <v>1</v>
      </c>
      <c r="N480" s="195" t="n">
        <v>371.165</v>
      </c>
      <c r="O480" s="194" t="n">
        <v>7338473</v>
      </c>
    </row>
    <row r="481" customFormat="false" ht="12.75" hidden="false" customHeight="true" outlineLevel="0" collapsed="false">
      <c r="B481" s="184" t="s">
        <v>38</v>
      </c>
      <c r="C481" s="185" t="n">
        <v>2022</v>
      </c>
      <c r="D481" s="186" t="n">
        <v>4.11</v>
      </c>
      <c r="E481" s="186" t="n">
        <v>371.17</v>
      </c>
      <c r="F481" s="187" t="n">
        <v>62969</v>
      </c>
      <c r="G481" s="188" t="n">
        <v>5.7462</v>
      </c>
      <c r="H481" s="188" t="n">
        <v>10.2487</v>
      </c>
      <c r="I481" s="187" t="n">
        <v>61268</v>
      </c>
      <c r="J481" s="188" t="n">
        <v>11.023</v>
      </c>
      <c r="K481" s="189" t="n">
        <v>3.9</v>
      </c>
      <c r="L481" s="190" t="n">
        <v>0</v>
      </c>
      <c r="M481" s="190" t="n">
        <v>0</v>
      </c>
      <c r="N481" s="188" t="n">
        <v>371.165</v>
      </c>
      <c r="O481" s="187" t="n">
        <v>7610361</v>
      </c>
    </row>
    <row r="482" customFormat="false" ht="12.75" hidden="false" customHeight="true" outlineLevel="0" collapsed="false">
      <c r="B482" s="191" t="s">
        <v>38</v>
      </c>
      <c r="C482" s="192" t="n">
        <v>2023</v>
      </c>
      <c r="D482" s="193" t="n">
        <v>3.9</v>
      </c>
      <c r="E482" s="193" t="n">
        <v>0.97</v>
      </c>
      <c r="F482" s="194" t="n">
        <v>63043</v>
      </c>
      <c r="G482" s="195" t="n">
        <v>5.6937</v>
      </c>
      <c r="H482" s="195" t="n">
        <v>4.3041</v>
      </c>
      <c r="I482" s="194" t="n">
        <v>67460</v>
      </c>
      <c r="J482" s="195" t="n">
        <v>11.1193</v>
      </c>
      <c r="K482" s="196" t="n">
        <v>3.5</v>
      </c>
      <c r="L482" s="197" t="n">
        <v>1</v>
      </c>
      <c r="M482" s="197" t="n">
        <v>0</v>
      </c>
      <c r="N482" s="195" t="n">
        <v>371.165</v>
      </c>
      <c r="O482" s="194" t="n">
        <v>7610361</v>
      </c>
    </row>
    <row r="483" customFormat="false" ht="12.75" hidden="false" customHeight="true" outlineLevel="0" collapsed="false">
      <c r="B483" s="184" t="s">
        <v>38</v>
      </c>
      <c r="C483" s="185" t="n">
        <v>2024</v>
      </c>
      <c r="D483" s="186" t="n">
        <v>3.78</v>
      </c>
      <c r="E483" s="186" t="n">
        <v>72.78</v>
      </c>
      <c r="F483" s="187" t="n">
        <v>68908</v>
      </c>
      <c r="G483" s="188" t="n">
        <v>5.7203</v>
      </c>
      <c r="H483" s="188" t="n">
        <v>8.6768</v>
      </c>
      <c r="I483" s="187" t="n">
        <v>69506</v>
      </c>
      <c r="J483" s="188" t="n">
        <v>11.1492</v>
      </c>
      <c r="K483" s="189" t="n">
        <v>3.1</v>
      </c>
      <c r="L483" s="190" t="n">
        <v>1</v>
      </c>
      <c r="M483" s="190" t="n">
        <v>0</v>
      </c>
      <c r="N483" s="188" t="n">
        <v>371.165</v>
      </c>
      <c r="O483" s="187" t="n">
        <v>8058441</v>
      </c>
    </row>
    <row r="484" customFormat="false" ht="12.75" hidden="false" customHeight="true" outlineLevel="0" collapsed="false">
      <c r="B484" s="170" t="s">
        <v>39</v>
      </c>
      <c r="C484" s="171" t="n">
        <v>2005</v>
      </c>
      <c r="D484" s="172" t="n">
        <v>16.52</v>
      </c>
      <c r="E484" s="172" t="n">
        <v>0</v>
      </c>
      <c r="F484" s="173" t="n">
        <v>0</v>
      </c>
      <c r="G484" s="174" t="n">
        <v>5.7838</v>
      </c>
      <c r="H484" s="174"/>
      <c r="I484" s="173" t="n">
        <v>6823</v>
      </c>
      <c r="J484" s="174" t="n">
        <v>8.8281</v>
      </c>
      <c r="K484" s="175" t="n">
        <v>13.98</v>
      </c>
      <c r="L484" s="176" t="n">
        <v>0</v>
      </c>
      <c r="M484" s="176" t="n">
        <v>0</v>
      </c>
      <c r="N484" s="174" t="n">
        <v>47.4207</v>
      </c>
      <c r="O484" s="173" t="n">
        <v>1967791</v>
      </c>
    </row>
    <row r="485" customFormat="false" ht="12.75" hidden="false" customHeight="true" outlineLevel="0" collapsed="false">
      <c r="B485" s="177" t="s">
        <v>39</v>
      </c>
      <c r="C485" s="178" t="n">
        <v>2006</v>
      </c>
      <c r="D485" s="179" t="n">
        <v>20.69</v>
      </c>
      <c r="E485" s="179" t="n">
        <v>0</v>
      </c>
      <c r="F485" s="180" t="n">
        <v>0</v>
      </c>
      <c r="G485" s="181" t="n">
        <v>6.0259</v>
      </c>
      <c r="H485" s="181"/>
      <c r="I485" s="180" t="n">
        <v>7559</v>
      </c>
      <c r="J485" s="181" t="n">
        <v>8.9305</v>
      </c>
      <c r="K485" s="182" t="n">
        <v>10.29</v>
      </c>
      <c r="L485" s="183" t="n">
        <v>0</v>
      </c>
      <c r="M485" s="183" t="n">
        <v>0</v>
      </c>
      <c r="N485" s="181" t="n">
        <v>47.4207</v>
      </c>
      <c r="O485" s="180" t="n">
        <v>2000738</v>
      </c>
    </row>
    <row r="486" customFormat="false" ht="12.75" hidden="false" customHeight="true" outlineLevel="0" collapsed="false">
      <c r="B486" s="170" t="s">
        <v>39</v>
      </c>
      <c r="C486" s="171" t="n">
        <v>2007</v>
      </c>
      <c r="D486" s="172" t="n">
        <v>17.84</v>
      </c>
      <c r="E486" s="172" t="n">
        <v>0</v>
      </c>
      <c r="F486" s="173" t="n">
        <v>0</v>
      </c>
      <c r="G486" s="174" t="n">
        <v>5.8464</v>
      </c>
      <c r="H486" s="174"/>
      <c r="I486" s="173" t="n">
        <v>8712</v>
      </c>
      <c r="J486" s="174" t="n">
        <v>9.0725</v>
      </c>
      <c r="K486" s="175" t="n">
        <v>9.77</v>
      </c>
      <c r="L486" s="176" t="n">
        <v>0</v>
      </c>
      <c r="M486" s="176" t="n">
        <v>0</v>
      </c>
      <c r="N486" s="174" t="n">
        <v>47.4207</v>
      </c>
      <c r="O486" s="173" t="n">
        <v>1939426</v>
      </c>
    </row>
    <row r="487" customFormat="false" ht="12.75" hidden="false" customHeight="true" outlineLevel="0" collapsed="false">
      <c r="B487" s="177" t="s">
        <v>39</v>
      </c>
      <c r="C487" s="178" t="n">
        <v>2008</v>
      </c>
      <c r="D487" s="179" t="n">
        <v>18.66</v>
      </c>
      <c r="E487" s="179" t="n">
        <v>0</v>
      </c>
      <c r="F487" s="180" t="n">
        <v>0</v>
      </c>
      <c r="G487" s="181" t="n">
        <v>5.9216</v>
      </c>
      <c r="H487" s="181"/>
      <c r="I487" s="180" t="n">
        <v>9779</v>
      </c>
      <c r="J487" s="181" t="n">
        <v>9.188</v>
      </c>
      <c r="K487" s="182" t="n">
        <v>8.43</v>
      </c>
      <c r="L487" s="183" t="n">
        <v>0</v>
      </c>
      <c r="M487" s="183" t="n">
        <v>0</v>
      </c>
      <c r="N487" s="181" t="n">
        <v>47.4207</v>
      </c>
      <c r="O487" s="180" t="n">
        <v>1999374</v>
      </c>
    </row>
    <row r="488" customFormat="false" ht="12.75" hidden="false" customHeight="true" outlineLevel="0" collapsed="false">
      <c r="B488" s="170" t="s">
        <v>39</v>
      </c>
      <c r="C488" s="171" t="n">
        <v>2009</v>
      </c>
      <c r="D488" s="172" t="n">
        <v>22.18</v>
      </c>
      <c r="E488" s="172" t="n">
        <v>0</v>
      </c>
      <c r="F488" s="173" t="n">
        <v>0</v>
      </c>
      <c r="G488" s="174" t="n">
        <v>6.1048</v>
      </c>
      <c r="H488" s="174"/>
      <c r="I488" s="173" t="n">
        <v>9787</v>
      </c>
      <c r="J488" s="174" t="n">
        <v>9.1888</v>
      </c>
      <c r="K488" s="175" t="n">
        <v>12.01</v>
      </c>
      <c r="L488" s="176" t="n">
        <v>0</v>
      </c>
      <c r="M488" s="176" t="n">
        <v>0</v>
      </c>
      <c r="N488" s="174" t="n">
        <v>47.4207</v>
      </c>
      <c r="O488" s="173" t="n">
        <v>2019679</v>
      </c>
    </row>
    <row r="489" customFormat="false" ht="12.75" hidden="false" customHeight="true" outlineLevel="0" collapsed="false">
      <c r="B489" s="177" t="s">
        <v>39</v>
      </c>
      <c r="C489" s="178" t="n">
        <v>2010</v>
      </c>
      <c r="D489" s="179" t="n">
        <v>22.29</v>
      </c>
      <c r="E489" s="179" t="n">
        <v>0</v>
      </c>
      <c r="F489" s="180" t="n">
        <v>0</v>
      </c>
      <c r="G489" s="181" t="n">
        <v>6.1334</v>
      </c>
      <c r="H489" s="181"/>
      <c r="I489" s="180" t="n">
        <v>12768</v>
      </c>
      <c r="J489" s="181" t="n">
        <v>9.4547</v>
      </c>
      <c r="K489" s="182" t="n">
        <v>10.48</v>
      </c>
      <c r="L489" s="183" t="n">
        <v>0</v>
      </c>
      <c r="M489" s="183" t="n">
        <v>0</v>
      </c>
      <c r="N489" s="181" t="n">
        <v>47.4207</v>
      </c>
      <c r="O489" s="180" t="n">
        <v>2068017</v>
      </c>
    </row>
    <row r="490" customFormat="false" ht="12.75" hidden="false" customHeight="true" outlineLevel="0" collapsed="false">
      <c r="B490" s="170" t="s">
        <v>39</v>
      </c>
      <c r="C490" s="171" t="n">
        <v>2011</v>
      </c>
      <c r="D490" s="172" t="n">
        <v>25.17</v>
      </c>
      <c r="E490" s="172" t="n">
        <v>0</v>
      </c>
      <c r="F490" s="173" t="n">
        <v>0</v>
      </c>
      <c r="G490" s="174" t="n">
        <v>6.2653</v>
      </c>
      <c r="H490" s="174"/>
      <c r="I490" s="173" t="n">
        <v>13929</v>
      </c>
      <c r="J490" s="174" t="n">
        <v>9.5417</v>
      </c>
      <c r="K490" s="175" t="n">
        <v>8.96</v>
      </c>
      <c r="L490" s="176" t="n">
        <v>0</v>
      </c>
      <c r="M490" s="176" t="n">
        <v>0</v>
      </c>
      <c r="N490" s="174" t="n">
        <v>47.4207</v>
      </c>
      <c r="O490" s="173" t="n">
        <v>2089819</v>
      </c>
    </row>
    <row r="491" customFormat="false" ht="12.75" hidden="false" customHeight="true" outlineLevel="0" collapsed="false">
      <c r="B491" s="177" t="s">
        <v>39</v>
      </c>
      <c r="C491" s="178" t="n">
        <v>2012</v>
      </c>
      <c r="D491" s="179" t="n">
        <v>30.94</v>
      </c>
      <c r="E491" s="179" t="n">
        <v>0.05</v>
      </c>
      <c r="F491" s="180" t="n">
        <v>1</v>
      </c>
      <c r="G491" s="181" t="n">
        <v>6.4816</v>
      </c>
      <c r="H491" s="181" t="n">
        <v>0</v>
      </c>
      <c r="I491" s="180" t="n">
        <v>15564</v>
      </c>
      <c r="J491" s="181" t="n">
        <v>9.6527</v>
      </c>
      <c r="K491" s="182" t="n">
        <v>8.5</v>
      </c>
      <c r="L491" s="183" t="n">
        <v>0</v>
      </c>
      <c r="M491" s="183" t="n">
        <v>0</v>
      </c>
      <c r="N491" s="181" t="n">
        <v>47.4207</v>
      </c>
      <c r="O491" s="180" t="n">
        <v>2110867</v>
      </c>
    </row>
    <row r="492" customFormat="false" ht="12.75" hidden="false" customHeight="true" outlineLevel="0" collapsed="false">
      <c r="B492" s="170" t="s">
        <v>39</v>
      </c>
      <c r="C492" s="171" t="n">
        <v>2013</v>
      </c>
      <c r="D492" s="172" t="n">
        <v>32.93</v>
      </c>
      <c r="E492" s="172" t="n">
        <v>0.14</v>
      </c>
      <c r="F492" s="173" t="n">
        <v>4</v>
      </c>
      <c r="G492" s="174" t="n">
        <v>6.5834</v>
      </c>
      <c r="H492" s="174" t="n">
        <v>1.0986</v>
      </c>
      <c r="I492" s="173" t="n">
        <v>16094</v>
      </c>
      <c r="J492" s="174" t="n">
        <v>9.6862</v>
      </c>
      <c r="K492" s="175" t="n">
        <v>9.32</v>
      </c>
      <c r="L492" s="176" t="n">
        <v>0</v>
      </c>
      <c r="M492" s="176" t="n">
        <v>0</v>
      </c>
      <c r="N492" s="174" t="n">
        <v>47.4207</v>
      </c>
      <c r="O492" s="173" t="n">
        <v>2195662</v>
      </c>
    </row>
    <row r="493" customFormat="false" ht="12.75" hidden="false" customHeight="true" outlineLevel="0" collapsed="false">
      <c r="B493" s="177" t="s">
        <v>39</v>
      </c>
      <c r="C493" s="178" t="n">
        <v>2014</v>
      </c>
      <c r="D493" s="179" t="n">
        <v>40.37</v>
      </c>
      <c r="E493" s="179" t="n">
        <v>0</v>
      </c>
      <c r="F493" s="180" t="n">
        <v>4</v>
      </c>
      <c r="G493" s="181" t="n">
        <v>6.7979</v>
      </c>
      <c r="H493" s="181"/>
      <c r="I493" s="180" t="n">
        <v>16883</v>
      </c>
      <c r="J493" s="181" t="n">
        <v>9.7341</v>
      </c>
      <c r="K493" s="182" t="n">
        <v>8.65</v>
      </c>
      <c r="L493" s="183" t="n">
        <v>0</v>
      </c>
      <c r="M493" s="183" t="n">
        <v>0</v>
      </c>
      <c r="N493" s="181" t="n">
        <v>47.4207</v>
      </c>
      <c r="O493" s="180" t="n">
        <v>2219574</v>
      </c>
    </row>
    <row r="494" customFormat="false" ht="12.75" hidden="false" customHeight="true" outlineLevel="0" collapsed="false">
      <c r="B494" s="170" t="s">
        <v>39</v>
      </c>
      <c r="C494" s="171" t="n">
        <v>2015</v>
      </c>
      <c r="D494" s="172" t="n">
        <v>49.09</v>
      </c>
      <c r="E494" s="172" t="n">
        <v>0.36</v>
      </c>
      <c r="F494" s="173" t="n">
        <v>12</v>
      </c>
      <c r="G494" s="174" t="n">
        <v>7.004</v>
      </c>
      <c r="H494" s="174" t="n">
        <v>2.0794</v>
      </c>
      <c r="I494" s="173" t="n">
        <v>17190</v>
      </c>
      <c r="J494" s="174" t="n">
        <v>9.7521</v>
      </c>
      <c r="K494" s="175" t="n">
        <v>9.2</v>
      </c>
      <c r="L494" s="176" t="n">
        <v>0</v>
      </c>
      <c r="M494" s="176" t="n">
        <v>0</v>
      </c>
      <c r="N494" s="174" t="n">
        <v>47.4207</v>
      </c>
      <c r="O494" s="173" t="n">
        <v>2242937</v>
      </c>
    </row>
    <row r="495" customFormat="false" ht="12.75" hidden="false" customHeight="true" outlineLevel="0" collapsed="false">
      <c r="B495" s="184" t="s">
        <v>39</v>
      </c>
      <c r="C495" s="185" t="n">
        <v>2016</v>
      </c>
      <c r="D495" s="186" t="n">
        <v>55.74</v>
      </c>
      <c r="E495" s="186" t="n">
        <v>2.43</v>
      </c>
      <c r="F495" s="187" t="n">
        <v>67</v>
      </c>
      <c r="G495" s="188" t="n">
        <v>7.1412</v>
      </c>
      <c r="H495" s="188" t="n">
        <v>4.0073</v>
      </c>
      <c r="I495" s="187" t="n">
        <v>17159</v>
      </c>
      <c r="J495" s="188" t="n">
        <v>9.7503</v>
      </c>
      <c r="K495" s="189" t="n">
        <v>13.6</v>
      </c>
      <c r="L495" s="190" t="n">
        <v>0</v>
      </c>
      <c r="M495" s="190" t="n">
        <v>0</v>
      </c>
      <c r="N495" s="188" t="n">
        <v>47.4207</v>
      </c>
      <c r="O495" s="187" t="n">
        <v>2265779</v>
      </c>
    </row>
    <row r="496" customFormat="false" ht="12.75" hidden="false" customHeight="true" outlineLevel="0" collapsed="false">
      <c r="B496" s="191" t="s">
        <v>39</v>
      </c>
      <c r="C496" s="192" t="n">
        <v>2017</v>
      </c>
      <c r="D496" s="193" t="n">
        <v>47.94</v>
      </c>
      <c r="E496" s="193" t="n">
        <v>3.76</v>
      </c>
      <c r="F496" s="194" t="n">
        <v>153</v>
      </c>
      <c r="G496" s="195" t="n">
        <v>7.0003</v>
      </c>
      <c r="H496" s="195" t="n">
        <v>4.4543</v>
      </c>
      <c r="I496" s="194" t="n">
        <v>17793</v>
      </c>
      <c r="J496" s="195" t="n">
        <v>9.7866</v>
      </c>
      <c r="K496" s="196" t="n">
        <v>14.6</v>
      </c>
      <c r="L496" s="197" t="n">
        <v>0</v>
      </c>
      <c r="M496" s="197" t="n">
        <v>0</v>
      </c>
      <c r="N496" s="195" t="n">
        <v>47.4207</v>
      </c>
      <c r="O496" s="194" t="n">
        <v>2288116</v>
      </c>
    </row>
    <row r="497" customFormat="false" ht="12.75" hidden="false" customHeight="true" outlineLevel="0" collapsed="false">
      <c r="B497" s="184" t="s">
        <v>39</v>
      </c>
      <c r="C497" s="185" t="n">
        <v>2018</v>
      </c>
      <c r="D497" s="186" t="n">
        <v>42.18</v>
      </c>
      <c r="E497" s="186" t="n">
        <v>4.13</v>
      </c>
      <c r="F497" s="187" t="n">
        <v>247</v>
      </c>
      <c r="G497" s="188" t="n">
        <v>6.868</v>
      </c>
      <c r="H497" s="188" t="n">
        <v>4.5433</v>
      </c>
      <c r="I497" s="187" t="n">
        <v>18443</v>
      </c>
      <c r="J497" s="188" t="n">
        <v>9.8224</v>
      </c>
      <c r="K497" s="189" t="n">
        <v>16.8</v>
      </c>
      <c r="L497" s="190" t="n">
        <v>0</v>
      </c>
      <c r="M497" s="190" t="n">
        <v>0</v>
      </c>
      <c r="N497" s="188" t="n">
        <v>47.4207</v>
      </c>
      <c r="O497" s="187" t="n">
        <v>2278308</v>
      </c>
    </row>
    <row r="498" customFormat="false" ht="12.75" hidden="false" customHeight="true" outlineLevel="0" collapsed="false">
      <c r="B498" s="191" t="s">
        <v>39</v>
      </c>
      <c r="C498" s="192" t="n">
        <v>2019</v>
      </c>
      <c r="D498" s="193" t="n">
        <v>33.93</v>
      </c>
      <c r="E498" s="193" t="n">
        <v>15.84</v>
      </c>
      <c r="F498" s="194" t="n">
        <v>611</v>
      </c>
      <c r="G498" s="195" t="n">
        <v>6.6593</v>
      </c>
      <c r="H498" s="195" t="n">
        <v>5.8972</v>
      </c>
      <c r="I498" s="194" t="n">
        <v>19441</v>
      </c>
      <c r="J498" s="195" t="n">
        <v>9.8751</v>
      </c>
      <c r="K498" s="196" t="n">
        <v>15.2</v>
      </c>
      <c r="L498" s="197" t="n">
        <v>0</v>
      </c>
      <c r="M498" s="197" t="n">
        <v>0</v>
      </c>
      <c r="N498" s="195" t="n">
        <v>47.4207</v>
      </c>
      <c r="O498" s="194" t="n">
        <v>2298696</v>
      </c>
    </row>
    <row r="499" customFormat="false" ht="12.75" hidden="false" customHeight="true" outlineLevel="0" collapsed="false">
      <c r="B499" s="184" t="s">
        <v>39</v>
      </c>
      <c r="C499" s="185" t="n">
        <v>2020</v>
      </c>
      <c r="D499" s="186" t="n">
        <v>35.49</v>
      </c>
      <c r="E499" s="186" t="n">
        <v>26.69</v>
      </c>
      <c r="F499" s="187" t="n">
        <v>1230</v>
      </c>
      <c r="G499" s="188" t="n">
        <v>6.713</v>
      </c>
      <c r="H499" s="188" t="n">
        <v>6.4281</v>
      </c>
      <c r="I499" s="187" t="n">
        <v>19583</v>
      </c>
      <c r="J499" s="188" t="n">
        <v>9.8824</v>
      </c>
      <c r="K499" s="189" t="n">
        <v>18.9</v>
      </c>
      <c r="L499" s="190" t="n">
        <v>0</v>
      </c>
      <c r="M499" s="190" t="n">
        <v>1</v>
      </c>
      <c r="N499" s="188" t="n">
        <v>47.4207</v>
      </c>
      <c r="O499" s="187" t="n">
        <v>2318822</v>
      </c>
    </row>
    <row r="500" customFormat="false" ht="12.75" hidden="false" customHeight="true" outlineLevel="0" collapsed="false">
      <c r="B500" s="191" t="s">
        <v>39</v>
      </c>
      <c r="C500" s="192" t="n">
        <v>2021</v>
      </c>
      <c r="D500" s="193" t="n">
        <v>28.39</v>
      </c>
      <c r="E500" s="193" t="n">
        <v>42.89</v>
      </c>
      <c r="F500" s="194" t="n">
        <v>2233</v>
      </c>
      <c r="G500" s="195" t="n">
        <v>6.4983</v>
      </c>
      <c r="H500" s="195" t="n">
        <v>6.9108</v>
      </c>
      <c r="I500" s="194" t="n">
        <v>22177</v>
      </c>
      <c r="J500" s="195" t="n">
        <v>10.0068</v>
      </c>
      <c r="K500" s="196" t="n">
        <v>18</v>
      </c>
      <c r="L500" s="197" t="n">
        <v>0</v>
      </c>
      <c r="M500" s="197" t="n">
        <v>1</v>
      </c>
      <c r="N500" s="195" t="n">
        <v>47.4207</v>
      </c>
      <c r="O500" s="194" t="n">
        <v>2338474</v>
      </c>
    </row>
    <row r="501" customFormat="false" ht="12.75" hidden="false" customHeight="true" outlineLevel="0" collapsed="false">
      <c r="B501" s="184" t="s">
        <v>39</v>
      </c>
      <c r="C501" s="185" t="n">
        <v>2022</v>
      </c>
      <c r="D501" s="186" t="n">
        <v>29.59</v>
      </c>
      <c r="E501" s="186" t="n">
        <v>47.42</v>
      </c>
      <c r="F501" s="187" t="n">
        <v>3281</v>
      </c>
      <c r="G501" s="188" t="n">
        <v>6.4831</v>
      </c>
      <c r="H501" s="188" t="n">
        <v>6.9546</v>
      </c>
      <c r="I501" s="187" t="n">
        <v>25960</v>
      </c>
      <c r="J501" s="188" t="n">
        <v>10.1643</v>
      </c>
      <c r="K501" s="189" t="n">
        <v>13.1</v>
      </c>
      <c r="L501" s="190" t="n">
        <v>0</v>
      </c>
      <c r="M501" s="190" t="n">
        <v>0</v>
      </c>
      <c r="N501" s="188" t="n">
        <v>47.4207</v>
      </c>
      <c r="O501" s="187" t="n">
        <v>2210004</v>
      </c>
    </row>
    <row r="502" customFormat="false" ht="12.75" hidden="false" customHeight="true" outlineLevel="0" collapsed="false">
      <c r="B502" s="191" t="s">
        <v>39</v>
      </c>
      <c r="C502" s="192" t="n">
        <v>2023</v>
      </c>
      <c r="D502" s="193" t="n">
        <v>25.88</v>
      </c>
      <c r="E502" s="193" t="n">
        <v>0.05</v>
      </c>
      <c r="F502" s="194" t="n">
        <v>3282</v>
      </c>
      <c r="G502" s="195" t="n">
        <v>6.3491</v>
      </c>
      <c r="H502" s="195" t="n">
        <v>0</v>
      </c>
      <c r="I502" s="194" t="n">
        <v>27519</v>
      </c>
      <c r="J502" s="195" t="n">
        <v>10.2226</v>
      </c>
      <c r="K502" s="196" t="n">
        <v>10.9</v>
      </c>
      <c r="L502" s="197" t="n">
        <v>1</v>
      </c>
      <c r="M502" s="197" t="n">
        <v>0</v>
      </c>
      <c r="N502" s="195" t="n">
        <v>47.4207</v>
      </c>
      <c r="O502" s="194" t="n">
        <v>2210004</v>
      </c>
    </row>
    <row r="503" customFormat="false" ht="12.75" hidden="false" customHeight="true" outlineLevel="0" collapsed="false">
      <c r="B503" s="184" t="s">
        <v>39</v>
      </c>
      <c r="C503" s="185" t="n">
        <v>2024</v>
      </c>
      <c r="D503" s="186" t="n">
        <v>17.28</v>
      </c>
      <c r="E503" s="186" t="n">
        <v>1.05</v>
      </c>
      <c r="F503" s="187" t="n">
        <v>3306</v>
      </c>
      <c r="G503" s="188" t="n">
        <v>5.9814</v>
      </c>
      <c r="H503" s="188" t="n">
        <v>3.1781</v>
      </c>
      <c r="I503" s="187" t="n">
        <v>28579</v>
      </c>
      <c r="J503" s="188" t="n">
        <v>10.2604</v>
      </c>
      <c r="K503" s="189" t="n">
        <v>8.9</v>
      </c>
      <c r="L503" s="190" t="n">
        <v>1</v>
      </c>
      <c r="M503" s="190" t="n">
        <v>0</v>
      </c>
      <c r="N503" s="188" t="n">
        <v>47.4207</v>
      </c>
      <c r="O503" s="187" t="n">
        <v>2291077</v>
      </c>
    </row>
    <row r="504" customFormat="false" ht="12.75" hidden="false" customHeight="true" outlineLevel="0" collapsed="false">
      <c r="B504" s="170" t="s">
        <v>40</v>
      </c>
      <c r="C504" s="171" t="n">
        <v>2005</v>
      </c>
      <c r="D504" s="172" t="n">
        <v>14.3</v>
      </c>
      <c r="E504" s="172" t="n">
        <v>1.48</v>
      </c>
      <c r="F504" s="173" t="n">
        <v>598</v>
      </c>
      <c r="G504" s="174" t="n">
        <v>8.6629</v>
      </c>
      <c r="H504" s="174" t="n">
        <v>6.3936</v>
      </c>
      <c r="I504" s="173" t="n">
        <v>17976</v>
      </c>
      <c r="J504" s="174" t="n">
        <v>9.7968</v>
      </c>
      <c r="K504" s="175" t="n">
        <v>11.76</v>
      </c>
      <c r="L504" s="176" t="n">
        <v>0</v>
      </c>
      <c r="M504" s="176" t="n">
        <v>0</v>
      </c>
      <c r="N504" s="174" t="n">
        <v>190.7603</v>
      </c>
      <c r="O504" s="173" t="n">
        <v>40442795</v>
      </c>
    </row>
    <row r="505" customFormat="false" ht="12.75" hidden="false" customHeight="true" outlineLevel="0" collapsed="false">
      <c r="B505" s="177" t="s">
        <v>40</v>
      </c>
      <c r="C505" s="178" t="n">
        <v>2006</v>
      </c>
      <c r="D505" s="179" t="n">
        <v>14</v>
      </c>
      <c r="E505" s="179" t="n">
        <v>1.58</v>
      </c>
      <c r="F505" s="180" t="n">
        <v>1248</v>
      </c>
      <c r="G505" s="181" t="n">
        <v>8.6566</v>
      </c>
      <c r="H505" s="181" t="n">
        <v>6.477</v>
      </c>
      <c r="I505" s="180" t="n">
        <v>19550</v>
      </c>
      <c r="J505" s="181" t="n">
        <v>9.8807</v>
      </c>
      <c r="K505" s="182" t="n">
        <v>10.23</v>
      </c>
      <c r="L505" s="183" t="n">
        <v>0</v>
      </c>
      <c r="M505" s="183" t="n">
        <v>0</v>
      </c>
      <c r="N505" s="181" t="n">
        <v>190.7603</v>
      </c>
      <c r="O505" s="180" t="n">
        <v>41055734</v>
      </c>
    </row>
    <row r="506" customFormat="false" ht="12.75" hidden="false" customHeight="true" outlineLevel="0" collapsed="false">
      <c r="B506" s="170" t="s">
        <v>40</v>
      </c>
      <c r="C506" s="171" t="n">
        <v>2007</v>
      </c>
      <c r="D506" s="172" t="n">
        <v>10.37</v>
      </c>
      <c r="E506" s="172" t="n">
        <v>2.3</v>
      </c>
      <c r="F506" s="173" t="n">
        <v>2164</v>
      </c>
      <c r="G506" s="174" t="n">
        <v>8.3258</v>
      </c>
      <c r="H506" s="174" t="n">
        <v>6.82</v>
      </c>
      <c r="I506" s="173" t="n">
        <v>22667</v>
      </c>
      <c r="J506" s="174" t="n">
        <v>10.0287</v>
      </c>
      <c r="K506" s="175" t="n">
        <v>9.52</v>
      </c>
      <c r="L506" s="176" t="n">
        <v>0</v>
      </c>
      <c r="M506" s="176" t="n">
        <v>0</v>
      </c>
      <c r="N506" s="174" t="n">
        <v>190.7603</v>
      </c>
      <c r="O506" s="173" t="n">
        <v>39827690</v>
      </c>
    </row>
    <row r="507" customFormat="false" ht="12.75" hidden="false" customHeight="true" outlineLevel="0" collapsed="false">
      <c r="B507" s="177" t="s">
        <v>40</v>
      </c>
      <c r="C507" s="178" t="n">
        <v>2008</v>
      </c>
      <c r="D507" s="179" t="n">
        <v>9.42</v>
      </c>
      <c r="E507" s="179" t="n">
        <v>3.15</v>
      </c>
      <c r="F507" s="180" t="n">
        <v>3455</v>
      </c>
      <c r="G507" s="181" t="n">
        <v>8.2597</v>
      </c>
      <c r="H507" s="181" t="n">
        <v>7.1632</v>
      </c>
      <c r="I507" s="180" t="n">
        <v>24457</v>
      </c>
      <c r="J507" s="181" t="n">
        <v>10.1047</v>
      </c>
      <c r="K507" s="182" t="n">
        <v>8.19</v>
      </c>
      <c r="L507" s="183" t="n">
        <v>0</v>
      </c>
      <c r="M507" s="183" t="n">
        <v>0</v>
      </c>
      <c r="N507" s="181" t="n">
        <v>190.7603</v>
      </c>
      <c r="O507" s="180" t="n">
        <v>41011638</v>
      </c>
    </row>
    <row r="508" customFormat="false" ht="12.75" hidden="false" customHeight="true" outlineLevel="0" collapsed="false">
      <c r="B508" s="170" t="s">
        <v>40</v>
      </c>
      <c r="C508" s="171" t="n">
        <v>2009</v>
      </c>
      <c r="D508" s="172" t="n">
        <v>9.26</v>
      </c>
      <c r="E508" s="172" t="n">
        <v>6.39</v>
      </c>
      <c r="F508" s="173" t="n">
        <v>6101</v>
      </c>
      <c r="G508" s="174" t="n">
        <v>8.2509</v>
      </c>
      <c r="H508" s="174" t="n">
        <v>7.8808</v>
      </c>
      <c r="I508" s="173" t="n">
        <v>26202</v>
      </c>
      <c r="J508" s="174" t="n">
        <v>10.1736</v>
      </c>
      <c r="K508" s="175" t="n">
        <v>9.8</v>
      </c>
      <c r="L508" s="176" t="n">
        <v>0</v>
      </c>
      <c r="M508" s="176" t="n">
        <v>0</v>
      </c>
      <c r="N508" s="174" t="n">
        <v>190.7603</v>
      </c>
      <c r="O508" s="173" t="n">
        <v>41384039</v>
      </c>
    </row>
    <row r="509" customFormat="false" ht="12.75" hidden="false" customHeight="true" outlineLevel="0" collapsed="false">
      <c r="B509" s="177" t="s">
        <v>40</v>
      </c>
      <c r="C509" s="178" t="n">
        <v>2010</v>
      </c>
      <c r="D509" s="179" t="n">
        <v>8.32</v>
      </c>
      <c r="E509" s="179" t="n">
        <v>6.35</v>
      </c>
      <c r="F509" s="180" t="n">
        <v>8721</v>
      </c>
      <c r="G509" s="181" t="n">
        <v>8.1415</v>
      </c>
      <c r="H509" s="181" t="n">
        <v>7.8709</v>
      </c>
      <c r="I509" s="180" t="n">
        <v>31377</v>
      </c>
      <c r="J509" s="181" t="n">
        <v>10.3538</v>
      </c>
      <c r="K509" s="182" t="n">
        <v>8.48</v>
      </c>
      <c r="L509" s="183" t="n">
        <v>0</v>
      </c>
      <c r="M509" s="183" t="n">
        <v>0</v>
      </c>
      <c r="N509" s="181" t="n">
        <v>190.7603</v>
      </c>
      <c r="O509" s="180" t="n">
        <v>41262199</v>
      </c>
    </row>
    <row r="510" customFormat="false" ht="12.75" hidden="false" customHeight="true" outlineLevel="0" collapsed="false">
      <c r="B510" s="170" t="s">
        <v>40</v>
      </c>
      <c r="C510" s="171" t="n">
        <v>2011</v>
      </c>
      <c r="D510" s="172" t="n">
        <v>7.77</v>
      </c>
      <c r="E510" s="172" t="n">
        <v>5.91</v>
      </c>
      <c r="F510" s="173" t="n">
        <v>11178</v>
      </c>
      <c r="G510" s="174" t="n">
        <v>8.0805</v>
      </c>
      <c r="H510" s="174" t="n">
        <v>7.8067</v>
      </c>
      <c r="I510" s="173" t="n">
        <v>34546</v>
      </c>
      <c r="J510" s="174" t="n">
        <v>10.45</v>
      </c>
      <c r="K510" s="175" t="n">
        <v>7.15</v>
      </c>
      <c r="L510" s="176" t="n">
        <v>0</v>
      </c>
      <c r="M510" s="176" t="n">
        <v>0</v>
      </c>
      <c r="N510" s="174" t="n">
        <v>190.7603</v>
      </c>
      <c r="O510" s="173" t="n">
        <v>41587182</v>
      </c>
    </row>
    <row r="511" customFormat="false" ht="12.75" hidden="false" customHeight="true" outlineLevel="0" collapsed="false">
      <c r="B511" s="177" t="s">
        <v>40</v>
      </c>
      <c r="C511" s="178" t="n">
        <v>2012</v>
      </c>
      <c r="D511" s="179" t="n">
        <v>9.12</v>
      </c>
      <c r="E511" s="179" t="n">
        <v>4.86</v>
      </c>
      <c r="F511" s="180" t="n">
        <v>13214</v>
      </c>
      <c r="G511" s="181" t="n">
        <v>8.2483</v>
      </c>
      <c r="H511" s="181" t="n">
        <v>7.6187</v>
      </c>
      <c r="I511" s="180" t="n">
        <v>37207</v>
      </c>
      <c r="J511" s="181" t="n">
        <v>10.5243</v>
      </c>
      <c r="K511" s="182" t="n">
        <v>6.37</v>
      </c>
      <c r="L511" s="183" t="n">
        <v>0</v>
      </c>
      <c r="M511" s="183" t="n">
        <v>0</v>
      </c>
      <c r="N511" s="181" t="n">
        <v>190.7603</v>
      </c>
      <c r="O511" s="180" t="n">
        <v>41901219</v>
      </c>
    </row>
    <row r="512" customFormat="false" ht="12.75" hidden="false" customHeight="true" outlineLevel="0" collapsed="false">
      <c r="B512" s="170" t="s">
        <v>40</v>
      </c>
      <c r="C512" s="171" t="n">
        <v>2013</v>
      </c>
      <c r="D512" s="172" t="n">
        <v>7.81</v>
      </c>
      <c r="E512" s="172" t="n">
        <v>3.08</v>
      </c>
      <c r="F512" s="173" t="n">
        <v>14558</v>
      </c>
      <c r="G512" s="174" t="n">
        <v>8.1339</v>
      </c>
      <c r="H512" s="174" t="n">
        <v>7.2034</v>
      </c>
      <c r="I512" s="173" t="n">
        <v>39283</v>
      </c>
      <c r="J512" s="174" t="n">
        <v>10.5785</v>
      </c>
      <c r="K512" s="175" t="n">
        <v>6.67</v>
      </c>
      <c r="L512" s="176" t="n">
        <v>0</v>
      </c>
      <c r="M512" s="176" t="n">
        <v>0</v>
      </c>
      <c r="N512" s="174" t="n">
        <v>190.7603</v>
      </c>
      <c r="O512" s="173" t="n">
        <v>43663669</v>
      </c>
    </row>
    <row r="513" customFormat="false" ht="12.75" hidden="false" customHeight="true" outlineLevel="0" collapsed="false">
      <c r="B513" s="177" t="s">
        <v>40</v>
      </c>
      <c r="C513" s="178" t="n">
        <v>2014</v>
      </c>
      <c r="D513" s="179" t="n">
        <v>8.03</v>
      </c>
      <c r="E513" s="179" t="n">
        <v>1.52</v>
      </c>
      <c r="F513" s="180" t="n">
        <v>15228</v>
      </c>
      <c r="G513" s="181" t="n">
        <v>8.1708</v>
      </c>
      <c r="H513" s="181" t="n">
        <v>6.5073</v>
      </c>
      <c r="I513" s="180" t="n">
        <v>42198</v>
      </c>
      <c r="J513" s="181" t="n">
        <v>10.6501</v>
      </c>
      <c r="K513" s="182" t="n">
        <v>7.9</v>
      </c>
      <c r="L513" s="183" t="n">
        <v>0</v>
      </c>
      <c r="M513" s="183" t="n">
        <v>0</v>
      </c>
      <c r="N513" s="181" t="n">
        <v>190.7603</v>
      </c>
      <c r="O513" s="180" t="n">
        <v>44035304</v>
      </c>
    </row>
    <row r="514" customFormat="false" ht="12.75" hidden="false" customHeight="true" outlineLevel="0" collapsed="false">
      <c r="B514" s="170" t="s">
        <v>40</v>
      </c>
      <c r="C514" s="171" t="n">
        <v>2015</v>
      </c>
      <c r="D514" s="172" t="n">
        <v>6.91</v>
      </c>
      <c r="E514" s="172" t="n">
        <v>2.14</v>
      </c>
      <c r="F514" s="173" t="n">
        <v>16179</v>
      </c>
      <c r="G514" s="174" t="n">
        <v>8.0281</v>
      </c>
      <c r="H514" s="174" t="n">
        <v>6.8575</v>
      </c>
      <c r="I514" s="173" t="n">
        <v>43695</v>
      </c>
      <c r="J514" s="174" t="n">
        <v>10.685</v>
      </c>
      <c r="K514" s="175" t="n">
        <v>9.4</v>
      </c>
      <c r="L514" s="176" t="n">
        <v>0</v>
      </c>
      <c r="M514" s="176" t="n">
        <v>0</v>
      </c>
      <c r="N514" s="174" t="n">
        <v>190.7603</v>
      </c>
      <c r="O514" s="173" t="n">
        <v>44396484</v>
      </c>
    </row>
    <row r="515" customFormat="false" ht="12.75" hidden="false" customHeight="true" outlineLevel="0" collapsed="false">
      <c r="B515" s="184" t="s">
        <v>40</v>
      </c>
      <c r="C515" s="185" t="n">
        <v>2016</v>
      </c>
      <c r="D515" s="186" t="n">
        <v>6.01</v>
      </c>
      <c r="E515" s="186" t="n">
        <v>4.46</v>
      </c>
      <c r="F515" s="187" t="n">
        <v>18173</v>
      </c>
      <c r="G515" s="188" t="n">
        <v>7.8973</v>
      </c>
      <c r="H515" s="188" t="n">
        <v>7.5979</v>
      </c>
      <c r="I515" s="187" t="n">
        <v>45559</v>
      </c>
      <c r="J515" s="188" t="n">
        <v>10.7268</v>
      </c>
      <c r="K515" s="189" t="n">
        <v>12.5</v>
      </c>
      <c r="L515" s="190" t="n">
        <v>0</v>
      </c>
      <c r="M515" s="190" t="n">
        <v>0</v>
      </c>
      <c r="N515" s="188" t="n">
        <v>190.7603</v>
      </c>
      <c r="O515" s="187" t="n">
        <v>44749699</v>
      </c>
    </row>
    <row r="516" customFormat="false" ht="12.75" hidden="false" customHeight="true" outlineLevel="0" collapsed="false">
      <c r="B516" s="191" t="s">
        <v>40</v>
      </c>
      <c r="C516" s="192" t="n">
        <v>2017</v>
      </c>
      <c r="D516" s="193" t="n">
        <v>5.52</v>
      </c>
      <c r="E516" s="193" t="n">
        <v>7.2</v>
      </c>
      <c r="F516" s="194" t="n">
        <v>21421</v>
      </c>
      <c r="G516" s="195" t="n">
        <v>7.82</v>
      </c>
      <c r="H516" s="195" t="n">
        <v>8.0858</v>
      </c>
      <c r="I516" s="194" t="n">
        <v>47029</v>
      </c>
      <c r="J516" s="195" t="n">
        <v>10.7585</v>
      </c>
      <c r="K516" s="196" t="n">
        <v>13.5</v>
      </c>
      <c r="L516" s="197" t="n">
        <v>0</v>
      </c>
      <c r="M516" s="197" t="n">
        <v>0</v>
      </c>
      <c r="N516" s="195" t="n">
        <v>190.7603</v>
      </c>
      <c r="O516" s="194" t="n">
        <v>45094866</v>
      </c>
    </row>
    <row r="517" customFormat="false" ht="12.75" hidden="false" customHeight="true" outlineLevel="0" collapsed="false">
      <c r="B517" s="184" t="s">
        <v>40</v>
      </c>
      <c r="C517" s="185" t="n">
        <v>2018</v>
      </c>
      <c r="D517" s="186" t="n">
        <v>4.32</v>
      </c>
      <c r="E517" s="186" t="n">
        <v>10.01</v>
      </c>
      <c r="F517" s="187" t="n">
        <v>25980</v>
      </c>
      <c r="G517" s="188" t="n">
        <v>7.5838</v>
      </c>
      <c r="H517" s="188" t="n">
        <v>8.4249</v>
      </c>
      <c r="I517" s="187" t="n">
        <v>48542</v>
      </c>
      <c r="J517" s="188" t="n">
        <v>10.7902</v>
      </c>
      <c r="K517" s="189" t="n">
        <v>13.4</v>
      </c>
      <c r="L517" s="190" t="n">
        <v>0</v>
      </c>
      <c r="M517" s="190" t="n">
        <v>0</v>
      </c>
      <c r="N517" s="188" t="n">
        <v>190.7603</v>
      </c>
      <c r="O517" s="187" t="n">
        <v>45538936</v>
      </c>
    </row>
    <row r="518" customFormat="false" ht="12.75" hidden="false" customHeight="true" outlineLevel="0" collapsed="false">
      <c r="B518" s="191" t="s">
        <v>40</v>
      </c>
      <c r="C518" s="192" t="n">
        <v>2019</v>
      </c>
      <c r="D518" s="193" t="n">
        <v>3.75</v>
      </c>
      <c r="E518" s="193" t="n">
        <v>53.87</v>
      </c>
      <c r="F518" s="194" t="n">
        <v>50717</v>
      </c>
      <c r="G518" s="195" t="n">
        <v>7.4507</v>
      </c>
      <c r="H518" s="195" t="n">
        <v>10.1161</v>
      </c>
      <c r="I518" s="194" t="n">
        <v>51141</v>
      </c>
      <c r="J518" s="195" t="n">
        <v>10.8423</v>
      </c>
      <c r="K518" s="196" t="n">
        <v>12.6</v>
      </c>
      <c r="L518" s="197" t="n">
        <v>0</v>
      </c>
      <c r="M518" s="197" t="n">
        <v>0</v>
      </c>
      <c r="N518" s="195" t="n">
        <v>190.7603</v>
      </c>
      <c r="O518" s="194" t="n">
        <v>45919049</v>
      </c>
    </row>
    <row r="519" customFormat="false" ht="12.75" hidden="false" customHeight="true" outlineLevel="0" collapsed="false">
      <c r="B519" s="184" t="s">
        <v>40</v>
      </c>
      <c r="C519" s="185" t="n">
        <v>2020</v>
      </c>
      <c r="D519" s="186" t="n">
        <v>3.81</v>
      </c>
      <c r="E519" s="186" t="n">
        <v>50.59</v>
      </c>
      <c r="F519" s="187" t="n">
        <v>74133</v>
      </c>
      <c r="G519" s="188" t="n">
        <v>7.4742</v>
      </c>
      <c r="H519" s="188" t="n">
        <v>10.0612</v>
      </c>
      <c r="I519" s="187" t="n">
        <v>51365</v>
      </c>
      <c r="J519" s="188" t="n">
        <v>10.8467</v>
      </c>
      <c r="K519" s="189" t="n">
        <v>14.1</v>
      </c>
      <c r="L519" s="190" t="n">
        <v>0</v>
      </c>
      <c r="M519" s="190" t="n">
        <v>1</v>
      </c>
      <c r="N519" s="188" t="n">
        <v>190.7603</v>
      </c>
      <c r="O519" s="187" t="n">
        <v>46289333</v>
      </c>
    </row>
    <row r="520" customFormat="false" ht="12.75" hidden="false" customHeight="true" outlineLevel="0" collapsed="false">
      <c r="B520" s="191" t="s">
        <v>40</v>
      </c>
      <c r="C520" s="192" t="n">
        <v>2021</v>
      </c>
      <c r="D520" s="193" t="n">
        <v>3.48</v>
      </c>
      <c r="E520" s="193" t="n">
        <v>129.04</v>
      </c>
      <c r="F520" s="194" t="n">
        <v>134327</v>
      </c>
      <c r="G520" s="195" t="n">
        <v>7.3914</v>
      </c>
      <c r="H520" s="195" t="n">
        <v>11.0053</v>
      </c>
      <c r="I520" s="194" t="n">
        <v>58302</v>
      </c>
      <c r="J520" s="195" t="n">
        <v>10.9734</v>
      </c>
      <c r="K520" s="196" t="n">
        <v>13.5</v>
      </c>
      <c r="L520" s="197" t="n">
        <v>0</v>
      </c>
      <c r="M520" s="197" t="n">
        <v>1</v>
      </c>
      <c r="N520" s="195" t="n">
        <v>190.7603</v>
      </c>
      <c r="O520" s="194" t="n">
        <v>46649132</v>
      </c>
    </row>
    <row r="521" customFormat="false" ht="12.75" hidden="false" customHeight="true" outlineLevel="0" collapsed="false">
      <c r="B521" s="184" t="s">
        <v>40</v>
      </c>
      <c r="C521" s="185" t="n">
        <v>2022</v>
      </c>
      <c r="D521" s="186" t="n">
        <v>3.71</v>
      </c>
      <c r="E521" s="186" t="n">
        <v>190.76</v>
      </c>
      <c r="F521" s="187" t="n">
        <v>219046</v>
      </c>
      <c r="G521" s="188" t="n">
        <v>7.4079</v>
      </c>
      <c r="H521" s="188" t="n">
        <v>11.3471</v>
      </c>
      <c r="I521" s="187" t="n">
        <v>70485</v>
      </c>
      <c r="J521" s="188" t="n">
        <v>11.1632</v>
      </c>
      <c r="K521" s="189" t="n">
        <v>9.1</v>
      </c>
      <c r="L521" s="190" t="n">
        <v>0</v>
      </c>
      <c r="M521" s="190" t="n">
        <v>0</v>
      </c>
      <c r="N521" s="188" t="n">
        <v>190.7603</v>
      </c>
      <c r="O521" s="187" t="n">
        <v>44411238</v>
      </c>
    </row>
    <row r="522" customFormat="false" ht="12.75" hidden="false" customHeight="true" outlineLevel="0" collapsed="false">
      <c r="B522" s="191" t="s">
        <v>40</v>
      </c>
      <c r="C522" s="192" t="n">
        <v>2023</v>
      </c>
      <c r="D522" s="193" t="n">
        <v>3.29</v>
      </c>
      <c r="E522" s="193" t="n">
        <v>0.44</v>
      </c>
      <c r="F522" s="194" t="n">
        <v>219242</v>
      </c>
      <c r="G522" s="195" t="n">
        <v>7.2876</v>
      </c>
      <c r="H522" s="195" t="n">
        <v>5.2781</v>
      </c>
      <c r="I522" s="194" t="n">
        <v>77566</v>
      </c>
      <c r="J522" s="195" t="n">
        <v>11.2589</v>
      </c>
      <c r="K522" s="196" t="n">
        <v>7.6</v>
      </c>
      <c r="L522" s="197" t="n">
        <v>1</v>
      </c>
      <c r="M522" s="197" t="n">
        <v>0</v>
      </c>
      <c r="N522" s="195" t="n">
        <v>190.7603</v>
      </c>
      <c r="O522" s="194" t="n">
        <v>44411238</v>
      </c>
    </row>
    <row r="523" customFormat="false" ht="12.75" hidden="false" customHeight="true" outlineLevel="0" collapsed="false">
      <c r="B523" s="184" t="s">
        <v>40</v>
      </c>
      <c r="C523" s="185" t="n">
        <v>2024</v>
      </c>
      <c r="D523" s="186" t="n">
        <v>3.13</v>
      </c>
      <c r="E523" s="186" t="n">
        <v>59.74</v>
      </c>
      <c r="F523" s="187" t="n">
        <v>246705</v>
      </c>
      <c r="G523" s="188" t="n">
        <v>7.2724</v>
      </c>
      <c r="H523" s="188" t="n">
        <v>10.2206</v>
      </c>
      <c r="I523" s="187" t="n">
        <v>82767</v>
      </c>
      <c r="J523" s="188" t="n">
        <v>11.3238</v>
      </c>
      <c r="K523" s="189" t="n">
        <v>6.5</v>
      </c>
      <c r="L523" s="190" t="n">
        <v>1</v>
      </c>
      <c r="M523" s="190" t="n">
        <v>0</v>
      </c>
      <c r="N523" s="188" t="n">
        <v>190.7603</v>
      </c>
      <c r="O523" s="187" t="n">
        <v>45973194</v>
      </c>
    </row>
    <row r="524" customFormat="false" ht="12.75" hidden="false" customHeight="true" outlineLevel="0" collapsed="false">
      <c r="B524" s="170" t="s">
        <v>41</v>
      </c>
      <c r="C524" s="171" t="n">
        <v>2005</v>
      </c>
      <c r="D524" s="172" t="n">
        <v>6.28</v>
      </c>
      <c r="E524" s="172" t="n">
        <v>1.38</v>
      </c>
      <c r="F524" s="173" t="n">
        <v>18</v>
      </c>
      <c r="G524" s="174" t="n">
        <v>4.4067</v>
      </c>
      <c r="H524" s="174" t="n">
        <v>2.8904</v>
      </c>
      <c r="I524" s="173" t="n">
        <v>6939</v>
      </c>
      <c r="J524" s="174" t="n">
        <v>8.8449</v>
      </c>
      <c r="K524" s="175" t="n">
        <v>7.1</v>
      </c>
      <c r="L524" s="176" t="n">
        <v>0</v>
      </c>
      <c r="M524" s="176" t="n">
        <v>0</v>
      </c>
      <c r="N524" s="174" t="n">
        <v>202.1886</v>
      </c>
      <c r="O524" s="173" t="n">
        <v>1305728</v>
      </c>
    </row>
    <row r="525" customFormat="false" ht="12.75" hidden="false" customHeight="true" outlineLevel="0" collapsed="false">
      <c r="B525" s="177" t="s">
        <v>41</v>
      </c>
      <c r="C525" s="178" t="n">
        <v>2006</v>
      </c>
      <c r="D525" s="179" t="n">
        <v>6.68</v>
      </c>
      <c r="E525" s="179" t="n">
        <v>1.65</v>
      </c>
      <c r="F525" s="180" t="n">
        <v>40</v>
      </c>
      <c r="G525" s="181" t="n">
        <v>4.4886</v>
      </c>
      <c r="H525" s="181" t="n">
        <v>3.091</v>
      </c>
      <c r="I525" s="180" t="n">
        <v>7209</v>
      </c>
      <c r="J525" s="181" t="n">
        <v>8.8831</v>
      </c>
      <c r="K525" s="182" t="n">
        <v>6.91</v>
      </c>
      <c r="L525" s="183" t="n">
        <v>0</v>
      </c>
      <c r="M525" s="183" t="n">
        <v>0</v>
      </c>
      <c r="N525" s="181" t="n">
        <v>202.1886</v>
      </c>
      <c r="O525" s="180" t="n">
        <v>1332441</v>
      </c>
    </row>
    <row r="526" customFormat="false" ht="12.75" hidden="false" customHeight="true" outlineLevel="0" collapsed="false">
      <c r="B526" s="170" t="s">
        <v>41</v>
      </c>
      <c r="C526" s="171" t="n">
        <v>2007</v>
      </c>
      <c r="D526" s="172" t="n">
        <v>6.83</v>
      </c>
      <c r="E526" s="172" t="n">
        <v>1.05</v>
      </c>
      <c r="F526" s="173" t="n">
        <v>53</v>
      </c>
      <c r="G526" s="174" t="n">
        <v>4.4427</v>
      </c>
      <c r="H526" s="174" t="n">
        <v>2.5649</v>
      </c>
      <c r="I526" s="173" t="n">
        <v>8921</v>
      </c>
      <c r="J526" s="174" t="n">
        <v>9.0962</v>
      </c>
      <c r="K526" s="175" t="n">
        <v>6.83</v>
      </c>
      <c r="L526" s="176" t="n">
        <v>0</v>
      </c>
      <c r="M526" s="176" t="n">
        <v>0</v>
      </c>
      <c r="N526" s="174" t="n">
        <v>202.1886</v>
      </c>
      <c r="O526" s="173" t="n">
        <v>1243627</v>
      </c>
    </row>
    <row r="527" customFormat="false" ht="12.75" hidden="false" customHeight="true" outlineLevel="0" collapsed="false">
      <c r="B527" s="177" t="s">
        <v>41</v>
      </c>
      <c r="C527" s="178" t="n">
        <v>2008</v>
      </c>
      <c r="D527" s="179" t="n">
        <v>7.34</v>
      </c>
      <c r="E527" s="179" t="n">
        <v>0.7</v>
      </c>
      <c r="F527" s="180" t="n">
        <v>62</v>
      </c>
      <c r="G527" s="181" t="n">
        <v>4.5433</v>
      </c>
      <c r="H527" s="181" t="n">
        <v>2.1972</v>
      </c>
      <c r="I527" s="180" t="n">
        <v>10222</v>
      </c>
      <c r="J527" s="181" t="n">
        <v>9.2323</v>
      </c>
      <c r="K527" s="182" t="n">
        <v>6.49</v>
      </c>
      <c r="L527" s="183" t="n">
        <v>0</v>
      </c>
      <c r="M527" s="183" t="n">
        <v>0</v>
      </c>
      <c r="N527" s="181" t="n">
        <v>202.1886</v>
      </c>
      <c r="O527" s="180" t="n">
        <v>1280513</v>
      </c>
    </row>
    <row r="528" customFormat="false" ht="12.75" hidden="false" customHeight="true" outlineLevel="0" collapsed="false">
      <c r="B528" s="170" t="s">
        <v>41</v>
      </c>
      <c r="C528" s="171" t="n">
        <v>2009</v>
      </c>
      <c r="D528" s="172" t="n">
        <v>9.52</v>
      </c>
      <c r="E528" s="172" t="n">
        <v>0.93</v>
      </c>
      <c r="F528" s="173" t="n">
        <v>74</v>
      </c>
      <c r="G528" s="174" t="n">
        <v>4.8122</v>
      </c>
      <c r="H528" s="174" t="n">
        <v>2.4849</v>
      </c>
      <c r="I528" s="173" t="n">
        <v>11277</v>
      </c>
      <c r="J528" s="174" t="n">
        <v>9.3305</v>
      </c>
      <c r="K528" s="175" t="n">
        <v>7.88</v>
      </c>
      <c r="L528" s="176" t="n">
        <v>0</v>
      </c>
      <c r="M528" s="176" t="n">
        <v>0</v>
      </c>
      <c r="N528" s="174" t="n">
        <v>202.1886</v>
      </c>
      <c r="O528" s="173" t="n">
        <v>1292051</v>
      </c>
    </row>
    <row r="529" customFormat="false" ht="12.75" hidden="false" customHeight="true" outlineLevel="0" collapsed="false">
      <c r="B529" s="177" t="s">
        <v>41</v>
      </c>
      <c r="C529" s="178" t="n">
        <v>2010</v>
      </c>
      <c r="D529" s="179" t="n">
        <v>9.04</v>
      </c>
      <c r="E529" s="179" t="n">
        <v>1.73</v>
      </c>
      <c r="F529" s="180" t="n">
        <v>98</v>
      </c>
      <c r="G529" s="181" t="n">
        <v>4.8283</v>
      </c>
      <c r="H529" s="181" t="n">
        <v>3.1781</v>
      </c>
      <c r="I529" s="180" t="n">
        <v>11858</v>
      </c>
      <c r="J529" s="181" t="n">
        <v>9.3808</v>
      </c>
      <c r="K529" s="182" t="n">
        <v>7.61</v>
      </c>
      <c r="L529" s="183" t="n">
        <v>0</v>
      </c>
      <c r="M529" s="183" t="n">
        <v>0</v>
      </c>
      <c r="N529" s="181" t="n">
        <v>202.1886</v>
      </c>
      <c r="O529" s="180" t="n">
        <v>1383445</v>
      </c>
    </row>
    <row r="530" customFormat="false" ht="12.75" hidden="false" customHeight="true" outlineLevel="0" collapsed="false">
      <c r="B530" s="170" t="s">
        <v>41</v>
      </c>
      <c r="C530" s="171" t="n">
        <v>2011</v>
      </c>
      <c r="D530" s="172" t="n">
        <v>11.21</v>
      </c>
      <c r="E530" s="172" t="n">
        <v>2.64</v>
      </c>
      <c r="F530" s="173" t="n">
        <v>135</v>
      </c>
      <c r="G530" s="174" t="n">
        <v>5.0562</v>
      </c>
      <c r="H530" s="174" t="n">
        <v>3.6109</v>
      </c>
      <c r="I530" s="173" t="n">
        <v>13096</v>
      </c>
      <c r="J530" s="174" t="n">
        <v>9.4801</v>
      </c>
      <c r="K530" s="175" t="n">
        <v>7.33</v>
      </c>
      <c r="L530" s="176" t="n">
        <v>0</v>
      </c>
      <c r="M530" s="176" t="n">
        <v>0</v>
      </c>
      <c r="N530" s="174" t="n">
        <v>202.1886</v>
      </c>
      <c r="O530" s="173" t="n">
        <v>1400892</v>
      </c>
    </row>
    <row r="531" customFormat="false" ht="12.75" hidden="false" customHeight="true" outlineLevel="0" collapsed="false">
      <c r="B531" s="177" t="s">
        <v>41</v>
      </c>
      <c r="C531" s="178" t="n">
        <v>2012</v>
      </c>
      <c r="D531" s="179" t="n">
        <v>12.13</v>
      </c>
      <c r="E531" s="179" t="n">
        <v>3.1</v>
      </c>
      <c r="F531" s="180" t="n">
        <v>179</v>
      </c>
      <c r="G531" s="181" t="n">
        <v>5.1475</v>
      </c>
      <c r="H531" s="181" t="n">
        <v>3.7842</v>
      </c>
      <c r="I531" s="180" t="n">
        <v>14590</v>
      </c>
      <c r="J531" s="181" t="n">
        <v>9.5881</v>
      </c>
      <c r="K531" s="182" t="n">
        <v>6.47</v>
      </c>
      <c r="L531" s="183" t="n">
        <v>0</v>
      </c>
      <c r="M531" s="183" t="n">
        <v>0</v>
      </c>
      <c r="N531" s="181" t="n">
        <v>202.1886</v>
      </c>
      <c r="O531" s="180" t="n">
        <v>1417694</v>
      </c>
    </row>
    <row r="532" customFormat="false" ht="12.75" hidden="false" customHeight="true" outlineLevel="0" collapsed="false">
      <c r="B532" s="170" t="s">
        <v>41</v>
      </c>
      <c r="C532" s="171" t="n">
        <v>2013</v>
      </c>
      <c r="D532" s="172" t="n">
        <v>9.47</v>
      </c>
      <c r="E532" s="172" t="n">
        <v>1.56</v>
      </c>
      <c r="F532" s="173" t="n">
        <v>202</v>
      </c>
      <c r="G532" s="174" t="n">
        <v>4.9416</v>
      </c>
      <c r="H532" s="174" t="n">
        <v>3.1355</v>
      </c>
      <c r="I532" s="173" t="n">
        <v>16099</v>
      </c>
      <c r="J532" s="174" t="n">
        <v>9.6865</v>
      </c>
      <c r="K532" s="175" t="n">
        <v>7.06</v>
      </c>
      <c r="L532" s="176" t="n">
        <v>0</v>
      </c>
      <c r="M532" s="176" t="n">
        <v>0</v>
      </c>
      <c r="N532" s="174" t="n">
        <v>202.1886</v>
      </c>
      <c r="O532" s="173" t="n">
        <v>1478164</v>
      </c>
    </row>
    <row r="533" customFormat="false" ht="12.75" hidden="false" customHeight="true" outlineLevel="0" collapsed="false">
      <c r="B533" s="177" t="s">
        <v>41</v>
      </c>
      <c r="C533" s="178" t="n">
        <v>2014</v>
      </c>
      <c r="D533" s="179" t="n">
        <v>10.96</v>
      </c>
      <c r="E533" s="179" t="n">
        <v>1.14</v>
      </c>
      <c r="F533" s="180" t="n">
        <v>219</v>
      </c>
      <c r="G533" s="181" t="n">
        <v>5.0999</v>
      </c>
      <c r="H533" s="181" t="n">
        <v>2.8332</v>
      </c>
      <c r="I533" s="180" t="n">
        <v>17496</v>
      </c>
      <c r="J533" s="181" t="n">
        <v>9.7697</v>
      </c>
      <c r="K533" s="182" t="n">
        <v>6.44</v>
      </c>
      <c r="L533" s="183" t="n">
        <v>0</v>
      </c>
      <c r="M533" s="183" t="n">
        <v>0</v>
      </c>
      <c r="N533" s="181" t="n">
        <v>202.1886</v>
      </c>
      <c r="O533" s="180" t="n">
        <v>1496880</v>
      </c>
    </row>
    <row r="534" customFormat="false" ht="12.75" hidden="false" customHeight="true" outlineLevel="0" collapsed="false">
      <c r="B534" s="170" t="s">
        <v>41</v>
      </c>
      <c r="C534" s="171" t="n">
        <v>2015</v>
      </c>
      <c r="D534" s="172" t="n">
        <v>17.75</v>
      </c>
      <c r="E534" s="172" t="n">
        <v>0.53</v>
      </c>
      <c r="F534" s="173" t="n">
        <v>227</v>
      </c>
      <c r="G534" s="174" t="n">
        <v>5.5947</v>
      </c>
      <c r="H534" s="174" t="n">
        <v>2.0794</v>
      </c>
      <c r="I534" s="173" t="n">
        <v>19094</v>
      </c>
      <c r="J534" s="174" t="n">
        <v>9.8571</v>
      </c>
      <c r="K534" s="175" t="n">
        <v>8.7</v>
      </c>
      <c r="L534" s="176" t="n">
        <v>0</v>
      </c>
      <c r="M534" s="176" t="n">
        <v>0</v>
      </c>
      <c r="N534" s="174" t="n">
        <v>202.1886</v>
      </c>
      <c r="O534" s="173" t="n">
        <v>1515126</v>
      </c>
    </row>
    <row r="535" customFormat="false" ht="12.75" hidden="false" customHeight="true" outlineLevel="0" collapsed="false">
      <c r="B535" s="184" t="s">
        <v>41</v>
      </c>
      <c r="C535" s="185" t="n">
        <v>2016</v>
      </c>
      <c r="D535" s="186" t="n">
        <v>19.77</v>
      </c>
      <c r="E535" s="186" t="n">
        <v>3.85</v>
      </c>
      <c r="F535" s="187" t="n">
        <v>286</v>
      </c>
      <c r="G535" s="188" t="n">
        <v>5.7137</v>
      </c>
      <c r="H535" s="188" t="n">
        <v>4.0775</v>
      </c>
      <c r="I535" s="187" t="n">
        <v>20605</v>
      </c>
      <c r="J535" s="188" t="n">
        <v>9.9333</v>
      </c>
      <c r="K535" s="189" t="n">
        <v>11.5</v>
      </c>
      <c r="L535" s="190" t="n">
        <v>0</v>
      </c>
      <c r="M535" s="190" t="n">
        <v>0</v>
      </c>
      <c r="N535" s="188" t="n">
        <v>202.1886</v>
      </c>
      <c r="O535" s="187" t="n">
        <v>1532902</v>
      </c>
    </row>
    <row r="536" customFormat="false" ht="12.75" hidden="false" customHeight="true" outlineLevel="0" collapsed="false">
      <c r="B536" s="191" t="s">
        <v>41</v>
      </c>
      <c r="C536" s="192" t="n">
        <v>2017</v>
      </c>
      <c r="D536" s="193" t="n">
        <v>20.71</v>
      </c>
      <c r="E536" s="193" t="n">
        <v>3.74</v>
      </c>
      <c r="F536" s="194" t="n">
        <v>344</v>
      </c>
      <c r="G536" s="195" t="n">
        <v>5.7714</v>
      </c>
      <c r="H536" s="195" t="n">
        <v>4.0604</v>
      </c>
      <c r="I536" s="194" t="n">
        <v>22002</v>
      </c>
      <c r="J536" s="195" t="n">
        <v>9.9989</v>
      </c>
      <c r="K536" s="196" t="n">
        <v>11.7</v>
      </c>
      <c r="L536" s="197" t="n">
        <v>0</v>
      </c>
      <c r="M536" s="197" t="n">
        <v>0</v>
      </c>
      <c r="N536" s="195" t="n">
        <v>202.1886</v>
      </c>
      <c r="O536" s="194" t="n">
        <v>1550194</v>
      </c>
    </row>
    <row r="537" customFormat="false" ht="12.75" hidden="false" customHeight="true" outlineLevel="0" collapsed="false">
      <c r="B537" s="184" t="s">
        <v>41</v>
      </c>
      <c r="C537" s="185" t="n">
        <v>2018</v>
      </c>
      <c r="D537" s="186" t="n">
        <v>19.74</v>
      </c>
      <c r="E537" s="186" t="n">
        <v>6.62</v>
      </c>
      <c r="F537" s="187" t="n">
        <v>447</v>
      </c>
      <c r="G537" s="188" t="n">
        <v>5.7268</v>
      </c>
      <c r="H537" s="188" t="n">
        <v>4.6347</v>
      </c>
      <c r="I537" s="187" t="n">
        <v>22933</v>
      </c>
      <c r="J537" s="188" t="n">
        <v>10.0403</v>
      </c>
      <c r="K537" s="189" t="n">
        <v>10.7</v>
      </c>
      <c r="L537" s="190" t="n">
        <v>0</v>
      </c>
      <c r="M537" s="190" t="n">
        <v>0</v>
      </c>
      <c r="N537" s="188" t="n">
        <v>202.1886</v>
      </c>
      <c r="O537" s="187" t="n">
        <v>1555229</v>
      </c>
    </row>
    <row r="538" customFormat="false" ht="12.75" hidden="false" customHeight="true" outlineLevel="0" collapsed="false">
      <c r="B538" s="191" t="s">
        <v>41</v>
      </c>
      <c r="C538" s="192" t="n">
        <v>2019</v>
      </c>
      <c r="D538" s="193" t="n">
        <v>15.7</v>
      </c>
      <c r="E538" s="193" t="n">
        <v>27.47</v>
      </c>
      <c r="F538" s="194" t="n">
        <v>879</v>
      </c>
      <c r="G538" s="195" t="n">
        <v>5.5094</v>
      </c>
      <c r="H538" s="195" t="n">
        <v>6.0684</v>
      </c>
      <c r="I538" s="194" t="n">
        <v>25022</v>
      </c>
      <c r="J538" s="195" t="n">
        <v>10.1275</v>
      </c>
      <c r="K538" s="196" t="n">
        <v>11</v>
      </c>
      <c r="L538" s="197" t="n">
        <v>0</v>
      </c>
      <c r="M538" s="197" t="n">
        <v>0</v>
      </c>
      <c r="N538" s="195" t="n">
        <v>202.1886</v>
      </c>
      <c r="O538" s="194" t="n">
        <v>1572866</v>
      </c>
    </row>
    <row r="539" customFormat="false" ht="12.75" hidden="false" customHeight="true" outlineLevel="0" collapsed="false">
      <c r="B539" s="184" t="s">
        <v>41</v>
      </c>
      <c r="C539" s="185" t="n">
        <v>2020</v>
      </c>
      <c r="D539" s="186" t="n">
        <v>17.29</v>
      </c>
      <c r="E539" s="186" t="n">
        <v>47.35</v>
      </c>
      <c r="F539" s="187" t="n">
        <v>1632</v>
      </c>
      <c r="G539" s="188" t="n">
        <v>5.6168</v>
      </c>
      <c r="H539" s="188" t="n">
        <v>6.6241</v>
      </c>
      <c r="I539" s="187" t="n">
        <v>27448</v>
      </c>
      <c r="J539" s="188" t="n">
        <v>10.22</v>
      </c>
      <c r="K539" s="189" t="n">
        <v>12.1</v>
      </c>
      <c r="L539" s="190" t="n">
        <v>0</v>
      </c>
      <c r="M539" s="190" t="n">
        <v>1</v>
      </c>
      <c r="N539" s="188" t="n">
        <v>202.1886</v>
      </c>
      <c r="O539" s="187" t="n">
        <v>1590248</v>
      </c>
    </row>
    <row r="540" customFormat="false" ht="12.75" hidden="false" customHeight="true" outlineLevel="0" collapsed="false">
      <c r="B540" s="191" t="s">
        <v>41</v>
      </c>
      <c r="C540" s="192" t="n">
        <v>2021</v>
      </c>
      <c r="D540" s="193" t="n">
        <v>15.62</v>
      </c>
      <c r="E540" s="193" t="n">
        <v>100.91</v>
      </c>
      <c r="F540" s="194" t="n">
        <v>3254</v>
      </c>
      <c r="G540" s="195" t="n">
        <v>5.5255</v>
      </c>
      <c r="H540" s="195" t="n">
        <v>7.3914</v>
      </c>
      <c r="I540" s="194" t="n">
        <v>32215</v>
      </c>
      <c r="J540" s="195" t="n">
        <v>10.3802</v>
      </c>
      <c r="K540" s="196" t="n">
        <v>13.4</v>
      </c>
      <c r="L540" s="197" t="n">
        <v>0</v>
      </c>
      <c r="M540" s="197" t="n">
        <v>1</v>
      </c>
      <c r="N540" s="195" t="n">
        <v>202.1886</v>
      </c>
      <c r="O540" s="194" t="n">
        <v>1607363</v>
      </c>
    </row>
    <row r="541" customFormat="false" ht="12.75" hidden="false" customHeight="true" outlineLevel="0" collapsed="false">
      <c r="B541" s="184" t="s">
        <v>41</v>
      </c>
      <c r="C541" s="185" t="n">
        <v>2022</v>
      </c>
      <c r="D541" s="186" t="n">
        <v>16.41</v>
      </c>
      <c r="E541" s="186" t="n">
        <v>202.19</v>
      </c>
      <c r="F541" s="187" t="n">
        <v>6310</v>
      </c>
      <c r="G541" s="188" t="n">
        <v>5.5134</v>
      </c>
      <c r="H541" s="188" t="n">
        <v>8.0249</v>
      </c>
      <c r="I541" s="187" t="n">
        <v>38512</v>
      </c>
      <c r="J541" s="188" t="n">
        <v>10.5587</v>
      </c>
      <c r="K541" s="189" t="n">
        <v>6.4</v>
      </c>
      <c r="L541" s="190" t="n">
        <v>0</v>
      </c>
      <c r="M541" s="190" t="n">
        <v>0</v>
      </c>
      <c r="N541" s="188" t="n">
        <v>202.1886</v>
      </c>
      <c r="O541" s="187" t="n">
        <v>1511460</v>
      </c>
    </row>
    <row r="542" customFormat="false" ht="12.75" hidden="false" customHeight="true" outlineLevel="0" collapsed="false">
      <c r="B542" s="191" t="s">
        <v>41</v>
      </c>
      <c r="C542" s="192" t="n">
        <v>2023</v>
      </c>
      <c r="D542" s="193" t="n">
        <v>17.67</v>
      </c>
      <c r="E542" s="193" t="n">
        <v>0.33</v>
      </c>
      <c r="F542" s="194" t="n">
        <v>6315</v>
      </c>
      <c r="G542" s="195" t="n">
        <v>5.5872</v>
      </c>
      <c r="H542" s="195" t="n">
        <v>1.6094</v>
      </c>
      <c r="I542" s="194" t="n">
        <v>42553</v>
      </c>
      <c r="J542" s="195" t="n">
        <v>10.6585</v>
      </c>
      <c r="K542" s="196" t="n">
        <v>6.1</v>
      </c>
      <c r="L542" s="197" t="n">
        <v>1</v>
      </c>
      <c r="M542" s="197" t="n">
        <v>0</v>
      </c>
      <c r="N542" s="195" t="n">
        <v>202.1886</v>
      </c>
      <c r="O542" s="194" t="n">
        <v>1511460</v>
      </c>
    </row>
    <row r="543" customFormat="false" ht="12.75" hidden="false" customHeight="true" outlineLevel="0" collapsed="false">
      <c r="B543" s="184" t="s">
        <v>41</v>
      </c>
      <c r="C543" s="185" t="n">
        <v>2024</v>
      </c>
      <c r="D543" s="186" t="n">
        <v>8.62</v>
      </c>
      <c r="E543" s="186" t="n">
        <v>41.34</v>
      </c>
      <c r="F543" s="187" t="n">
        <v>6967</v>
      </c>
      <c r="G543" s="188" t="n">
        <v>4.9127</v>
      </c>
      <c r="H543" s="188" t="n">
        <v>6.48</v>
      </c>
      <c r="I543" s="187" t="n">
        <v>45296</v>
      </c>
      <c r="J543" s="188" t="n">
        <v>10.721</v>
      </c>
      <c r="K543" s="189" t="n">
        <v>5.4</v>
      </c>
      <c r="L543" s="190" t="n">
        <v>1</v>
      </c>
      <c r="M543" s="190" t="n">
        <v>0</v>
      </c>
      <c r="N543" s="188" t="n">
        <v>202.1886</v>
      </c>
      <c r="O543" s="187" t="n">
        <v>1577342</v>
      </c>
    </row>
    <row r="544" customFormat="false" ht="39.75" hidden="false" customHeight="true" outlineLevel="0" collapsed="false">
      <c r="A544" s="157" t="s">
        <v>188</v>
      </c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</row>
  </sheetData>
  <mergeCells count="3">
    <mergeCell ref="A1:O1"/>
    <mergeCell ref="A2:O2"/>
    <mergeCell ref="A544:O5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2026-07-12T16:56:50Z</dcterms:created>
  <dc:creator>openpyxl</dc:creator>
  <dc:description/>
  <dc:language>en-US</dc:language>
  <cp:lastModifiedBy/>
  <dcterms:modified xsi:type="dcterms:W3CDTF">2026-07-15T02:03:00Z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